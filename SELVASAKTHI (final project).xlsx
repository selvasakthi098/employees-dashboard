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a28fd76d5e565dc9/Desktop/"/>
    </mc:Choice>
  </mc:AlternateContent>
  <xr:revisionPtr revIDLastSave="68" documentId="8_{E7A2F624-0A82-4F9B-BD16-559C97347085}" xr6:coauthVersionLast="47" xr6:coauthVersionMax="47" xr10:uidLastSave="{095623A3-4C29-4D91-8BE3-3B5501F83C4C}"/>
  <bookViews>
    <workbookView xWindow="-120" yWindow="-120" windowWidth="20730" windowHeight="11040" firstSheet="5" activeTab="5" xr2:uid="{00000000-000D-0000-FFFF-FFFF00000000}"/>
  </bookViews>
  <sheets>
    <sheet name="Employee Data" sheetId="1" r:id="rId1"/>
    <sheet name="adjustments" sheetId="2" r:id="rId2"/>
    <sheet name="Sheet2" sheetId="4" r:id="rId3"/>
    <sheet name="example 1" sheetId="7" r:id="rId4"/>
    <sheet name="example 2" sheetId="8" r:id="rId5"/>
    <sheet name="example 3" sheetId="9" r:id="rId6"/>
    <sheet name="example 4" sheetId="10" r:id="rId7"/>
    <sheet name="example 5" sheetId="11" r:id="rId8"/>
    <sheet name="example 6" sheetId="12" r:id="rId9"/>
    <sheet name="DASHBOARD" sheetId="15" r:id="rId10"/>
  </sheets>
  <definedNames>
    <definedName name="Slicer_City">#N/A</definedName>
    <definedName name="Slicer_Department">#N/A</definedName>
    <definedName name="Slicer_Gender1">#N/A</definedName>
    <definedName name="Slicer_Working_Eligibility">#N/A</definedName>
    <definedName name="Slicer_Working_Eligibility1">#N/A</definedName>
    <definedName name="Slicer_Working_Eligibility2">#N/A</definedName>
  </definedNames>
  <calcPr calcId="191028"/>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H436" i="4"/>
  <c r="I993" i="4"/>
  <c r="G993" i="4"/>
  <c r="I436" i="4"/>
  <c r="I906" i="4"/>
  <c r="I4" i="4"/>
  <c r="I552" i="4"/>
  <c r="I125" i="4"/>
  <c r="I7" i="4"/>
  <c r="I846" i="4"/>
  <c r="I534" i="4"/>
  <c r="I362" i="4"/>
  <c r="I931" i="4"/>
  <c r="I12" i="4"/>
  <c r="I940" i="4"/>
  <c r="I59" i="4"/>
  <c r="I398" i="4"/>
  <c r="I16" i="4"/>
  <c r="I17" i="4"/>
  <c r="I277" i="4"/>
  <c r="I19" i="4"/>
  <c r="I20" i="4"/>
  <c r="I869" i="4"/>
  <c r="I879" i="4"/>
  <c r="I23" i="4"/>
  <c r="I129" i="4"/>
  <c r="I25" i="4"/>
  <c r="I26" i="4"/>
  <c r="I937" i="4"/>
  <c r="I359" i="4"/>
  <c r="I211" i="4"/>
  <c r="I276" i="4"/>
  <c r="I707" i="4"/>
  <c r="I32" i="4"/>
  <c r="I33" i="4"/>
  <c r="I302" i="4"/>
  <c r="I35" i="4"/>
  <c r="I785" i="4"/>
  <c r="I37" i="4"/>
  <c r="I275" i="4"/>
  <c r="I852" i="4"/>
  <c r="I914" i="4"/>
  <c r="I925" i="4"/>
  <c r="I377" i="4"/>
  <c r="I43" i="4"/>
  <c r="I51" i="4"/>
  <c r="I168" i="4"/>
  <c r="I582" i="4"/>
  <c r="I997" i="4"/>
  <c r="I48" i="4"/>
  <c r="I580" i="4"/>
  <c r="I521" i="4"/>
  <c r="I289" i="4"/>
  <c r="I669" i="4"/>
  <c r="I459" i="4"/>
  <c r="I54" i="4"/>
  <c r="I55" i="4"/>
  <c r="I848" i="4"/>
  <c r="I548" i="4"/>
  <c r="I60" i="4"/>
  <c r="I994" i="4"/>
  <c r="I87" i="4"/>
  <c r="I61" i="4"/>
  <c r="I62" i="4"/>
  <c r="I607" i="4"/>
  <c r="I64" i="4"/>
  <c r="I65" i="4"/>
  <c r="I66" i="4"/>
  <c r="I67" i="4"/>
  <c r="I68" i="4"/>
  <c r="I69" i="4"/>
  <c r="I192" i="4"/>
  <c r="I114" i="4"/>
  <c r="I186" i="4"/>
  <c r="I705" i="4"/>
  <c r="I74" i="4"/>
  <c r="I728" i="4"/>
  <c r="I170" i="4"/>
  <c r="I438" i="4"/>
  <c r="I78" i="4"/>
  <c r="I357" i="4"/>
  <c r="I137" i="4"/>
  <c r="I3" i="4"/>
  <c r="I307" i="4"/>
  <c r="I899" i="4"/>
  <c r="I84" i="4"/>
  <c r="I85" i="4"/>
  <c r="I207" i="4"/>
  <c r="I900" i="4"/>
  <c r="I88" i="4"/>
  <c r="I89" i="4"/>
  <c r="I166" i="4"/>
  <c r="I288" i="4"/>
  <c r="I92" i="4"/>
  <c r="I77" i="4"/>
  <c r="I94" i="4"/>
  <c r="I761" i="4"/>
  <c r="I296" i="4"/>
  <c r="I783" i="4"/>
  <c r="I223" i="4"/>
  <c r="I643" i="4"/>
  <c r="I117" i="4"/>
  <c r="I101" i="4"/>
  <c r="I102" i="4"/>
  <c r="I632" i="4"/>
  <c r="I185" i="4"/>
  <c r="I496" i="4"/>
  <c r="I802" i="4"/>
  <c r="I107" i="4"/>
  <c r="I697" i="4"/>
  <c r="I71" i="4"/>
  <c r="I623" i="4"/>
  <c r="I471" i="4"/>
  <c r="I567" i="4"/>
  <c r="I95" i="4"/>
  <c r="I402" i="4"/>
  <c r="I115" i="4"/>
  <c r="I116" i="4"/>
  <c r="I724" i="4"/>
  <c r="I960" i="4"/>
  <c r="I119" i="4"/>
  <c r="I120" i="4"/>
  <c r="I949" i="4"/>
  <c r="I122" i="4"/>
  <c r="I123" i="4"/>
  <c r="I861" i="4"/>
  <c r="I283" i="4"/>
  <c r="I755" i="4"/>
  <c r="I762" i="4"/>
  <c r="I128" i="4"/>
  <c r="I465" i="4"/>
  <c r="I545" i="4"/>
  <c r="I799" i="4"/>
  <c r="I132" i="4"/>
  <c r="I664" i="4"/>
  <c r="I134" i="4"/>
  <c r="I93" i="4"/>
  <c r="I694" i="4"/>
  <c r="I13" i="4"/>
  <c r="I237" i="4"/>
  <c r="I416" i="4"/>
  <c r="I559" i="4"/>
  <c r="I144" i="4"/>
  <c r="I346" i="4"/>
  <c r="I605" i="4"/>
  <c r="I18" i="4"/>
  <c r="I256" i="4"/>
  <c r="I146" i="4"/>
  <c r="I565" i="4"/>
  <c r="I148" i="4"/>
  <c r="I262" i="4"/>
  <c r="I79" i="4"/>
  <c r="I484" i="4"/>
  <c r="I45" i="4"/>
  <c r="I516" i="4"/>
  <c r="I154" i="4"/>
  <c r="I155" i="4"/>
  <c r="I156" i="4"/>
  <c r="I280" i="4"/>
  <c r="I838" i="4"/>
  <c r="I22" i="4"/>
  <c r="I160" i="4"/>
  <c r="I180" i="4"/>
  <c r="I162" i="4"/>
  <c r="I315" i="4"/>
  <c r="I427" i="4"/>
  <c r="I254" i="4"/>
  <c r="I880" i="4"/>
  <c r="I526" i="4"/>
  <c r="I572" i="4"/>
  <c r="I347" i="4"/>
  <c r="I176" i="4"/>
  <c r="I96" i="4"/>
  <c r="I172" i="4"/>
  <c r="I342" i="4"/>
  <c r="I849" i="4"/>
  <c r="I266" i="4"/>
  <c r="I624" i="4"/>
  <c r="I889" i="4"/>
  <c r="I687" i="4"/>
  <c r="I747" i="4"/>
  <c r="I874" i="4"/>
  <c r="I817" i="4"/>
  <c r="I182" i="4"/>
  <c r="I829" i="4"/>
  <c r="I558" i="4"/>
  <c r="I720" i="4"/>
  <c r="I952" i="4"/>
  <c r="I21" i="4"/>
  <c r="I955" i="4"/>
  <c r="I497" i="4"/>
  <c r="I978" i="4"/>
  <c r="I423" i="4"/>
  <c r="I578" i="4"/>
  <c r="I193" i="4"/>
  <c r="I841" i="4"/>
  <c r="I938" i="4"/>
  <c r="I196" i="4"/>
  <c r="I197" i="4"/>
  <c r="I198" i="4"/>
  <c r="I839" i="4"/>
  <c r="I365" i="4"/>
  <c r="I458" i="4"/>
  <c r="I121" i="4"/>
  <c r="I299" i="4"/>
  <c r="I204" i="4"/>
  <c r="I397" i="4"/>
  <c r="I14" i="4"/>
  <c r="I554" i="4"/>
  <c r="I208" i="4"/>
  <c r="I209" i="4"/>
  <c r="I210" i="4"/>
  <c r="I654" i="4"/>
  <c r="I445" i="4"/>
  <c r="I218" i="4"/>
  <c r="I954" i="4"/>
  <c r="I217" i="4"/>
  <c r="I216" i="4"/>
  <c r="I394" i="4"/>
  <c r="I379" i="4"/>
  <c r="I124" i="4"/>
  <c r="I203" i="4"/>
  <c r="I885" i="4"/>
  <c r="I382" i="4"/>
  <c r="I723" i="4"/>
  <c r="I224" i="4"/>
  <c r="I589" i="4"/>
  <c r="I556" i="4"/>
  <c r="I656" i="4"/>
  <c r="I228" i="4"/>
  <c r="I958" i="4"/>
  <c r="I127" i="4"/>
  <c r="I293" i="4"/>
  <c r="I232" i="4"/>
  <c r="I233" i="4"/>
  <c r="I932" i="4"/>
  <c r="I621" i="4"/>
  <c r="I118" i="4"/>
  <c r="I908" i="4"/>
  <c r="I813" i="4"/>
  <c r="I214" i="4"/>
  <c r="I743" i="4"/>
  <c r="I241" i="4"/>
  <c r="I894" i="4"/>
  <c r="I633" i="4"/>
  <c r="I244" i="4"/>
  <c r="I794" i="4"/>
  <c r="I328" i="4"/>
  <c r="I856" i="4"/>
  <c r="I614" i="4"/>
  <c r="I935" i="4"/>
  <c r="I390" i="4"/>
  <c r="I251" i="4"/>
  <c r="I252" i="4"/>
  <c r="I287" i="4"/>
  <c r="I354" i="4"/>
  <c r="I255" i="4"/>
  <c r="I97" i="4"/>
  <c r="I257" i="4"/>
  <c r="I258" i="4"/>
  <c r="I259" i="4"/>
  <c r="I234" i="4"/>
  <c r="I261" i="4"/>
  <c r="I975" i="4"/>
  <c r="I263" i="4"/>
  <c r="I508" i="4"/>
  <c r="I265" i="4"/>
  <c r="I247" i="4"/>
  <c r="I708" i="4"/>
  <c r="I268" i="4"/>
  <c r="I574" i="4"/>
  <c r="I990" i="4"/>
  <c r="I796" i="4"/>
  <c r="I784" i="4"/>
  <c r="I440" i="4"/>
  <c r="I294" i="4"/>
  <c r="I744" i="4"/>
  <c r="I329" i="4"/>
  <c r="I891" i="4"/>
  <c r="I983" i="4"/>
  <c r="I279" i="4"/>
  <c r="I883" i="4"/>
  <c r="I281" i="4"/>
  <c r="I282" i="4"/>
  <c r="I922" i="4"/>
  <c r="I801" i="4"/>
  <c r="I109" i="4"/>
  <c r="I8" i="4"/>
  <c r="I325" i="4"/>
  <c r="I527" i="4"/>
  <c r="I609" i="4"/>
  <c r="I295" i="4"/>
  <c r="I291" i="4"/>
  <c r="I514" i="4"/>
  <c r="I740" i="4"/>
  <c r="I929" i="4"/>
  <c r="I225" i="4"/>
  <c r="I483" i="4"/>
  <c r="I297" i="4"/>
  <c r="I298" i="4"/>
  <c r="I820" i="4"/>
  <c r="I575" i="4"/>
  <c r="I131" i="4"/>
  <c r="I249" i="4"/>
  <c r="I441" i="4"/>
  <c r="I498" i="4"/>
  <c r="I583" i="4"/>
  <c r="I306" i="4"/>
  <c r="I372" i="4"/>
  <c r="I308" i="4"/>
  <c r="I309" i="4"/>
  <c r="I617" i="4"/>
  <c r="I311" i="4"/>
  <c r="I961" i="4"/>
  <c r="I313" i="4"/>
  <c r="I314" i="4"/>
  <c r="I837" i="4"/>
  <c r="I316" i="4"/>
  <c r="I317" i="4"/>
  <c r="I318" i="4"/>
  <c r="I323" i="4"/>
  <c r="I320" i="4"/>
  <c r="I231" i="4"/>
  <c r="I568" i="4"/>
  <c r="I90" i="4"/>
  <c r="I324" i="4"/>
  <c r="I557" i="4"/>
  <c r="I628" i="4"/>
  <c r="I327" i="4"/>
  <c r="I126" i="4"/>
  <c r="I540" i="4"/>
  <c r="I944" i="4"/>
  <c r="I500" i="4"/>
  <c r="I332" i="4"/>
  <c r="I333" i="4"/>
  <c r="I334" i="4"/>
  <c r="I335" i="4"/>
  <c r="I158" i="4"/>
  <c r="I337" i="4"/>
  <c r="I165" i="4"/>
  <c r="I741" i="4"/>
  <c r="I868" i="4"/>
  <c r="I341" i="4"/>
  <c r="I703" i="4"/>
  <c r="I638" i="4"/>
  <c r="I286" i="4"/>
  <c r="I130" i="4"/>
  <c r="I391" i="4"/>
  <c r="I693" i="4"/>
  <c r="I290" i="4"/>
  <c r="I340" i="4"/>
  <c r="I350" i="4"/>
  <c r="I791" i="4"/>
  <c r="I631" i="4"/>
  <c r="I285" i="4"/>
  <c r="I246" i="4"/>
  <c r="I355" i="4"/>
  <c r="I184" i="4"/>
  <c r="I771" i="4"/>
  <c r="I358" i="4"/>
  <c r="I587" i="4"/>
  <c r="I360" i="4"/>
  <c r="I361" i="4"/>
  <c r="I601" i="4"/>
  <c r="I363" i="4"/>
  <c r="I927" i="4"/>
  <c r="I480" i="4"/>
  <c r="I366" i="4"/>
  <c r="I91" i="4"/>
  <c r="I267" i="4"/>
  <c r="I73" i="4"/>
  <c r="I370" i="4"/>
  <c r="I371" i="4"/>
  <c r="I399" i="4"/>
  <c r="I866" i="4"/>
  <c r="I181" i="4"/>
  <c r="I666" i="4"/>
  <c r="I452" i="4"/>
  <c r="I133" i="4"/>
  <c r="I30" i="4"/>
  <c r="I976" i="4"/>
  <c r="I380" i="4"/>
  <c r="I381" i="4"/>
  <c r="I271" i="4"/>
  <c r="I485" i="4"/>
  <c r="I999" i="4"/>
  <c r="I304" i="4"/>
  <c r="I39" i="4"/>
  <c r="I479" i="4"/>
  <c r="I464" i="4"/>
  <c r="I549" i="4"/>
  <c r="I187" i="4"/>
  <c r="I979" i="4"/>
  <c r="I392" i="4"/>
  <c r="I393" i="4"/>
  <c r="I781" i="4"/>
  <c r="I395" i="4"/>
  <c r="I396" i="4"/>
  <c r="I274" i="4"/>
  <c r="I449" i="4"/>
  <c r="I72" i="4"/>
  <c r="I179" i="4"/>
  <c r="I401" i="4"/>
  <c r="I635" i="4"/>
  <c r="I569" i="4"/>
  <c r="I404" i="4"/>
  <c r="I405" i="4"/>
  <c r="I653" i="4"/>
  <c r="I189" i="4"/>
  <c r="I773" i="4"/>
  <c r="I220" i="4"/>
  <c r="I598" i="4"/>
  <c r="I411" i="4"/>
  <c r="I414" i="4"/>
  <c r="I367" i="4"/>
  <c r="I804" i="4"/>
  <c r="I415" i="4"/>
  <c r="I38" i="4"/>
  <c r="I550" i="4"/>
  <c r="I732" i="4"/>
  <c r="I419" i="4"/>
  <c r="I40" i="4"/>
  <c r="I157" i="4"/>
  <c r="I422" i="4"/>
  <c r="I243" i="4"/>
  <c r="I424" i="4"/>
  <c r="I11" i="4"/>
  <c r="I212" i="4"/>
  <c r="I859" i="4"/>
  <c r="I588" i="4"/>
  <c r="I901" i="4"/>
  <c r="I430" i="4"/>
  <c r="I431" i="4"/>
  <c r="I432" i="4"/>
  <c r="I264" i="4"/>
  <c r="I442" i="4"/>
  <c r="I28" i="4"/>
  <c r="I152" i="4"/>
  <c r="I437" i="4"/>
  <c r="I284" i="4"/>
  <c r="I872" i="4"/>
  <c r="I992" i="4"/>
  <c r="I637" i="4"/>
  <c r="I161" i="4"/>
  <c r="I470" i="4"/>
  <c r="I748" i="4"/>
  <c r="I916" i="4"/>
  <c r="I446" i="4"/>
  <c r="I378" i="4"/>
  <c r="I448" i="4"/>
  <c r="I108" i="4"/>
  <c r="I100" i="4"/>
  <c r="I222" i="4"/>
  <c r="I715" i="4"/>
  <c r="I453" i="4"/>
  <c r="I454" i="4"/>
  <c r="I676" i="4"/>
  <c r="I456" i="4"/>
  <c r="I711" i="4"/>
  <c r="I713" i="4"/>
  <c r="I420" i="4"/>
  <c r="I460" i="4"/>
  <c r="I151" i="4"/>
  <c r="I699" i="4"/>
  <c r="I463" i="4"/>
  <c r="I615" i="4"/>
  <c r="I509" i="4"/>
  <c r="I501" i="4"/>
  <c r="I608" i="4"/>
  <c r="I270" i="4"/>
  <c r="I322" i="4"/>
  <c r="I770" i="4"/>
  <c r="I811" i="4"/>
  <c r="I472" i="4"/>
  <c r="I80" i="4"/>
  <c r="I474" i="4"/>
  <c r="I475" i="4"/>
  <c r="I753" i="4"/>
  <c r="I473" i="4"/>
  <c r="I518" i="4"/>
  <c r="I561" i="4"/>
  <c r="I250" i="4"/>
  <c r="I110" i="4"/>
  <c r="I974" i="4"/>
  <c r="I766" i="4"/>
  <c r="I81" i="4"/>
  <c r="I435" i="4"/>
  <c r="I303" i="4"/>
  <c r="I487" i="4"/>
  <c r="I488" i="4"/>
  <c r="I709" i="4"/>
  <c r="I490" i="4"/>
  <c r="I491" i="4"/>
  <c r="I138" i="4"/>
  <c r="I793" i="4"/>
  <c r="I494" i="4"/>
  <c r="I495" i="4"/>
  <c r="I457" i="4"/>
  <c r="I106" i="4"/>
  <c r="I493" i="4"/>
  <c r="I832" i="4"/>
  <c r="I235" i="4"/>
  <c r="I492" i="4"/>
  <c r="I706" i="4"/>
  <c r="I486" i="4"/>
  <c r="I767" i="4"/>
  <c r="I469" i="4"/>
  <c r="I782" i="4"/>
  <c r="I467" i="4"/>
  <c r="I199" i="4"/>
  <c r="I739" i="4"/>
  <c r="I539" i="4"/>
  <c r="I733" i="4"/>
  <c r="I512" i="4"/>
  <c r="I950" i="4"/>
  <c r="I888" i="4"/>
  <c r="I515" i="4"/>
  <c r="I164" i="4"/>
  <c r="I145" i="4"/>
  <c r="I226" i="4"/>
  <c r="I221" i="4"/>
  <c r="I980" i="4"/>
  <c r="I537" i="4"/>
  <c r="I174" i="4"/>
  <c r="I610" i="4"/>
  <c r="I524" i="4"/>
  <c r="I525" i="4"/>
  <c r="I618" i="4"/>
  <c r="I688" i="4"/>
  <c r="I966" i="4"/>
  <c r="I649" i="4"/>
  <c r="I530" i="4"/>
  <c r="I531" i="4"/>
  <c r="I532" i="4"/>
  <c r="I701" i="4"/>
  <c r="I523" i="4"/>
  <c r="I897" i="4"/>
  <c r="I536" i="4"/>
  <c r="I34" i="4"/>
  <c r="I538" i="4"/>
  <c r="I175" i="4"/>
  <c r="I754" i="4"/>
  <c r="I918" i="4"/>
  <c r="I142" i="4"/>
  <c r="I865" i="4"/>
  <c r="I544" i="4"/>
  <c r="I260" i="4"/>
  <c r="I546" i="4"/>
  <c r="I547" i="4"/>
  <c r="I681" i="4"/>
  <c r="I46" i="4"/>
  <c r="I418" i="4"/>
  <c r="I326" i="4"/>
  <c r="I429" i="4"/>
  <c r="I553" i="4"/>
  <c r="I10" i="4"/>
  <c r="I555" i="4"/>
  <c r="I425" i="4"/>
  <c r="I564" i="4"/>
  <c r="I970" i="4"/>
  <c r="I339" i="4"/>
  <c r="I822" i="4"/>
  <c r="I973" i="4"/>
  <c r="I592" i="4"/>
  <c r="I348" i="4"/>
  <c r="I139" i="4"/>
  <c r="I356" i="4"/>
  <c r="I566" i="4"/>
  <c r="I103" i="4"/>
  <c r="I639" i="4"/>
  <c r="I140" i="4"/>
  <c r="I570" i="4"/>
  <c r="I571" i="4"/>
  <c r="I511" i="4"/>
  <c r="I573" i="4"/>
  <c r="I406" i="4"/>
  <c r="I577" i="4"/>
  <c r="I576" i="4"/>
  <c r="I455" i="4"/>
  <c r="I936" i="4"/>
  <c r="I579" i="4"/>
  <c r="I292" i="4"/>
  <c r="I795" i="4"/>
  <c r="I622" i="4"/>
  <c r="I383" i="4"/>
  <c r="I775" i="4"/>
  <c r="I585" i="4"/>
  <c r="I586" i="4"/>
  <c r="I167" i="4"/>
  <c r="I658" i="4"/>
  <c r="I111" i="4"/>
  <c r="I590" i="4"/>
  <c r="I409" i="4"/>
  <c r="I57" i="4"/>
  <c r="I593" i="4"/>
  <c r="I236" i="4"/>
  <c r="I595" i="4"/>
  <c r="I596" i="4"/>
  <c r="I49" i="4"/>
  <c r="I6" i="4"/>
  <c r="I915" i="4"/>
  <c r="I600" i="4"/>
  <c r="I597" i="4"/>
  <c r="I602" i="4"/>
  <c r="I843" i="4"/>
  <c r="I98" i="4"/>
  <c r="I786" i="4"/>
  <c r="I818" i="4"/>
  <c r="I982" i="4"/>
  <c r="I112" i="4"/>
  <c r="I386" i="4"/>
  <c r="I698" i="4"/>
  <c r="I541" i="4"/>
  <c r="I529" i="4"/>
  <c r="I368" i="4"/>
  <c r="I240" i="4"/>
  <c r="I513" i="4"/>
  <c r="I426" i="4"/>
  <c r="I757" i="4"/>
  <c r="I345" i="4"/>
  <c r="I680" i="4"/>
  <c r="I227" i="4"/>
  <c r="I163" i="4"/>
  <c r="I70" i="4"/>
  <c r="I462" i="4"/>
  <c r="I42" i="4"/>
  <c r="I400" i="4"/>
  <c r="I657" i="4"/>
  <c r="I143" i="4"/>
  <c r="I169" i="4"/>
  <c r="I629" i="4"/>
  <c r="I630" i="4"/>
  <c r="I542" i="4"/>
  <c r="I29" i="4"/>
  <c r="I433" i="4"/>
  <c r="I928" i="4"/>
  <c r="I417" i="4"/>
  <c r="I939" i="4"/>
  <c r="I716" i="4"/>
  <c r="I768" i="4"/>
  <c r="I930" i="4"/>
  <c r="I58" i="4"/>
  <c r="I714" i="4"/>
  <c r="I809" i="4"/>
  <c r="I503" i="4"/>
  <c r="I410" i="4"/>
  <c r="I604" i="4"/>
  <c r="I502" i="4"/>
  <c r="I647" i="4"/>
  <c r="I648" i="4"/>
  <c r="I238" i="4"/>
  <c r="I650" i="4"/>
  <c r="I651" i="4"/>
  <c r="I780" i="4"/>
  <c r="I719" i="4"/>
  <c r="I482" i="4"/>
  <c r="I373" i="4"/>
  <c r="I904" i="4"/>
  <c r="I917" i="4"/>
  <c r="I219" i="4"/>
  <c r="I369" i="4"/>
  <c r="I239" i="4"/>
  <c r="I104" i="4"/>
  <c r="I662" i="4"/>
  <c r="I663" i="4"/>
  <c r="I56" i="4"/>
  <c r="I760" i="4"/>
  <c r="I330" i="4"/>
  <c r="I421" i="4"/>
  <c r="I478" i="4"/>
  <c r="I269" i="4"/>
  <c r="I543" i="4"/>
  <c r="I806" i="4"/>
  <c r="I645" i="4"/>
  <c r="I652" i="4"/>
  <c r="I673" i="4"/>
  <c r="I675" i="4"/>
  <c r="I206" i="4"/>
  <c r="I677" i="4"/>
  <c r="I678" i="4"/>
  <c r="I52" i="4"/>
  <c r="I312" i="4"/>
  <c r="I996" i="4"/>
  <c r="I682" i="4"/>
  <c r="I683" i="4"/>
  <c r="I684" i="4"/>
  <c r="I685" i="4"/>
  <c r="I686" i="4"/>
  <c r="I41" i="4"/>
  <c r="I535" i="4"/>
  <c r="I2" i="4"/>
  <c r="I690" i="4"/>
  <c r="I691" i="4"/>
  <c r="I194" i="4"/>
  <c r="I581" i="4"/>
  <c r="I854" i="4"/>
  <c r="I695" i="4"/>
  <c r="I696" i="4"/>
  <c r="I721" i="4"/>
  <c r="I253" i="4"/>
  <c r="I877" i="4"/>
  <c r="I824" i="4"/>
  <c r="I943" i="4"/>
  <c r="I808" i="4"/>
  <c r="I764" i="4"/>
  <c r="I704" i="4"/>
  <c r="I310" i="4"/>
  <c r="I522" i="4"/>
  <c r="I774" i="4"/>
  <c r="I860" i="4"/>
  <c r="I736" i="4"/>
  <c r="I428" i="4"/>
  <c r="I300" i="4"/>
  <c r="I712" i="4"/>
  <c r="I375" i="4"/>
  <c r="I642" i="4"/>
  <c r="I857" i="4"/>
  <c r="I83" i="4"/>
  <c r="I717" i="4"/>
  <c r="I718" i="4"/>
  <c r="I812" i="4"/>
  <c r="I819" i="4"/>
  <c r="I665" i="4"/>
  <c r="I63" i="4"/>
  <c r="I385" i="4"/>
  <c r="I792" i="4"/>
  <c r="I903" i="4"/>
  <c r="I505" i="4"/>
  <c r="I727" i="4"/>
  <c r="I823" i="4"/>
  <c r="I729" i="4"/>
  <c r="I730" i="4"/>
  <c r="I655" i="4"/>
  <c r="I242" i="4"/>
  <c r="I864" i="4"/>
  <c r="I734" i="4"/>
  <c r="I735" i="4"/>
  <c r="I248" i="4"/>
  <c r="I201" i="4"/>
  <c r="I738" i="4"/>
  <c r="I905" i="4"/>
  <c r="I722" i="4"/>
  <c r="I867" i="4"/>
  <c r="I627" i="4"/>
  <c r="I959" i="4"/>
  <c r="I878" i="4"/>
  <c r="I53" i="4"/>
  <c r="I679" i="4"/>
  <c r="I668" i="4"/>
  <c r="I191" i="4"/>
  <c r="I769" i="4"/>
  <c r="I910" i="4"/>
  <c r="I751" i="4"/>
  <c r="I752" i="4"/>
  <c r="I135" i="4"/>
  <c r="I606" i="4"/>
  <c r="I195" i="4"/>
  <c r="I620" i="4"/>
  <c r="I616" i="4"/>
  <c r="I517" i="4"/>
  <c r="I759" i="4"/>
  <c r="I886" i="4"/>
  <c r="I507" i="4"/>
  <c r="I660" i="4"/>
  <c r="I763" i="4"/>
  <c r="I278" i="4"/>
  <c r="I150" i="4"/>
  <c r="I737" i="4"/>
  <c r="I353" i="4"/>
  <c r="I659" i="4"/>
  <c r="I834" i="4"/>
  <c r="I5" i="4"/>
  <c r="I758" i="4"/>
  <c r="I726" i="4"/>
  <c r="I749" i="4"/>
  <c r="I99" i="4"/>
  <c r="I750" i="4"/>
  <c r="I776" i="4"/>
  <c r="I82" i="4"/>
  <c r="I778" i="4"/>
  <c r="I779" i="4"/>
  <c r="I412" i="4"/>
  <c r="I476" i="4"/>
  <c r="I387" i="4"/>
  <c r="I338" i="4"/>
  <c r="I611" i="4"/>
  <c r="I772" i="4"/>
  <c r="I344" i="4"/>
  <c r="I147" i="4"/>
  <c r="I788" i="4"/>
  <c r="I789" i="4"/>
  <c r="I200" i="4"/>
  <c r="I948" i="4"/>
  <c r="I36" i="4"/>
  <c r="I466" i="4"/>
  <c r="I858" i="4"/>
  <c r="I594" i="4"/>
  <c r="I153" i="4"/>
  <c r="I797" i="4"/>
  <c r="I798" i="4"/>
  <c r="I640" i="4"/>
  <c r="I800" i="4"/>
  <c r="I499" i="4"/>
  <c r="I731" i="4"/>
  <c r="I725" i="4"/>
  <c r="I644" i="4"/>
  <c r="I805" i="4"/>
  <c r="I671" i="4"/>
  <c r="I807" i="4"/>
  <c r="I533" i="4"/>
  <c r="I613" i="4"/>
  <c r="I584" i="4"/>
  <c r="I447" i="4"/>
  <c r="I364" i="4"/>
  <c r="I831" i="4"/>
  <c r="I814" i="4"/>
  <c r="I968" i="4"/>
  <c r="I816" i="4"/>
  <c r="I591" i="4"/>
  <c r="I213" i="4"/>
  <c r="I742" i="4"/>
  <c r="I31" i="4"/>
  <c r="I746" i="4"/>
  <c r="I967" i="4"/>
  <c r="I971" i="4"/>
  <c r="I519" i="4"/>
  <c r="I825" i="4"/>
  <c r="I826" i="4"/>
  <c r="I319" i="4"/>
  <c r="I828" i="4"/>
  <c r="I634" i="4"/>
  <c r="I830" i="4"/>
  <c r="I450" i="4"/>
  <c r="I969" i="4"/>
  <c r="I833" i="4"/>
  <c r="I229" i="4"/>
  <c r="I745" i="4"/>
  <c r="I836" i="4"/>
  <c r="I481" i="4"/>
  <c r="I803" i="4"/>
  <c r="I920" i="4"/>
  <c r="I840" i="4"/>
  <c r="I756" i="4"/>
  <c r="I842" i="4"/>
  <c r="I407" i="4"/>
  <c r="I504" i="4"/>
  <c r="I845" i="4"/>
  <c r="I75" i="4"/>
  <c r="I563" i="4"/>
  <c r="I205" i="4"/>
  <c r="I113" i="4"/>
  <c r="I850" i="4"/>
  <c r="I461" i="4"/>
  <c r="I434" i="4"/>
  <c r="I853" i="4"/>
  <c r="I15" i="4"/>
  <c r="I855" i="4"/>
  <c r="I625" i="4"/>
  <c r="I815" i="4"/>
  <c r="I136" i="4"/>
  <c r="I202" i="4"/>
  <c r="I331" i="4"/>
  <c r="I177" i="4"/>
  <c r="I862" i="4"/>
  <c r="I863" i="4"/>
  <c r="I159" i="4"/>
  <c r="I215" i="4"/>
  <c r="I907" i="4"/>
  <c r="I963" i="4"/>
  <c r="I646" i="4"/>
  <c r="I451" i="4"/>
  <c r="I870" i="4"/>
  <c r="I871" i="4"/>
  <c r="I528" i="4"/>
  <c r="I873" i="4"/>
  <c r="I895" i="4"/>
  <c r="I408" i="4"/>
  <c r="I876" i="4"/>
  <c r="I50" i="4"/>
  <c r="I603" i="4"/>
  <c r="I777" i="4"/>
  <c r="I998" i="4"/>
  <c r="I881" i="4"/>
  <c r="I882" i="4"/>
  <c r="I986" i="4"/>
  <c r="I884" i="4"/>
  <c r="I44" i="4"/>
  <c r="I984" i="4"/>
  <c r="I887" i="4"/>
  <c r="I305" i="4"/>
  <c r="I9" i="4"/>
  <c r="I389" i="4"/>
  <c r="I626" i="4"/>
  <c r="I892" i="4"/>
  <c r="I893" i="4"/>
  <c r="I321" i="4"/>
  <c r="I178" i="4"/>
  <c r="I896" i="4"/>
  <c r="I352" i="4"/>
  <c r="I188" i="4"/>
  <c r="I183" i="4"/>
  <c r="I171" i="4"/>
  <c r="I105" i="4"/>
  <c r="I965" i="4"/>
  <c r="I672" i="4"/>
  <c r="I661" i="4"/>
  <c r="I141" i="4"/>
  <c r="I489" i="4"/>
  <c r="I27" i="4"/>
  <c r="I909" i="4"/>
  <c r="I977" i="4"/>
  <c r="I710" i="4"/>
  <c r="I911" i="4"/>
  <c r="I912" i="4"/>
  <c r="I913" i="4"/>
  <c r="I24" i="4"/>
  <c r="I343" i="4"/>
  <c r="I388" i="4"/>
  <c r="I230" i="4"/>
  <c r="I844" i="4"/>
  <c r="I919" i="4"/>
  <c r="I790" i="4"/>
  <c r="I921" i="4"/>
  <c r="I890" i="4"/>
  <c r="I923" i="4"/>
  <c r="I924" i="4"/>
  <c r="I443" i="4"/>
  <c r="I810" i="4"/>
  <c r="I926" i="4"/>
  <c r="I510" i="4"/>
  <c r="I384" i="4"/>
  <c r="I506" i="4"/>
  <c r="I349" i="4"/>
  <c r="I612" i="4"/>
  <c r="I933" i="4"/>
  <c r="I934" i="4"/>
  <c r="I981" i="4"/>
  <c r="I374" i="4"/>
  <c r="I702" i="4"/>
  <c r="I670" i="4"/>
  <c r="I902" i="4"/>
  <c r="I851" i="4"/>
  <c r="I941" i="4"/>
  <c r="I272" i="4"/>
  <c r="I636" i="4"/>
  <c r="I520" i="4"/>
  <c r="I700" i="4"/>
  <c r="I946" i="4"/>
  <c r="I947" i="4"/>
  <c r="I692" i="4"/>
  <c r="I945" i="4"/>
  <c r="I444" i="4"/>
  <c r="I951" i="4"/>
  <c r="I827" i="4"/>
  <c r="I953" i="4"/>
  <c r="I835" i="4"/>
  <c r="I376" i="4"/>
  <c r="I956" i="4"/>
  <c r="I957" i="4"/>
  <c r="I301" i="4"/>
  <c r="I641" i="4"/>
  <c r="I245" i="4"/>
  <c r="I468" i="4"/>
  <c r="I962" i="4"/>
  <c r="I47" i="4"/>
  <c r="I964" i="4"/>
  <c r="I674" i="4"/>
  <c r="I560" i="4"/>
  <c r="I76" i="4"/>
  <c r="I336" i="4"/>
  <c r="I173" i="4"/>
  <c r="I619" i="4"/>
  <c r="I190" i="4"/>
  <c r="I972" i="4"/>
  <c r="I149" i="4"/>
  <c r="I667" i="4"/>
  <c r="I273" i="4"/>
  <c r="I551" i="4"/>
  <c r="I403" i="4"/>
  <c r="I477" i="4"/>
  <c r="I439" i="4"/>
  <c r="I847" i="4"/>
  <c r="I765" i="4"/>
  <c r="I875" i="4"/>
  <c r="I599" i="4"/>
  <c r="I351" i="4"/>
  <c r="I985" i="4"/>
  <c r="I821" i="4"/>
  <c r="I987" i="4"/>
  <c r="I988" i="4"/>
  <c r="I989" i="4"/>
  <c r="I413" i="4"/>
  <c r="I991" i="4"/>
  <c r="I562" i="4"/>
  <c r="I898" i="4"/>
  <c r="I995" i="4"/>
  <c r="I86" i="4"/>
  <c r="I787" i="4"/>
  <c r="I942" i="4"/>
  <c r="I689" i="4"/>
  <c r="I1000" i="4"/>
  <c r="I1001" i="4"/>
  <c r="L906" i="4"/>
  <c r="L4" i="4"/>
  <c r="L552" i="4"/>
  <c r="L125" i="4"/>
  <c r="L7" i="4"/>
  <c r="L846" i="4"/>
  <c r="L534" i="4"/>
  <c r="L362" i="4"/>
  <c r="L931" i="4"/>
  <c r="L12" i="4"/>
  <c r="L940" i="4"/>
  <c r="L59" i="4"/>
  <c r="L398" i="4"/>
  <c r="L16" i="4"/>
  <c r="L17" i="4"/>
  <c r="L277" i="4"/>
  <c r="L19" i="4"/>
  <c r="L20" i="4"/>
  <c r="L869" i="4"/>
  <c r="L879" i="4"/>
  <c r="L23" i="4"/>
  <c r="L129" i="4"/>
  <c r="L25" i="4"/>
  <c r="L26" i="4"/>
  <c r="L937" i="4"/>
  <c r="L359" i="4"/>
  <c r="L211" i="4"/>
  <c r="L276" i="4"/>
  <c r="L707" i="4"/>
  <c r="L32" i="4"/>
  <c r="L33" i="4"/>
  <c r="L302" i="4"/>
  <c r="L35" i="4"/>
  <c r="L785" i="4"/>
  <c r="L37" i="4"/>
  <c r="L275" i="4"/>
  <c r="L852" i="4"/>
  <c r="L914" i="4"/>
  <c r="L925" i="4"/>
  <c r="L377" i="4"/>
  <c r="L43" i="4"/>
  <c r="L51" i="4"/>
  <c r="L168" i="4"/>
  <c r="L582" i="4"/>
  <c r="L997" i="4"/>
  <c r="L48" i="4"/>
  <c r="L580" i="4"/>
  <c r="L521" i="4"/>
  <c r="L289" i="4"/>
  <c r="L669" i="4"/>
  <c r="L459" i="4"/>
  <c r="L54" i="4"/>
  <c r="L55" i="4"/>
  <c r="L848" i="4"/>
  <c r="L548" i="4"/>
  <c r="L60" i="4"/>
  <c r="L994" i="4"/>
  <c r="L87" i="4"/>
  <c r="L61" i="4"/>
  <c r="L62" i="4"/>
  <c r="L607" i="4"/>
  <c r="L64" i="4"/>
  <c r="L65" i="4"/>
  <c r="L66" i="4"/>
  <c r="L67" i="4"/>
  <c r="L68" i="4"/>
  <c r="L69" i="4"/>
  <c r="L192" i="4"/>
  <c r="L114" i="4"/>
  <c r="L186" i="4"/>
  <c r="L705" i="4"/>
  <c r="L74" i="4"/>
  <c r="L728" i="4"/>
  <c r="L170" i="4"/>
  <c r="L438" i="4"/>
  <c r="L78" i="4"/>
  <c r="L357" i="4"/>
  <c r="L137" i="4"/>
  <c r="L3" i="4"/>
  <c r="L307" i="4"/>
  <c r="L899" i="4"/>
  <c r="L84" i="4"/>
  <c r="L85" i="4"/>
  <c r="L207" i="4"/>
  <c r="L900" i="4"/>
  <c r="L88" i="4"/>
  <c r="L89" i="4"/>
  <c r="L166" i="4"/>
  <c r="L288" i="4"/>
  <c r="L92" i="4"/>
  <c r="L77" i="4"/>
  <c r="L94" i="4"/>
  <c r="L761" i="4"/>
  <c r="L296" i="4"/>
  <c r="L783" i="4"/>
  <c r="L223" i="4"/>
  <c r="L643" i="4"/>
  <c r="L117" i="4"/>
  <c r="L101" i="4"/>
  <c r="L102" i="4"/>
  <c r="L632" i="4"/>
  <c r="L185" i="4"/>
  <c r="L496" i="4"/>
  <c r="L802" i="4"/>
  <c r="L107" i="4"/>
  <c r="L697" i="4"/>
  <c r="L71" i="4"/>
  <c r="L623" i="4"/>
  <c r="L471" i="4"/>
  <c r="L567" i="4"/>
  <c r="L95" i="4"/>
  <c r="L402" i="4"/>
  <c r="L115" i="4"/>
  <c r="L116" i="4"/>
  <c r="L724" i="4"/>
  <c r="L960" i="4"/>
  <c r="L119" i="4"/>
  <c r="L120" i="4"/>
  <c r="L949" i="4"/>
  <c r="L122" i="4"/>
  <c r="L123" i="4"/>
  <c r="L861" i="4"/>
  <c r="L283" i="4"/>
  <c r="L755" i="4"/>
  <c r="L762" i="4"/>
  <c r="L128" i="4"/>
  <c r="L465" i="4"/>
  <c r="L545" i="4"/>
  <c r="L799" i="4"/>
  <c r="L132" i="4"/>
  <c r="L664" i="4"/>
  <c r="L134" i="4"/>
  <c r="L93" i="4"/>
  <c r="L694" i="4"/>
  <c r="L13" i="4"/>
  <c r="L237" i="4"/>
  <c r="L416" i="4"/>
  <c r="L559" i="4"/>
  <c r="L144" i="4"/>
  <c r="L346" i="4"/>
  <c r="L605" i="4"/>
  <c r="L18" i="4"/>
  <c r="L256" i="4"/>
  <c r="L146" i="4"/>
  <c r="L565" i="4"/>
  <c r="L148" i="4"/>
  <c r="L262" i="4"/>
  <c r="L79" i="4"/>
  <c r="L484" i="4"/>
  <c r="L45" i="4"/>
  <c r="L516" i="4"/>
  <c r="L154" i="4"/>
  <c r="L155" i="4"/>
  <c r="L156" i="4"/>
  <c r="L280" i="4"/>
  <c r="L838" i="4"/>
  <c r="L22" i="4"/>
  <c r="L160" i="4"/>
  <c r="L180" i="4"/>
  <c r="L162" i="4"/>
  <c r="L315" i="4"/>
  <c r="L427" i="4"/>
  <c r="L254" i="4"/>
  <c r="L880" i="4"/>
  <c r="L526" i="4"/>
  <c r="L572" i="4"/>
  <c r="L347" i="4"/>
  <c r="L176" i="4"/>
  <c r="L96" i="4"/>
  <c r="L172" i="4"/>
  <c r="L342" i="4"/>
  <c r="L849" i="4"/>
  <c r="L266" i="4"/>
  <c r="L624" i="4"/>
  <c r="L889" i="4"/>
  <c r="L687" i="4"/>
  <c r="L747" i="4"/>
  <c r="L874" i="4"/>
  <c r="L817" i="4"/>
  <c r="L182" i="4"/>
  <c r="L829" i="4"/>
  <c r="L558" i="4"/>
  <c r="L720" i="4"/>
  <c r="L952" i="4"/>
  <c r="L21" i="4"/>
  <c r="L955" i="4"/>
  <c r="L497" i="4"/>
  <c r="L978" i="4"/>
  <c r="L423" i="4"/>
  <c r="L578" i="4"/>
  <c r="L193" i="4"/>
  <c r="L841" i="4"/>
  <c r="L938" i="4"/>
  <c r="L196" i="4"/>
  <c r="L197" i="4"/>
  <c r="L198" i="4"/>
  <c r="L839" i="4"/>
  <c r="L365" i="4"/>
  <c r="L458" i="4"/>
  <c r="L121" i="4"/>
  <c r="L299" i="4"/>
  <c r="L204" i="4"/>
  <c r="L397" i="4"/>
  <c r="L14" i="4"/>
  <c r="L554" i="4"/>
  <c r="L208" i="4"/>
  <c r="L209" i="4"/>
  <c r="L210" i="4"/>
  <c r="L654" i="4"/>
  <c r="L445" i="4"/>
  <c r="L218" i="4"/>
  <c r="L954" i="4"/>
  <c r="L217" i="4"/>
  <c r="L216" i="4"/>
  <c r="L394" i="4"/>
  <c r="L379" i="4"/>
  <c r="L124" i="4"/>
  <c r="L203" i="4"/>
  <c r="L885" i="4"/>
  <c r="L382" i="4"/>
  <c r="L723" i="4"/>
  <c r="L224" i="4"/>
  <c r="L589" i="4"/>
  <c r="L556" i="4"/>
  <c r="L656" i="4"/>
  <c r="L228" i="4"/>
  <c r="L958" i="4"/>
  <c r="L127" i="4"/>
  <c r="L293" i="4"/>
  <c r="L232" i="4"/>
  <c r="L233" i="4"/>
  <c r="L932" i="4"/>
  <c r="L621" i="4"/>
  <c r="L118" i="4"/>
  <c r="L908" i="4"/>
  <c r="L813" i="4"/>
  <c r="L214" i="4"/>
  <c r="L743" i="4"/>
  <c r="L241" i="4"/>
  <c r="L894" i="4"/>
  <c r="L633" i="4"/>
  <c r="L244" i="4"/>
  <c r="L794" i="4"/>
  <c r="L328" i="4"/>
  <c r="L856" i="4"/>
  <c r="L614" i="4"/>
  <c r="L935" i="4"/>
  <c r="L390" i="4"/>
  <c r="L251" i="4"/>
  <c r="L252" i="4"/>
  <c r="L287" i="4"/>
  <c r="L354" i="4"/>
  <c r="L255" i="4"/>
  <c r="L97" i="4"/>
  <c r="L257" i="4"/>
  <c r="L258" i="4"/>
  <c r="L259" i="4"/>
  <c r="L234" i="4"/>
  <c r="L261" i="4"/>
  <c r="L975" i="4"/>
  <c r="L263" i="4"/>
  <c r="L508" i="4"/>
  <c r="L265" i="4"/>
  <c r="L247" i="4"/>
  <c r="L708" i="4"/>
  <c r="L268" i="4"/>
  <c r="L574" i="4"/>
  <c r="L990" i="4"/>
  <c r="L796" i="4"/>
  <c r="L784" i="4"/>
  <c r="L440" i="4"/>
  <c r="L294" i="4"/>
  <c r="L744" i="4"/>
  <c r="L329" i="4"/>
  <c r="L891" i="4"/>
  <c r="L983" i="4"/>
  <c r="L279" i="4"/>
  <c r="L883" i="4"/>
  <c r="L281" i="4"/>
  <c r="L282" i="4"/>
  <c r="L922" i="4"/>
  <c r="L801" i="4"/>
  <c r="L109" i="4"/>
  <c r="L8" i="4"/>
  <c r="L325" i="4"/>
  <c r="L527" i="4"/>
  <c r="L609" i="4"/>
  <c r="L295" i="4"/>
  <c r="L291" i="4"/>
  <c r="L514" i="4"/>
  <c r="L740" i="4"/>
  <c r="L929" i="4"/>
  <c r="L225" i="4"/>
  <c r="L483" i="4"/>
  <c r="L297" i="4"/>
  <c r="L298" i="4"/>
  <c r="L820" i="4"/>
  <c r="L575" i="4"/>
  <c r="L131" i="4"/>
  <c r="L249" i="4"/>
  <c r="L441" i="4"/>
  <c r="L498" i="4"/>
  <c r="L583" i="4"/>
  <c r="L306" i="4"/>
  <c r="L372" i="4"/>
  <c r="L308" i="4"/>
  <c r="L309" i="4"/>
  <c r="L617" i="4"/>
  <c r="L311" i="4"/>
  <c r="L961" i="4"/>
  <c r="L313" i="4"/>
  <c r="L314" i="4"/>
  <c r="L837" i="4"/>
  <c r="L316" i="4"/>
  <c r="L317" i="4"/>
  <c r="L318" i="4"/>
  <c r="L323" i="4"/>
  <c r="L320" i="4"/>
  <c r="L231" i="4"/>
  <c r="L568" i="4"/>
  <c r="L90" i="4"/>
  <c r="L324" i="4"/>
  <c r="L557" i="4"/>
  <c r="L628" i="4"/>
  <c r="L327" i="4"/>
  <c r="L126" i="4"/>
  <c r="L540" i="4"/>
  <c r="L944" i="4"/>
  <c r="L500" i="4"/>
  <c r="L332" i="4"/>
  <c r="L333" i="4"/>
  <c r="L334" i="4"/>
  <c r="L335" i="4"/>
  <c r="L158" i="4"/>
  <c r="L337" i="4"/>
  <c r="L165" i="4"/>
  <c r="L741" i="4"/>
  <c r="L868" i="4"/>
  <c r="L341" i="4"/>
  <c r="L703" i="4"/>
  <c r="L638" i="4"/>
  <c r="L286" i="4"/>
  <c r="L130" i="4"/>
  <c r="L391" i="4"/>
  <c r="L693" i="4"/>
  <c r="L290" i="4"/>
  <c r="L340" i="4"/>
  <c r="L350" i="4"/>
  <c r="L791" i="4"/>
  <c r="L631" i="4"/>
  <c r="L285" i="4"/>
  <c r="L246" i="4"/>
  <c r="L355" i="4"/>
  <c r="L184" i="4"/>
  <c r="L771" i="4"/>
  <c r="L358" i="4"/>
  <c r="L587" i="4"/>
  <c r="L360" i="4"/>
  <c r="L361" i="4"/>
  <c r="L601" i="4"/>
  <c r="L363" i="4"/>
  <c r="L927" i="4"/>
  <c r="L480" i="4"/>
  <c r="L366" i="4"/>
  <c r="L91" i="4"/>
  <c r="L267" i="4"/>
  <c r="L73" i="4"/>
  <c r="L370" i="4"/>
  <c r="L371" i="4"/>
  <c r="L399" i="4"/>
  <c r="L866" i="4"/>
  <c r="L181" i="4"/>
  <c r="L666" i="4"/>
  <c r="L452" i="4"/>
  <c r="L133" i="4"/>
  <c r="L30" i="4"/>
  <c r="L976" i="4"/>
  <c r="L380" i="4"/>
  <c r="L381" i="4"/>
  <c r="L271" i="4"/>
  <c r="L485" i="4"/>
  <c r="L999" i="4"/>
  <c r="L304" i="4"/>
  <c r="L39" i="4"/>
  <c r="L479" i="4"/>
  <c r="L464" i="4"/>
  <c r="L549" i="4"/>
  <c r="L187" i="4"/>
  <c r="L979" i="4"/>
  <c r="L392" i="4"/>
  <c r="L393" i="4"/>
  <c r="L781" i="4"/>
  <c r="L395" i="4"/>
  <c r="L396" i="4"/>
  <c r="L274" i="4"/>
  <c r="L449" i="4"/>
  <c r="L72" i="4"/>
  <c r="L179" i="4"/>
  <c r="L401" i="4"/>
  <c r="L635" i="4"/>
  <c r="L569" i="4"/>
  <c r="L404" i="4"/>
  <c r="L405" i="4"/>
  <c r="L653" i="4"/>
  <c r="L189" i="4"/>
  <c r="L773" i="4"/>
  <c r="L220" i="4"/>
  <c r="L598" i="4"/>
  <c r="L411" i="4"/>
  <c r="L414" i="4"/>
  <c r="L367" i="4"/>
  <c r="L804" i="4"/>
  <c r="L415" i="4"/>
  <c r="L38" i="4"/>
  <c r="L550" i="4"/>
  <c r="L732" i="4"/>
  <c r="L419" i="4"/>
  <c r="L40" i="4"/>
  <c r="L157" i="4"/>
  <c r="L422" i="4"/>
  <c r="L243" i="4"/>
  <c r="L424" i="4"/>
  <c r="L11" i="4"/>
  <c r="L212" i="4"/>
  <c r="L859" i="4"/>
  <c r="L588" i="4"/>
  <c r="L901" i="4"/>
  <c r="L430" i="4"/>
  <c r="L431" i="4"/>
  <c r="L432" i="4"/>
  <c r="L264" i="4"/>
  <c r="L442" i="4"/>
  <c r="L28" i="4"/>
  <c r="L152" i="4"/>
  <c r="L437" i="4"/>
  <c r="L284" i="4"/>
  <c r="L872" i="4"/>
  <c r="L992" i="4"/>
  <c r="L637" i="4"/>
  <c r="L161" i="4"/>
  <c r="L470" i="4"/>
  <c r="L748" i="4"/>
  <c r="L916" i="4"/>
  <c r="L446" i="4"/>
  <c r="L378" i="4"/>
  <c r="L448" i="4"/>
  <c r="L108" i="4"/>
  <c r="L100" i="4"/>
  <c r="L222" i="4"/>
  <c r="L715" i="4"/>
  <c r="L453" i="4"/>
  <c r="L454" i="4"/>
  <c r="L676" i="4"/>
  <c r="L456" i="4"/>
  <c r="L711" i="4"/>
  <c r="L713" i="4"/>
  <c r="L420" i="4"/>
  <c r="L460" i="4"/>
  <c r="L151" i="4"/>
  <c r="L699" i="4"/>
  <c r="L463" i="4"/>
  <c r="L615" i="4"/>
  <c r="L509" i="4"/>
  <c r="L501" i="4"/>
  <c r="L608" i="4"/>
  <c r="L270" i="4"/>
  <c r="L322" i="4"/>
  <c r="L770" i="4"/>
  <c r="L811" i="4"/>
  <c r="L472" i="4"/>
  <c r="L80" i="4"/>
  <c r="L474" i="4"/>
  <c r="L475" i="4"/>
  <c r="L753" i="4"/>
  <c r="L473" i="4"/>
  <c r="L518" i="4"/>
  <c r="L561" i="4"/>
  <c r="L250" i="4"/>
  <c r="L110" i="4"/>
  <c r="L974" i="4"/>
  <c r="L766" i="4"/>
  <c r="L81" i="4"/>
  <c r="L435" i="4"/>
  <c r="L303" i="4"/>
  <c r="L487" i="4"/>
  <c r="L488" i="4"/>
  <c r="L709" i="4"/>
  <c r="L490" i="4"/>
  <c r="L491" i="4"/>
  <c r="L138" i="4"/>
  <c r="L793" i="4"/>
  <c r="L494" i="4"/>
  <c r="L495" i="4"/>
  <c r="L457" i="4"/>
  <c r="L106" i="4"/>
  <c r="L493" i="4"/>
  <c r="L832" i="4"/>
  <c r="L235" i="4"/>
  <c r="L492" i="4"/>
  <c r="L706" i="4"/>
  <c r="L486" i="4"/>
  <c r="L767" i="4"/>
  <c r="L469" i="4"/>
  <c r="L782" i="4"/>
  <c r="L467" i="4"/>
  <c r="L199" i="4"/>
  <c r="L739" i="4"/>
  <c r="L539" i="4"/>
  <c r="L733" i="4"/>
  <c r="L512" i="4"/>
  <c r="L950" i="4"/>
  <c r="L888" i="4"/>
  <c r="L515" i="4"/>
  <c r="L164" i="4"/>
  <c r="L145" i="4"/>
  <c r="L226" i="4"/>
  <c r="L221" i="4"/>
  <c r="L980" i="4"/>
  <c r="L537" i="4"/>
  <c r="L174" i="4"/>
  <c r="L610" i="4"/>
  <c r="L524" i="4"/>
  <c r="L525" i="4"/>
  <c r="L618" i="4"/>
  <c r="L688" i="4"/>
  <c r="L966" i="4"/>
  <c r="L649" i="4"/>
  <c r="L530" i="4"/>
  <c r="L531" i="4"/>
  <c r="L532" i="4"/>
  <c r="L701" i="4"/>
  <c r="L523" i="4"/>
  <c r="L897" i="4"/>
  <c r="L536" i="4"/>
  <c r="L34" i="4"/>
  <c r="L538" i="4"/>
  <c r="L175" i="4"/>
  <c r="L754" i="4"/>
  <c r="L918" i="4"/>
  <c r="L142" i="4"/>
  <c r="L865" i="4"/>
  <c r="L544" i="4"/>
  <c r="L260" i="4"/>
  <c r="L546" i="4"/>
  <c r="L547" i="4"/>
  <c r="L681" i="4"/>
  <c r="L46" i="4"/>
  <c r="L418" i="4"/>
  <c r="L326" i="4"/>
  <c r="L429" i="4"/>
  <c r="L553" i="4"/>
  <c r="L10" i="4"/>
  <c r="L555" i="4"/>
  <c r="L425" i="4"/>
  <c r="L564" i="4"/>
  <c r="L970" i="4"/>
  <c r="L339" i="4"/>
  <c r="L822" i="4"/>
  <c r="L973" i="4"/>
  <c r="L592" i="4"/>
  <c r="L348" i="4"/>
  <c r="L139" i="4"/>
  <c r="L356" i="4"/>
  <c r="L566" i="4"/>
  <c r="L103" i="4"/>
  <c r="L639" i="4"/>
  <c r="L140" i="4"/>
  <c r="L570" i="4"/>
  <c r="L571" i="4"/>
  <c r="L511" i="4"/>
  <c r="L573" i="4"/>
  <c r="L406" i="4"/>
  <c r="L577" i="4"/>
  <c r="L576" i="4"/>
  <c r="L455" i="4"/>
  <c r="L936" i="4"/>
  <c r="L579" i="4"/>
  <c r="L292" i="4"/>
  <c r="L795" i="4"/>
  <c r="L622" i="4"/>
  <c r="L383" i="4"/>
  <c r="L775" i="4"/>
  <c r="L585" i="4"/>
  <c r="L586" i="4"/>
  <c r="L167" i="4"/>
  <c r="L658" i="4"/>
  <c r="L111" i="4"/>
  <c r="L590" i="4"/>
  <c r="L409" i="4"/>
  <c r="L57" i="4"/>
  <c r="L593" i="4"/>
  <c r="L236" i="4"/>
  <c r="L595" i="4"/>
  <c r="L596" i="4"/>
  <c r="L49" i="4"/>
  <c r="L6" i="4"/>
  <c r="L915" i="4"/>
  <c r="L600" i="4"/>
  <c r="L597" i="4"/>
  <c r="L602" i="4"/>
  <c r="L843" i="4"/>
  <c r="L98" i="4"/>
  <c r="L786" i="4"/>
  <c r="L818" i="4"/>
  <c r="L982" i="4"/>
  <c r="L112" i="4"/>
  <c r="L386" i="4"/>
  <c r="L698" i="4"/>
  <c r="L541" i="4"/>
  <c r="L529" i="4"/>
  <c r="L368" i="4"/>
  <c r="L240" i="4"/>
  <c r="L513" i="4"/>
  <c r="L426" i="4"/>
  <c r="L757" i="4"/>
  <c r="L345" i="4"/>
  <c r="L680" i="4"/>
  <c r="L227" i="4"/>
  <c r="L163" i="4"/>
  <c r="L70" i="4"/>
  <c r="L462" i="4"/>
  <c r="L42" i="4"/>
  <c r="L400" i="4"/>
  <c r="L657" i="4"/>
  <c r="L143" i="4"/>
  <c r="L169" i="4"/>
  <c r="L629" i="4"/>
  <c r="L630" i="4"/>
  <c r="L542" i="4"/>
  <c r="L29" i="4"/>
  <c r="L433" i="4"/>
  <c r="L928" i="4"/>
  <c r="L417" i="4"/>
  <c r="L939" i="4"/>
  <c r="L716" i="4"/>
  <c r="L768" i="4"/>
  <c r="L930" i="4"/>
  <c r="L58" i="4"/>
  <c r="L714" i="4"/>
  <c r="L809" i="4"/>
  <c r="L503" i="4"/>
  <c r="L410" i="4"/>
  <c r="L604" i="4"/>
  <c r="L502" i="4"/>
  <c r="L647" i="4"/>
  <c r="L648" i="4"/>
  <c r="L238" i="4"/>
  <c r="L650" i="4"/>
  <c r="L651" i="4"/>
  <c r="L780" i="4"/>
  <c r="L719" i="4"/>
  <c r="L482" i="4"/>
  <c r="L373" i="4"/>
  <c r="L904" i="4"/>
  <c r="L917" i="4"/>
  <c r="L219" i="4"/>
  <c r="L369" i="4"/>
  <c r="L239" i="4"/>
  <c r="L104" i="4"/>
  <c r="L662" i="4"/>
  <c r="L663" i="4"/>
  <c r="L56" i="4"/>
  <c r="L760" i="4"/>
  <c r="L330" i="4"/>
  <c r="L421" i="4"/>
  <c r="L478" i="4"/>
  <c r="L269" i="4"/>
  <c r="L543" i="4"/>
  <c r="L806" i="4"/>
  <c r="L645" i="4"/>
  <c r="L652" i="4"/>
  <c r="L673" i="4"/>
  <c r="L675" i="4"/>
  <c r="L206" i="4"/>
  <c r="L677" i="4"/>
  <c r="L678" i="4"/>
  <c r="L52" i="4"/>
  <c r="L312" i="4"/>
  <c r="L996" i="4"/>
  <c r="L682" i="4"/>
  <c r="L683" i="4"/>
  <c r="L684" i="4"/>
  <c r="L685" i="4"/>
  <c r="L686" i="4"/>
  <c r="L41" i="4"/>
  <c r="L535" i="4"/>
  <c r="L2" i="4"/>
  <c r="L690" i="4"/>
  <c r="L691" i="4"/>
  <c r="L194" i="4"/>
  <c r="L581" i="4"/>
  <c r="L854" i="4"/>
  <c r="L695" i="4"/>
  <c r="L696" i="4"/>
  <c r="L721" i="4"/>
  <c r="L253" i="4"/>
  <c r="L877" i="4"/>
  <c r="L824" i="4"/>
  <c r="L943" i="4"/>
  <c r="L808" i="4"/>
  <c r="L764" i="4"/>
  <c r="L704" i="4"/>
  <c r="L310" i="4"/>
  <c r="L522" i="4"/>
  <c r="L774" i="4"/>
  <c r="L860" i="4"/>
  <c r="L736" i="4"/>
  <c r="L428" i="4"/>
  <c r="L300" i="4"/>
  <c r="L712" i="4"/>
  <c r="L375" i="4"/>
  <c r="L642" i="4"/>
  <c r="L857" i="4"/>
  <c r="L83" i="4"/>
  <c r="L717" i="4"/>
  <c r="L718" i="4"/>
  <c r="L812" i="4"/>
  <c r="L819" i="4"/>
  <c r="L665" i="4"/>
  <c r="L63" i="4"/>
  <c r="L385" i="4"/>
  <c r="L792" i="4"/>
  <c r="L903" i="4"/>
  <c r="L505" i="4"/>
  <c r="L727" i="4"/>
  <c r="L823" i="4"/>
  <c r="L729" i="4"/>
  <c r="L730" i="4"/>
  <c r="L655" i="4"/>
  <c r="L242" i="4"/>
  <c r="L864" i="4"/>
  <c r="L734" i="4"/>
  <c r="L735" i="4"/>
  <c r="L248" i="4"/>
  <c r="L201" i="4"/>
  <c r="L738" i="4"/>
  <c r="L905" i="4"/>
  <c r="L722" i="4"/>
  <c r="L867" i="4"/>
  <c r="L627" i="4"/>
  <c r="L959" i="4"/>
  <c r="L878" i="4"/>
  <c r="L53" i="4"/>
  <c r="L679" i="4"/>
  <c r="L668" i="4"/>
  <c r="L191" i="4"/>
  <c r="L769" i="4"/>
  <c r="L910" i="4"/>
  <c r="L751" i="4"/>
  <c r="L752" i="4"/>
  <c r="L135" i="4"/>
  <c r="L606" i="4"/>
  <c r="L195" i="4"/>
  <c r="L620" i="4"/>
  <c r="L616" i="4"/>
  <c r="L517" i="4"/>
  <c r="L759" i="4"/>
  <c r="L886" i="4"/>
  <c r="L507" i="4"/>
  <c r="L660" i="4"/>
  <c r="L763" i="4"/>
  <c r="L278" i="4"/>
  <c r="L150" i="4"/>
  <c r="L737" i="4"/>
  <c r="L353" i="4"/>
  <c r="L659" i="4"/>
  <c r="L834" i="4"/>
  <c r="L5" i="4"/>
  <c r="L758" i="4"/>
  <c r="L726" i="4"/>
  <c r="L749" i="4"/>
  <c r="L99" i="4"/>
  <c r="L750" i="4"/>
  <c r="L776" i="4"/>
  <c r="L82" i="4"/>
  <c r="L778" i="4"/>
  <c r="L779" i="4"/>
  <c r="L412" i="4"/>
  <c r="L476" i="4"/>
  <c r="L387" i="4"/>
  <c r="L338" i="4"/>
  <c r="L611" i="4"/>
  <c r="L772" i="4"/>
  <c r="L344" i="4"/>
  <c r="L147" i="4"/>
  <c r="L788" i="4"/>
  <c r="L789" i="4"/>
  <c r="L200" i="4"/>
  <c r="L948" i="4"/>
  <c r="L36" i="4"/>
  <c r="L466" i="4"/>
  <c r="L858" i="4"/>
  <c r="L594" i="4"/>
  <c r="L153" i="4"/>
  <c r="L797" i="4"/>
  <c r="L798" i="4"/>
  <c r="L640" i="4"/>
  <c r="L800" i="4"/>
  <c r="L499" i="4"/>
  <c r="L731" i="4"/>
  <c r="L725" i="4"/>
  <c r="L644" i="4"/>
  <c r="L805" i="4"/>
  <c r="L671" i="4"/>
  <c r="L807" i="4"/>
  <c r="L533" i="4"/>
  <c r="L613" i="4"/>
  <c r="L584" i="4"/>
  <c r="L447" i="4"/>
  <c r="L364" i="4"/>
  <c r="L831" i="4"/>
  <c r="L814" i="4"/>
  <c r="L968" i="4"/>
  <c r="L816" i="4"/>
  <c r="L591" i="4"/>
  <c r="L213" i="4"/>
  <c r="L742" i="4"/>
  <c r="L31" i="4"/>
  <c r="L746" i="4"/>
  <c r="L967" i="4"/>
  <c r="L971" i="4"/>
  <c r="L519" i="4"/>
  <c r="L825" i="4"/>
  <c r="L826" i="4"/>
  <c r="L319" i="4"/>
  <c r="L828" i="4"/>
  <c r="L634" i="4"/>
  <c r="L830" i="4"/>
  <c r="L450" i="4"/>
  <c r="L969" i="4"/>
  <c r="L833" i="4"/>
  <c r="L229" i="4"/>
  <c r="L745" i="4"/>
  <c r="L836" i="4"/>
  <c r="L481" i="4"/>
  <c r="L803" i="4"/>
  <c r="L920" i="4"/>
  <c r="L840" i="4"/>
  <c r="L756" i="4"/>
  <c r="L842" i="4"/>
  <c r="L407" i="4"/>
  <c r="L504" i="4"/>
  <c r="L845" i="4"/>
  <c r="L75" i="4"/>
  <c r="L563" i="4"/>
  <c r="L205" i="4"/>
  <c r="L113" i="4"/>
  <c r="L850" i="4"/>
  <c r="L461" i="4"/>
  <c r="L434" i="4"/>
  <c r="L853" i="4"/>
  <c r="L15" i="4"/>
  <c r="L855" i="4"/>
  <c r="L625" i="4"/>
  <c r="L815" i="4"/>
  <c r="L136" i="4"/>
  <c r="L202" i="4"/>
  <c r="L331" i="4"/>
  <c r="L177" i="4"/>
  <c r="L862" i="4"/>
  <c r="L863" i="4"/>
  <c r="L159" i="4"/>
  <c r="L215" i="4"/>
  <c r="L907" i="4"/>
  <c r="L963" i="4"/>
  <c r="L646" i="4"/>
  <c r="L451" i="4"/>
  <c r="L870" i="4"/>
  <c r="L871" i="4"/>
  <c r="L528" i="4"/>
  <c r="L873" i="4"/>
  <c r="L895" i="4"/>
  <c r="L408" i="4"/>
  <c r="L876" i="4"/>
  <c r="L50" i="4"/>
  <c r="L603" i="4"/>
  <c r="L777" i="4"/>
  <c r="L998" i="4"/>
  <c r="L881" i="4"/>
  <c r="L882" i="4"/>
  <c r="L986" i="4"/>
  <c r="L884" i="4"/>
  <c r="L44" i="4"/>
  <c r="L984" i="4"/>
  <c r="L887" i="4"/>
  <c r="L305" i="4"/>
  <c r="L9" i="4"/>
  <c r="L389" i="4"/>
  <c r="L626" i="4"/>
  <c r="L892" i="4"/>
  <c r="L893" i="4"/>
  <c r="L321" i="4"/>
  <c r="L178" i="4"/>
  <c r="L896" i="4"/>
  <c r="L352" i="4"/>
  <c r="L188" i="4"/>
  <c r="L183" i="4"/>
  <c r="L171" i="4"/>
  <c r="L105" i="4"/>
  <c r="L965" i="4"/>
  <c r="L672" i="4"/>
  <c r="L661" i="4"/>
  <c r="L141" i="4"/>
  <c r="L489" i="4"/>
  <c r="L27" i="4"/>
  <c r="L909" i="4"/>
  <c r="L977" i="4"/>
  <c r="L710" i="4"/>
  <c r="L911" i="4"/>
  <c r="L912" i="4"/>
  <c r="L913" i="4"/>
  <c r="L24" i="4"/>
  <c r="L343" i="4"/>
  <c r="L388" i="4"/>
  <c r="L230" i="4"/>
  <c r="L844" i="4"/>
  <c r="L919" i="4"/>
  <c r="L790" i="4"/>
  <c r="L921" i="4"/>
  <c r="L890" i="4"/>
  <c r="L923" i="4"/>
  <c r="L924" i="4"/>
  <c r="L443" i="4"/>
  <c r="L810" i="4"/>
  <c r="L926" i="4"/>
  <c r="L510" i="4"/>
  <c r="L384" i="4"/>
  <c r="L506" i="4"/>
  <c r="L349" i="4"/>
  <c r="L612" i="4"/>
  <c r="L933" i="4"/>
  <c r="L934" i="4"/>
  <c r="L981" i="4"/>
  <c r="L374" i="4"/>
  <c r="L702" i="4"/>
  <c r="L670" i="4"/>
  <c r="L902" i="4"/>
  <c r="L851" i="4"/>
  <c r="L941" i="4"/>
  <c r="L272" i="4"/>
  <c r="L636" i="4"/>
  <c r="L520" i="4"/>
  <c r="L700" i="4"/>
  <c r="L946" i="4"/>
  <c r="L947" i="4"/>
  <c r="L692" i="4"/>
  <c r="L945" i="4"/>
  <c r="L444" i="4"/>
  <c r="L951" i="4"/>
  <c r="L827" i="4"/>
  <c r="L953" i="4"/>
  <c r="L835" i="4"/>
  <c r="L376" i="4"/>
  <c r="L956" i="4"/>
  <c r="L957" i="4"/>
  <c r="L301" i="4"/>
  <c r="L641" i="4"/>
  <c r="L245" i="4"/>
  <c r="L468" i="4"/>
  <c r="L962" i="4"/>
  <c r="L47" i="4"/>
  <c r="L964" i="4"/>
  <c r="L674" i="4"/>
  <c r="L560" i="4"/>
  <c r="L76" i="4"/>
  <c r="L336" i="4"/>
  <c r="L173" i="4"/>
  <c r="L619" i="4"/>
  <c r="L190" i="4"/>
  <c r="L972" i="4"/>
  <c r="L149" i="4"/>
  <c r="L667" i="4"/>
  <c r="L273" i="4"/>
  <c r="L551" i="4"/>
  <c r="L403" i="4"/>
  <c r="L477" i="4"/>
  <c r="L439" i="4"/>
  <c r="L847" i="4"/>
  <c r="L765" i="4"/>
  <c r="L875" i="4"/>
  <c r="L599" i="4"/>
  <c r="L351" i="4"/>
  <c r="L985" i="4"/>
  <c r="L821" i="4"/>
  <c r="L987" i="4"/>
  <c r="L988" i="4"/>
  <c r="L989" i="4"/>
  <c r="L413" i="4"/>
  <c r="L991" i="4"/>
  <c r="L562" i="4"/>
  <c r="L993" i="4"/>
  <c r="L898" i="4"/>
  <c r="L995" i="4"/>
  <c r="L86" i="4"/>
  <c r="L787" i="4"/>
  <c r="L942" i="4"/>
  <c r="L689" i="4"/>
  <c r="L1000" i="4"/>
  <c r="L1001" i="4"/>
  <c r="K906" i="4"/>
  <c r="K4" i="4"/>
  <c r="K552" i="4"/>
  <c r="K125" i="4"/>
  <c r="K7" i="4"/>
  <c r="K846" i="4"/>
  <c r="K534" i="4"/>
  <c r="K362" i="4"/>
  <c r="K931" i="4"/>
  <c r="K12" i="4"/>
  <c r="K940" i="4"/>
  <c r="K59" i="4"/>
  <c r="K398" i="4"/>
  <c r="K16" i="4"/>
  <c r="K17" i="4"/>
  <c r="K277" i="4"/>
  <c r="K19" i="4"/>
  <c r="K20" i="4"/>
  <c r="K869" i="4"/>
  <c r="K879" i="4"/>
  <c r="K23" i="4"/>
  <c r="K129" i="4"/>
  <c r="K25" i="4"/>
  <c r="K26" i="4"/>
  <c r="K937" i="4"/>
  <c r="K359" i="4"/>
  <c r="K211" i="4"/>
  <c r="K276" i="4"/>
  <c r="K707" i="4"/>
  <c r="K32" i="4"/>
  <c r="K33" i="4"/>
  <c r="K302" i="4"/>
  <c r="K35" i="4"/>
  <c r="K785" i="4"/>
  <c r="K37" i="4"/>
  <c r="K275" i="4"/>
  <c r="K852" i="4"/>
  <c r="K914" i="4"/>
  <c r="K925" i="4"/>
  <c r="K377" i="4"/>
  <c r="K43" i="4"/>
  <c r="K51" i="4"/>
  <c r="K168" i="4"/>
  <c r="K582" i="4"/>
  <c r="K997" i="4"/>
  <c r="K48" i="4"/>
  <c r="K580" i="4"/>
  <c r="K521" i="4"/>
  <c r="K289" i="4"/>
  <c r="K669" i="4"/>
  <c r="K459" i="4"/>
  <c r="K54" i="4"/>
  <c r="K55" i="4"/>
  <c r="K848" i="4"/>
  <c r="K548" i="4"/>
  <c r="K60" i="4"/>
  <c r="K994" i="4"/>
  <c r="K87" i="4"/>
  <c r="K61" i="4"/>
  <c r="K62" i="4"/>
  <c r="K607" i="4"/>
  <c r="K64" i="4"/>
  <c r="K65" i="4"/>
  <c r="K66" i="4"/>
  <c r="K67" i="4"/>
  <c r="K68" i="4"/>
  <c r="K69" i="4"/>
  <c r="K192" i="4"/>
  <c r="K114" i="4"/>
  <c r="K186" i="4"/>
  <c r="K705" i="4"/>
  <c r="K74" i="4"/>
  <c r="K728" i="4"/>
  <c r="K170" i="4"/>
  <c r="K438" i="4"/>
  <c r="K78" i="4"/>
  <c r="K357" i="4"/>
  <c r="K137" i="4"/>
  <c r="K3" i="4"/>
  <c r="K307" i="4"/>
  <c r="K899" i="4"/>
  <c r="K84" i="4"/>
  <c r="K85" i="4"/>
  <c r="K207" i="4"/>
  <c r="K900" i="4"/>
  <c r="K88" i="4"/>
  <c r="K89" i="4"/>
  <c r="K166" i="4"/>
  <c r="K288" i="4"/>
  <c r="K92" i="4"/>
  <c r="K77" i="4"/>
  <c r="K94" i="4"/>
  <c r="K761" i="4"/>
  <c r="K296" i="4"/>
  <c r="K783" i="4"/>
  <c r="K223" i="4"/>
  <c r="K643" i="4"/>
  <c r="K117" i="4"/>
  <c r="K101" i="4"/>
  <c r="K102" i="4"/>
  <c r="K632" i="4"/>
  <c r="K185" i="4"/>
  <c r="K496" i="4"/>
  <c r="K802" i="4"/>
  <c r="K107" i="4"/>
  <c r="K697" i="4"/>
  <c r="K71" i="4"/>
  <c r="K623" i="4"/>
  <c r="K471" i="4"/>
  <c r="K567" i="4"/>
  <c r="K95" i="4"/>
  <c r="K402" i="4"/>
  <c r="K115" i="4"/>
  <c r="K116" i="4"/>
  <c r="K724" i="4"/>
  <c r="K960" i="4"/>
  <c r="K119" i="4"/>
  <c r="K120" i="4"/>
  <c r="K949" i="4"/>
  <c r="K122" i="4"/>
  <c r="K123" i="4"/>
  <c r="K861" i="4"/>
  <c r="K283" i="4"/>
  <c r="K755" i="4"/>
  <c r="K762" i="4"/>
  <c r="K128" i="4"/>
  <c r="K465" i="4"/>
  <c r="K545" i="4"/>
  <c r="K799" i="4"/>
  <c r="K132" i="4"/>
  <c r="K664" i="4"/>
  <c r="K134" i="4"/>
  <c r="K93" i="4"/>
  <c r="K694" i="4"/>
  <c r="K13" i="4"/>
  <c r="K237" i="4"/>
  <c r="K416" i="4"/>
  <c r="K559" i="4"/>
  <c r="K144" i="4"/>
  <c r="K346" i="4"/>
  <c r="K605" i="4"/>
  <c r="K18" i="4"/>
  <c r="K256" i="4"/>
  <c r="K146" i="4"/>
  <c r="K565" i="4"/>
  <c r="K148" i="4"/>
  <c r="K262" i="4"/>
  <c r="K79" i="4"/>
  <c r="K484" i="4"/>
  <c r="K45" i="4"/>
  <c r="K516" i="4"/>
  <c r="K154" i="4"/>
  <c r="K155" i="4"/>
  <c r="K156" i="4"/>
  <c r="K280" i="4"/>
  <c r="K838" i="4"/>
  <c r="K22" i="4"/>
  <c r="K160" i="4"/>
  <c r="K180" i="4"/>
  <c r="K162" i="4"/>
  <c r="K315" i="4"/>
  <c r="K427" i="4"/>
  <c r="K880" i="4"/>
  <c r="K526" i="4"/>
  <c r="K572" i="4"/>
  <c r="K347" i="4"/>
  <c r="K176" i="4"/>
  <c r="K96" i="4"/>
  <c r="K172" i="4"/>
  <c r="K342" i="4"/>
  <c r="K849" i="4"/>
  <c r="K266" i="4"/>
  <c r="K624" i="4"/>
  <c r="K889" i="4"/>
  <c r="K687" i="4"/>
  <c r="K747" i="4"/>
  <c r="K874" i="4"/>
  <c r="K817" i="4"/>
  <c r="K182" i="4"/>
  <c r="K829" i="4"/>
  <c r="K558" i="4"/>
  <c r="K720" i="4"/>
  <c r="K952" i="4"/>
  <c r="K21" i="4"/>
  <c r="K955" i="4"/>
  <c r="K497" i="4"/>
  <c r="K978" i="4"/>
  <c r="K423" i="4"/>
  <c r="K578" i="4"/>
  <c r="K193" i="4"/>
  <c r="K841" i="4"/>
  <c r="K938" i="4"/>
  <c r="K196" i="4"/>
  <c r="K197" i="4"/>
  <c r="K198" i="4"/>
  <c r="K839" i="4"/>
  <c r="K365" i="4"/>
  <c r="K458" i="4"/>
  <c r="K121" i="4"/>
  <c r="K299" i="4"/>
  <c r="K204" i="4"/>
  <c r="K397" i="4"/>
  <c r="K14" i="4"/>
  <c r="K554" i="4"/>
  <c r="K208" i="4"/>
  <c r="K209" i="4"/>
  <c r="K210" i="4"/>
  <c r="K654" i="4"/>
  <c r="K445" i="4"/>
  <c r="K218" i="4"/>
  <c r="K954" i="4"/>
  <c r="K217" i="4"/>
  <c r="K216" i="4"/>
  <c r="K394" i="4"/>
  <c r="K379" i="4"/>
  <c r="K124" i="4"/>
  <c r="K203" i="4"/>
  <c r="K885" i="4"/>
  <c r="K382" i="4"/>
  <c r="K723" i="4"/>
  <c r="K224" i="4"/>
  <c r="K589" i="4"/>
  <c r="K556" i="4"/>
  <c r="K656" i="4"/>
  <c r="K228" i="4"/>
  <c r="K958" i="4"/>
  <c r="K127" i="4"/>
  <c r="K293" i="4"/>
  <c r="K232" i="4"/>
  <c r="K233" i="4"/>
  <c r="K932" i="4"/>
  <c r="K621" i="4"/>
  <c r="K118" i="4"/>
  <c r="K908" i="4"/>
  <c r="K813" i="4"/>
  <c r="K214" i="4"/>
  <c r="K743" i="4"/>
  <c r="K241" i="4"/>
  <c r="K894" i="4"/>
  <c r="K633" i="4"/>
  <c r="K244" i="4"/>
  <c r="K794" i="4"/>
  <c r="K328" i="4"/>
  <c r="K856" i="4"/>
  <c r="K614" i="4"/>
  <c r="K935" i="4"/>
  <c r="K390" i="4"/>
  <c r="K251" i="4"/>
  <c r="K252" i="4"/>
  <c r="K287" i="4"/>
  <c r="K354" i="4"/>
  <c r="K255" i="4"/>
  <c r="K97" i="4"/>
  <c r="K257" i="4"/>
  <c r="K258" i="4"/>
  <c r="K259" i="4"/>
  <c r="K234" i="4"/>
  <c r="K261" i="4"/>
  <c r="K975" i="4"/>
  <c r="K263" i="4"/>
  <c r="K508" i="4"/>
  <c r="K265" i="4"/>
  <c r="K247" i="4"/>
  <c r="K708" i="4"/>
  <c r="K268" i="4"/>
  <c r="K574" i="4"/>
  <c r="K990" i="4"/>
  <c r="K796" i="4"/>
  <c r="K784" i="4"/>
  <c r="K440" i="4"/>
  <c r="K294" i="4"/>
  <c r="K744" i="4"/>
  <c r="K329" i="4"/>
  <c r="K891" i="4"/>
  <c r="K983" i="4"/>
  <c r="K279" i="4"/>
  <c r="K883" i="4"/>
  <c r="K281" i="4"/>
  <c r="K282" i="4"/>
  <c r="K922" i="4"/>
  <c r="K801" i="4"/>
  <c r="K109" i="4"/>
  <c r="K8" i="4"/>
  <c r="K325" i="4"/>
  <c r="K527" i="4"/>
  <c r="K609" i="4"/>
  <c r="K295" i="4"/>
  <c r="K291" i="4"/>
  <c r="K514" i="4"/>
  <c r="K740" i="4"/>
  <c r="K929" i="4"/>
  <c r="K225" i="4"/>
  <c r="K483" i="4"/>
  <c r="K297" i="4"/>
  <c r="K298" i="4"/>
  <c r="K820" i="4"/>
  <c r="K575" i="4"/>
  <c r="K131" i="4"/>
  <c r="K249" i="4"/>
  <c r="K441" i="4"/>
  <c r="K498" i="4"/>
  <c r="K583" i="4"/>
  <c r="K306" i="4"/>
  <c r="K372" i="4"/>
  <c r="K308" i="4"/>
  <c r="K309" i="4"/>
  <c r="K617" i="4"/>
  <c r="K311" i="4"/>
  <c r="K961" i="4"/>
  <c r="K313" i="4"/>
  <c r="K314" i="4"/>
  <c r="K837" i="4"/>
  <c r="K316" i="4"/>
  <c r="K317" i="4"/>
  <c r="K318" i="4"/>
  <c r="K323" i="4"/>
  <c r="K320" i="4"/>
  <c r="K231" i="4"/>
  <c r="K568" i="4"/>
  <c r="K90" i="4"/>
  <c r="K324" i="4"/>
  <c r="K557" i="4"/>
  <c r="K628" i="4"/>
  <c r="K327" i="4"/>
  <c r="K126" i="4"/>
  <c r="K540" i="4"/>
  <c r="K944" i="4"/>
  <c r="K500" i="4"/>
  <c r="K332" i="4"/>
  <c r="K333" i="4"/>
  <c r="K334" i="4"/>
  <c r="K335" i="4"/>
  <c r="K158" i="4"/>
  <c r="K337" i="4"/>
  <c r="K165" i="4"/>
  <c r="K741" i="4"/>
  <c r="K868" i="4"/>
  <c r="K341" i="4"/>
  <c r="K703" i="4"/>
  <c r="K638" i="4"/>
  <c r="K286" i="4"/>
  <c r="K130" i="4"/>
  <c r="K391" i="4"/>
  <c r="K693" i="4"/>
  <c r="K290" i="4"/>
  <c r="K340" i="4"/>
  <c r="K350" i="4"/>
  <c r="K791" i="4"/>
  <c r="K631" i="4"/>
  <c r="K285" i="4"/>
  <c r="K246" i="4"/>
  <c r="K355" i="4"/>
  <c r="K184" i="4"/>
  <c r="K771" i="4"/>
  <c r="K358" i="4"/>
  <c r="K587" i="4"/>
  <c r="K360" i="4"/>
  <c r="K361" i="4"/>
  <c r="K601" i="4"/>
  <c r="K363" i="4"/>
  <c r="K927" i="4"/>
  <c r="K480" i="4"/>
  <c r="K366" i="4"/>
  <c r="K91" i="4"/>
  <c r="K267" i="4"/>
  <c r="K73" i="4"/>
  <c r="K370" i="4"/>
  <c r="K371" i="4"/>
  <c r="K399" i="4"/>
  <c r="K866" i="4"/>
  <c r="K181" i="4"/>
  <c r="K666" i="4"/>
  <c r="K452" i="4"/>
  <c r="K133" i="4"/>
  <c r="K30" i="4"/>
  <c r="K976" i="4"/>
  <c r="K380" i="4"/>
  <c r="K381" i="4"/>
  <c r="K271" i="4"/>
  <c r="K485" i="4"/>
  <c r="K999" i="4"/>
  <c r="K304" i="4"/>
  <c r="K39" i="4"/>
  <c r="K479" i="4"/>
  <c r="K464" i="4"/>
  <c r="K549" i="4"/>
  <c r="K187" i="4"/>
  <c r="K979" i="4"/>
  <c r="K392" i="4"/>
  <c r="K393" i="4"/>
  <c r="K781" i="4"/>
  <c r="K395" i="4"/>
  <c r="K396" i="4"/>
  <c r="K274" i="4"/>
  <c r="K449" i="4"/>
  <c r="K72" i="4"/>
  <c r="K179" i="4"/>
  <c r="K401" i="4"/>
  <c r="K635" i="4"/>
  <c r="K569" i="4"/>
  <c r="K404" i="4"/>
  <c r="K405" i="4"/>
  <c r="K653" i="4"/>
  <c r="K189" i="4"/>
  <c r="K773" i="4"/>
  <c r="K220" i="4"/>
  <c r="K598" i="4"/>
  <c r="K411" i="4"/>
  <c r="K414" i="4"/>
  <c r="K367" i="4"/>
  <c r="K804" i="4"/>
  <c r="K415" i="4"/>
  <c r="K38" i="4"/>
  <c r="K550" i="4"/>
  <c r="K732" i="4"/>
  <c r="K419" i="4"/>
  <c r="K40" i="4"/>
  <c r="K157" i="4"/>
  <c r="K422" i="4"/>
  <c r="K243" i="4"/>
  <c r="K424" i="4"/>
  <c r="K11" i="4"/>
  <c r="K212" i="4"/>
  <c r="K859" i="4"/>
  <c r="K588" i="4"/>
  <c r="K901" i="4"/>
  <c r="K430" i="4"/>
  <c r="K431" i="4"/>
  <c r="K432" i="4"/>
  <c r="K264" i="4"/>
  <c r="K442" i="4"/>
  <c r="K28" i="4"/>
  <c r="K152" i="4"/>
  <c r="K437" i="4"/>
  <c r="K284" i="4"/>
  <c r="K872" i="4"/>
  <c r="K992" i="4"/>
  <c r="K637" i="4"/>
  <c r="K161" i="4"/>
  <c r="K470" i="4"/>
  <c r="K748" i="4"/>
  <c r="K916" i="4"/>
  <c r="K446" i="4"/>
  <c r="K378" i="4"/>
  <c r="K448" i="4"/>
  <c r="K108" i="4"/>
  <c r="K100" i="4"/>
  <c r="K222" i="4"/>
  <c r="K715" i="4"/>
  <c r="K453" i="4"/>
  <c r="K454" i="4"/>
  <c r="K676" i="4"/>
  <c r="K456" i="4"/>
  <c r="K711" i="4"/>
  <c r="K713" i="4"/>
  <c r="K420" i="4"/>
  <c r="K460" i="4"/>
  <c r="K151" i="4"/>
  <c r="K699" i="4"/>
  <c r="K463" i="4"/>
  <c r="K615" i="4"/>
  <c r="K509" i="4"/>
  <c r="K501" i="4"/>
  <c r="K608" i="4"/>
  <c r="K270" i="4"/>
  <c r="K322" i="4"/>
  <c r="K770" i="4"/>
  <c r="K811" i="4"/>
  <c r="K472" i="4"/>
  <c r="K80" i="4"/>
  <c r="K474" i="4"/>
  <c r="K475" i="4"/>
  <c r="K753" i="4"/>
  <c r="K473" i="4"/>
  <c r="K518" i="4"/>
  <c r="K561" i="4"/>
  <c r="K250" i="4"/>
  <c r="K110" i="4"/>
  <c r="K974" i="4"/>
  <c r="K766" i="4"/>
  <c r="K81" i="4"/>
  <c r="K435" i="4"/>
  <c r="K303" i="4"/>
  <c r="K487" i="4"/>
  <c r="K488" i="4"/>
  <c r="K709" i="4"/>
  <c r="K490" i="4"/>
  <c r="K491" i="4"/>
  <c r="K138" i="4"/>
  <c r="K793" i="4"/>
  <c r="K494" i="4"/>
  <c r="K495" i="4"/>
  <c r="K457" i="4"/>
  <c r="K106" i="4"/>
  <c r="K493" i="4"/>
  <c r="K832" i="4"/>
  <c r="K235" i="4"/>
  <c r="K492" i="4"/>
  <c r="K706" i="4"/>
  <c r="K486" i="4"/>
  <c r="K767" i="4"/>
  <c r="K469" i="4"/>
  <c r="K782" i="4"/>
  <c r="K467" i="4"/>
  <c r="K199" i="4"/>
  <c r="K739" i="4"/>
  <c r="K539" i="4"/>
  <c r="K733" i="4"/>
  <c r="K512" i="4"/>
  <c r="K950" i="4"/>
  <c r="K888" i="4"/>
  <c r="K515" i="4"/>
  <c r="K164" i="4"/>
  <c r="K145" i="4"/>
  <c r="K226" i="4"/>
  <c r="K221" i="4"/>
  <c r="K980" i="4"/>
  <c r="K537" i="4"/>
  <c r="K174" i="4"/>
  <c r="K610" i="4"/>
  <c r="K524" i="4"/>
  <c r="K525" i="4"/>
  <c r="K618" i="4"/>
  <c r="K688" i="4"/>
  <c r="K966" i="4"/>
  <c r="K649" i="4"/>
  <c r="K530" i="4"/>
  <c r="K531" i="4"/>
  <c r="K532" i="4"/>
  <c r="K701" i="4"/>
  <c r="K523" i="4"/>
  <c r="K897" i="4"/>
  <c r="K536" i="4"/>
  <c r="K34" i="4"/>
  <c r="K538" i="4"/>
  <c r="K175" i="4"/>
  <c r="K754" i="4"/>
  <c r="K918" i="4"/>
  <c r="K142" i="4"/>
  <c r="K865" i="4"/>
  <c r="K544" i="4"/>
  <c r="K260" i="4"/>
  <c r="K546" i="4"/>
  <c r="K547" i="4"/>
  <c r="K681" i="4"/>
  <c r="K46" i="4"/>
  <c r="K418" i="4"/>
  <c r="K326" i="4"/>
  <c r="K429" i="4"/>
  <c r="K553" i="4"/>
  <c r="K10" i="4"/>
  <c r="K555" i="4"/>
  <c r="K425" i="4"/>
  <c r="K564" i="4"/>
  <c r="K970" i="4"/>
  <c r="K339" i="4"/>
  <c r="K822" i="4"/>
  <c r="K973" i="4"/>
  <c r="K592" i="4"/>
  <c r="K348" i="4"/>
  <c r="K139" i="4"/>
  <c r="K356" i="4"/>
  <c r="K566" i="4"/>
  <c r="K103" i="4"/>
  <c r="K639" i="4"/>
  <c r="K140" i="4"/>
  <c r="K570" i="4"/>
  <c r="K571" i="4"/>
  <c r="K511" i="4"/>
  <c r="K573" i="4"/>
  <c r="K406" i="4"/>
  <c r="K577" i="4"/>
  <c r="K576" i="4"/>
  <c r="K455" i="4"/>
  <c r="K936" i="4"/>
  <c r="K579" i="4"/>
  <c r="K292" i="4"/>
  <c r="K795" i="4"/>
  <c r="K622" i="4"/>
  <c r="K383" i="4"/>
  <c r="K775" i="4"/>
  <c r="K585" i="4"/>
  <c r="K586" i="4"/>
  <c r="K167" i="4"/>
  <c r="K658" i="4"/>
  <c r="K111" i="4"/>
  <c r="K590" i="4"/>
  <c r="K409" i="4"/>
  <c r="K57" i="4"/>
  <c r="K593" i="4"/>
  <c r="K236" i="4"/>
  <c r="K595" i="4"/>
  <c r="K596" i="4"/>
  <c r="K49" i="4"/>
  <c r="K6" i="4"/>
  <c r="K915" i="4"/>
  <c r="K600" i="4"/>
  <c r="K597" i="4"/>
  <c r="K602" i="4"/>
  <c r="K843" i="4"/>
  <c r="K98" i="4"/>
  <c r="K786" i="4"/>
  <c r="K818" i="4"/>
  <c r="K982" i="4"/>
  <c r="K112" i="4"/>
  <c r="K386" i="4"/>
  <c r="K698" i="4"/>
  <c r="K541" i="4"/>
  <c r="K529" i="4"/>
  <c r="K368" i="4"/>
  <c r="K240" i="4"/>
  <c r="K513" i="4"/>
  <c r="K426" i="4"/>
  <c r="K757" i="4"/>
  <c r="K345" i="4"/>
  <c r="K680" i="4"/>
  <c r="K227" i="4"/>
  <c r="K163" i="4"/>
  <c r="K70" i="4"/>
  <c r="K462" i="4"/>
  <c r="K42" i="4"/>
  <c r="K400" i="4"/>
  <c r="K657" i="4"/>
  <c r="K143" i="4"/>
  <c r="K169" i="4"/>
  <c r="K629" i="4"/>
  <c r="K630" i="4"/>
  <c r="K542" i="4"/>
  <c r="K29" i="4"/>
  <c r="K433" i="4"/>
  <c r="K928" i="4"/>
  <c r="K417" i="4"/>
  <c r="K939" i="4"/>
  <c r="K716" i="4"/>
  <c r="K768" i="4"/>
  <c r="K930" i="4"/>
  <c r="K58" i="4"/>
  <c r="K714" i="4"/>
  <c r="K809" i="4"/>
  <c r="K503" i="4"/>
  <c r="K410" i="4"/>
  <c r="K604" i="4"/>
  <c r="K502" i="4"/>
  <c r="K647" i="4"/>
  <c r="K648" i="4"/>
  <c r="K238" i="4"/>
  <c r="K650" i="4"/>
  <c r="K651" i="4"/>
  <c r="K780" i="4"/>
  <c r="K719" i="4"/>
  <c r="K482" i="4"/>
  <c r="K373" i="4"/>
  <c r="K904" i="4"/>
  <c r="K917" i="4"/>
  <c r="K219" i="4"/>
  <c r="K369" i="4"/>
  <c r="K239" i="4"/>
  <c r="K104" i="4"/>
  <c r="K662" i="4"/>
  <c r="K663" i="4"/>
  <c r="K56" i="4"/>
  <c r="K760" i="4"/>
  <c r="K330" i="4"/>
  <c r="K421" i="4"/>
  <c r="K478" i="4"/>
  <c r="K269" i="4"/>
  <c r="K543" i="4"/>
  <c r="K806" i="4"/>
  <c r="K645" i="4"/>
  <c r="K652" i="4"/>
  <c r="K673" i="4"/>
  <c r="K675" i="4"/>
  <c r="K206" i="4"/>
  <c r="K677" i="4"/>
  <c r="K678" i="4"/>
  <c r="K52" i="4"/>
  <c r="K312" i="4"/>
  <c r="K996" i="4"/>
  <c r="K682" i="4"/>
  <c r="K683" i="4"/>
  <c r="K684" i="4"/>
  <c r="K685" i="4"/>
  <c r="K686" i="4"/>
  <c r="K41" i="4"/>
  <c r="K535" i="4"/>
  <c r="K2" i="4"/>
  <c r="K690" i="4"/>
  <c r="K691" i="4"/>
  <c r="K194" i="4"/>
  <c r="K581" i="4"/>
  <c r="K854" i="4"/>
  <c r="K695" i="4"/>
  <c r="K696" i="4"/>
  <c r="K721" i="4"/>
  <c r="K253" i="4"/>
  <c r="K877" i="4"/>
  <c r="K824" i="4"/>
  <c r="K943" i="4"/>
  <c r="K808" i="4"/>
  <c r="K764" i="4"/>
  <c r="K704" i="4"/>
  <c r="K310" i="4"/>
  <c r="K522" i="4"/>
  <c r="K774" i="4"/>
  <c r="K860" i="4"/>
  <c r="K736" i="4"/>
  <c r="K428" i="4"/>
  <c r="K300" i="4"/>
  <c r="K712" i="4"/>
  <c r="K375" i="4"/>
  <c r="K642" i="4"/>
  <c r="K857" i="4"/>
  <c r="K83" i="4"/>
  <c r="K717" i="4"/>
  <c r="K718" i="4"/>
  <c r="K812" i="4"/>
  <c r="K819" i="4"/>
  <c r="K665" i="4"/>
  <c r="K63" i="4"/>
  <c r="K385" i="4"/>
  <c r="K792" i="4"/>
  <c r="K903" i="4"/>
  <c r="K505" i="4"/>
  <c r="K727" i="4"/>
  <c r="K823" i="4"/>
  <c r="K729" i="4"/>
  <c r="K730" i="4"/>
  <c r="K655" i="4"/>
  <c r="K242" i="4"/>
  <c r="K864" i="4"/>
  <c r="K734" i="4"/>
  <c r="K735" i="4"/>
  <c r="K248" i="4"/>
  <c r="K201" i="4"/>
  <c r="K738" i="4"/>
  <c r="K905" i="4"/>
  <c r="K722" i="4"/>
  <c r="K867" i="4"/>
  <c r="K627" i="4"/>
  <c r="K959" i="4"/>
  <c r="K878" i="4"/>
  <c r="K53" i="4"/>
  <c r="K679" i="4"/>
  <c r="K668" i="4"/>
  <c r="K191" i="4"/>
  <c r="K769" i="4"/>
  <c r="K910" i="4"/>
  <c r="K751" i="4"/>
  <c r="K752" i="4"/>
  <c r="K135" i="4"/>
  <c r="K606" i="4"/>
  <c r="K195" i="4"/>
  <c r="K620" i="4"/>
  <c r="K616" i="4"/>
  <c r="K517" i="4"/>
  <c r="K759" i="4"/>
  <c r="K886" i="4"/>
  <c r="K507" i="4"/>
  <c r="K660" i="4"/>
  <c r="K763" i="4"/>
  <c r="K278" i="4"/>
  <c r="K150" i="4"/>
  <c r="K737" i="4"/>
  <c r="K353" i="4"/>
  <c r="K659" i="4"/>
  <c r="K834" i="4"/>
  <c r="K5" i="4"/>
  <c r="K758" i="4"/>
  <c r="K726" i="4"/>
  <c r="K749" i="4"/>
  <c r="K99" i="4"/>
  <c r="K750" i="4"/>
  <c r="K776" i="4"/>
  <c r="K82" i="4"/>
  <c r="K778" i="4"/>
  <c r="K779" i="4"/>
  <c r="K412" i="4"/>
  <c r="K476" i="4"/>
  <c r="K387" i="4"/>
  <c r="K338" i="4"/>
  <c r="K611" i="4"/>
  <c r="K772" i="4"/>
  <c r="K344" i="4"/>
  <c r="K147" i="4"/>
  <c r="K788" i="4"/>
  <c r="K789" i="4"/>
  <c r="K200" i="4"/>
  <c r="K948" i="4"/>
  <c r="K36" i="4"/>
  <c r="K466" i="4"/>
  <c r="K858" i="4"/>
  <c r="K594" i="4"/>
  <c r="K153" i="4"/>
  <c r="K797" i="4"/>
  <c r="K798" i="4"/>
  <c r="K640" i="4"/>
  <c r="K800" i="4"/>
  <c r="K499" i="4"/>
  <c r="K731" i="4"/>
  <c r="K725" i="4"/>
  <c r="K644" i="4"/>
  <c r="K805" i="4"/>
  <c r="K671" i="4"/>
  <c r="K807" i="4"/>
  <c r="K533" i="4"/>
  <c r="K613" i="4"/>
  <c r="K584" i="4"/>
  <c r="K447" i="4"/>
  <c r="K364" i="4"/>
  <c r="K831" i="4"/>
  <c r="K814" i="4"/>
  <c r="K968" i="4"/>
  <c r="K816" i="4"/>
  <c r="K591" i="4"/>
  <c r="K213" i="4"/>
  <c r="K742" i="4"/>
  <c r="K31" i="4"/>
  <c r="K746" i="4"/>
  <c r="K967" i="4"/>
  <c r="K971" i="4"/>
  <c r="K519" i="4"/>
  <c r="K825" i="4"/>
  <c r="K826" i="4"/>
  <c r="K319" i="4"/>
  <c r="K828" i="4"/>
  <c r="K634" i="4"/>
  <c r="K830" i="4"/>
  <c r="K450" i="4"/>
  <c r="K969" i="4"/>
  <c r="K833" i="4"/>
  <c r="K229" i="4"/>
  <c r="K745" i="4"/>
  <c r="K836" i="4"/>
  <c r="K481" i="4"/>
  <c r="K803" i="4"/>
  <c r="K920" i="4"/>
  <c r="K840" i="4"/>
  <c r="K756" i="4"/>
  <c r="K842" i="4"/>
  <c r="K407" i="4"/>
  <c r="K504" i="4"/>
  <c r="K845" i="4"/>
  <c r="K75" i="4"/>
  <c r="K563" i="4"/>
  <c r="K205" i="4"/>
  <c r="K113" i="4"/>
  <c r="K850" i="4"/>
  <c r="K461" i="4"/>
  <c r="K434" i="4"/>
  <c r="K853" i="4"/>
  <c r="K15" i="4"/>
  <c r="K855" i="4"/>
  <c r="K625" i="4"/>
  <c r="K815" i="4"/>
  <c r="K136" i="4"/>
  <c r="K202" i="4"/>
  <c r="K331" i="4"/>
  <c r="K177" i="4"/>
  <c r="K862" i="4"/>
  <c r="K863" i="4"/>
  <c r="K159" i="4"/>
  <c r="K215" i="4"/>
  <c r="K907" i="4"/>
  <c r="K963" i="4"/>
  <c r="K646" i="4"/>
  <c r="K451" i="4"/>
  <c r="K870" i="4"/>
  <c r="K871" i="4"/>
  <c r="K528" i="4"/>
  <c r="K873" i="4"/>
  <c r="K895" i="4"/>
  <c r="K408" i="4"/>
  <c r="K876" i="4"/>
  <c r="K50" i="4"/>
  <c r="K603" i="4"/>
  <c r="K777" i="4"/>
  <c r="K998" i="4"/>
  <c r="K881" i="4"/>
  <c r="K882" i="4"/>
  <c r="K986" i="4"/>
  <c r="K884" i="4"/>
  <c r="K44" i="4"/>
  <c r="K984" i="4"/>
  <c r="K887" i="4"/>
  <c r="K305" i="4"/>
  <c r="K9" i="4"/>
  <c r="K389" i="4"/>
  <c r="K626" i="4"/>
  <c r="K892" i="4"/>
  <c r="K893" i="4"/>
  <c r="K321" i="4"/>
  <c r="K178" i="4"/>
  <c r="K896" i="4"/>
  <c r="K352" i="4"/>
  <c r="K188" i="4"/>
  <c r="K183" i="4"/>
  <c r="K171" i="4"/>
  <c r="K105" i="4"/>
  <c r="K965" i="4"/>
  <c r="K672" i="4"/>
  <c r="K661" i="4"/>
  <c r="K141" i="4"/>
  <c r="K489" i="4"/>
  <c r="K27" i="4"/>
  <c r="K909" i="4"/>
  <c r="K977" i="4"/>
  <c r="K710" i="4"/>
  <c r="K911" i="4"/>
  <c r="K912" i="4"/>
  <c r="K913" i="4"/>
  <c r="K24" i="4"/>
  <c r="K343" i="4"/>
  <c r="K388" i="4"/>
  <c r="K230" i="4"/>
  <c r="K844" i="4"/>
  <c r="K919" i="4"/>
  <c r="K790" i="4"/>
  <c r="K921" i="4"/>
  <c r="K890" i="4"/>
  <c r="K923" i="4"/>
  <c r="K924" i="4"/>
  <c r="K443" i="4"/>
  <c r="K810" i="4"/>
  <c r="K926" i="4"/>
  <c r="K510" i="4"/>
  <c r="K384" i="4"/>
  <c r="K506" i="4"/>
  <c r="K349" i="4"/>
  <c r="K612" i="4"/>
  <c r="K933" i="4"/>
  <c r="K934" i="4"/>
  <c r="K981" i="4"/>
  <c r="K374" i="4"/>
  <c r="K702" i="4"/>
  <c r="K670" i="4"/>
  <c r="K902" i="4"/>
  <c r="K851" i="4"/>
  <c r="K941" i="4"/>
  <c r="K272" i="4"/>
  <c r="K636" i="4"/>
  <c r="K520" i="4"/>
  <c r="K700" i="4"/>
  <c r="K946" i="4"/>
  <c r="K947" i="4"/>
  <c r="K692" i="4"/>
  <c r="K945" i="4"/>
  <c r="K444" i="4"/>
  <c r="K951" i="4"/>
  <c r="K827" i="4"/>
  <c r="K953" i="4"/>
  <c r="K835" i="4"/>
  <c r="K376" i="4"/>
  <c r="K956" i="4"/>
  <c r="K957" i="4"/>
  <c r="K301" i="4"/>
  <c r="K641" i="4"/>
  <c r="K245" i="4"/>
  <c r="K468" i="4"/>
  <c r="K962" i="4"/>
  <c r="K47" i="4"/>
  <c r="K964" i="4"/>
  <c r="K674" i="4"/>
  <c r="K560" i="4"/>
  <c r="K76" i="4"/>
  <c r="K336" i="4"/>
  <c r="K173" i="4"/>
  <c r="K619" i="4"/>
  <c r="K190" i="4"/>
  <c r="K972" i="4"/>
  <c r="K149" i="4"/>
  <c r="K667" i="4"/>
  <c r="K273" i="4"/>
  <c r="K551" i="4"/>
  <c r="K403" i="4"/>
  <c r="K477" i="4"/>
  <c r="K439" i="4"/>
  <c r="K847" i="4"/>
  <c r="K765" i="4"/>
  <c r="K875" i="4"/>
  <c r="K599" i="4"/>
  <c r="K351" i="4"/>
  <c r="K985" i="4"/>
  <c r="K821" i="4"/>
  <c r="K987" i="4"/>
  <c r="K988" i="4"/>
  <c r="K989" i="4"/>
  <c r="K413" i="4"/>
  <c r="K991" i="4"/>
  <c r="K562" i="4"/>
  <c r="K993" i="4"/>
  <c r="K898" i="4"/>
  <c r="K995" i="4"/>
  <c r="K86" i="4"/>
  <c r="K787" i="4"/>
  <c r="K942" i="4"/>
  <c r="K689" i="4"/>
  <c r="K1000" i="4"/>
  <c r="K1001" i="4"/>
  <c r="J906" i="4"/>
  <c r="J4" i="4"/>
  <c r="J552" i="4"/>
  <c r="J125" i="4"/>
  <c r="J7" i="4"/>
  <c r="J846" i="4"/>
  <c r="J534" i="4"/>
  <c r="J362" i="4"/>
  <c r="J931" i="4"/>
  <c r="J12" i="4"/>
  <c r="J940" i="4"/>
  <c r="J59" i="4"/>
  <c r="J398" i="4"/>
  <c r="J16" i="4"/>
  <c r="J17" i="4"/>
  <c r="J277" i="4"/>
  <c r="J19" i="4"/>
  <c r="J20" i="4"/>
  <c r="J869" i="4"/>
  <c r="J879" i="4"/>
  <c r="J23" i="4"/>
  <c r="J129" i="4"/>
  <c r="J25" i="4"/>
  <c r="J26" i="4"/>
  <c r="J937" i="4"/>
  <c r="J359" i="4"/>
  <c r="J211" i="4"/>
  <c r="J276" i="4"/>
  <c r="J707" i="4"/>
  <c r="J32" i="4"/>
  <c r="J33" i="4"/>
  <c r="J302" i="4"/>
  <c r="J35" i="4"/>
  <c r="J785" i="4"/>
  <c r="J37" i="4"/>
  <c r="J275" i="4"/>
  <c r="J852" i="4"/>
  <c r="J914" i="4"/>
  <c r="J925" i="4"/>
  <c r="J377" i="4"/>
  <c r="J43" i="4"/>
  <c r="J51" i="4"/>
  <c r="J168" i="4"/>
  <c r="J582" i="4"/>
  <c r="J997" i="4"/>
  <c r="J48" i="4"/>
  <c r="J580" i="4"/>
  <c r="J521" i="4"/>
  <c r="J289" i="4"/>
  <c r="J669" i="4"/>
  <c r="J459" i="4"/>
  <c r="J54" i="4"/>
  <c r="J55" i="4"/>
  <c r="J848" i="4"/>
  <c r="J548" i="4"/>
  <c r="J60" i="4"/>
  <c r="J994" i="4"/>
  <c r="J87" i="4"/>
  <c r="J61" i="4"/>
  <c r="J62" i="4"/>
  <c r="J607" i="4"/>
  <c r="J64" i="4"/>
  <c r="J65" i="4"/>
  <c r="J66" i="4"/>
  <c r="J67" i="4"/>
  <c r="J68" i="4"/>
  <c r="J69" i="4"/>
  <c r="J192" i="4"/>
  <c r="J114" i="4"/>
  <c r="J186" i="4"/>
  <c r="J705" i="4"/>
  <c r="J74" i="4"/>
  <c r="J728" i="4"/>
  <c r="J170" i="4"/>
  <c r="J438" i="4"/>
  <c r="J78" i="4"/>
  <c r="J357" i="4"/>
  <c r="J137" i="4"/>
  <c r="J3" i="4"/>
  <c r="J307" i="4"/>
  <c r="J899" i="4"/>
  <c r="J84" i="4"/>
  <c r="J85" i="4"/>
  <c r="J207" i="4"/>
  <c r="J900" i="4"/>
  <c r="J88" i="4"/>
  <c r="J89" i="4"/>
  <c r="J166" i="4"/>
  <c r="J288" i="4"/>
  <c r="J92" i="4"/>
  <c r="J77" i="4"/>
  <c r="J94" i="4"/>
  <c r="J761" i="4"/>
  <c r="J296" i="4"/>
  <c r="J783" i="4"/>
  <c r="J223" i="4"/>
  <c r="J643" i="4"/>
  <c r="J117" i="4"/>
  <c r="J101" i="4"/>
  <c r="J102" i="4"/>
  <c r="J632" i="4"/>
  <c r="J185" i="4"/>
  <c r="J496" i="4"/>
  <c r="J802" i="4"/>
  <c r="J107" i="4"/>
  <c r="J697" i="4"/>
  <c r="J71" i="4"/>
  <c r="J623" i="4"/>
  <c r="J471" i="4"/>
  <c r="J567" i="4"/>
  <c r="J95" i="4"/>
  <c r="J402" i="4"/>
  <c r="J115" i="4"/>
  <c r="J116" i="4"/>
  <c r="J724" i="4"/>
  <c r="J960" i="4"/>
  <c r="J119" i="4"/>
  <c r="J120" i="4"/>
  <c r="J949" i="4"/>
  <c r="J122" i="4"/>
  <c r="J123" i="4"/>
  <c r="J861" i="4"/>
  <c r="J283" i="4"/>
  <c r="J755" i="4"/>
  <c r="J762" i="4"/>
  <c r="J128" i="4"/>
  <c r="J465" i="4"/>
  <c r="J545" i="4"/>
  <c r="J799" i="4"/>
  <c r="J132" i="4"/>
  <c r="J664" i="4"/>
  <c r="J134" i="4"/>
  <c r="J93" i="4"/>
  <c r="J694" i="4"/>
  <c r="J13" i="4"/>
  <c r="J237" i="4"/>
  <c r="J416" i="4"/>
  <c r="J559" i="4"/>
  <c r="J144" i="4"/>
  <c r="J346" i="4"/>
  <c r="J605" i="4"/>
  <c r="J18" i="4"/>
  <c r="J256" i="4"/>
  <c r="J146" i="4"/>
  <c r="J565" i="4"/>
  <c r="J148" i="4"/>
  <c r="J262" i="4"/>
  <c r="J79" i="4"/>
  <c r="J484" i="4"/>
  <c r="J45" i="4"/>
  <c r="J516" i="4"/>
  <c r="J154" i="4"/>
  <c r="J155" i="4"/>
  <c r="J156" i="4"/>
  <c r="J280" i="4"/>
  <c r="J838" i="4"/>
  <c r="J22" i="4"/>
  <c r="J160" i="4"/>
  <c r="J180" i="4"/>
  <c r="J162" i="4"/>
  <c r="J315" i="4"/>
  <c r="J427" i="4"/>
  <c r="J254" i="4"/>
  <c r="J880" i="4"/>
  <c r="J526" i="4"/>
  <c r="J572" i="4"/>
  <c r="J347" i="4"/>
  <c r="J176" i="4"/>
  <c r="J96" i="4"/>
  <c r="J172" i="4"/>
  <c r="J342" i="4"/>
  <c r="J849" i="4"/>
  <c r="J266" i="4"/>
  <c r="J624" i="4"/>
  <c r="J889" i="4"/>
  <c r="J687" i="4"/>
  <c r="J747" i="4"/>
  <c r="J874" i="4"/>
  <c r="J817" i="4"/>
  <c r="J182" i="4"/>
  <c r="J829" i="4"/>
  <c r="J558" i="4"/>
  <c r="J720" i="4"/>
  <c r="J952" i="4"/>
  <c r="J21" i="4"/>
  <c r="J955" i="4"/>
  <c r="J497" i="4"/>
  <c r="J978" i="4"/>
  <c r="J423" i="4"/>
  <c r="J578" i="4"/>
  <c r="J193" i="4"/>
  <c r="J841" i="4"/>
  <c r="J938" i="4"/>
  <c r="J196" i="4"/>
  <c r="J197" i="4"/>
  <c r="J198" i="4"/>
  <c r="J839" i="4"/>
  <c r="J365" i="4"/>
  <c r="J458" i="4"/>
  <c r="J121" i="4"/>
  <c r="J299" i="4"/>
  <c r="J204" i="4"/>
  <c r="J397" i="4"/>
  <c r="J14" i="4"/>
  <c r="J554" i="4"/>
  <c r="J208" i="4"/>
  <c r="J209" i="4"/>
  <c r="J210" i="4"/>
  <c r="J654" i="4"/>
  <c r="J445" i="4"/>
  <c r="J218" i="4"/>
  <c r="J954" i="4"/>
  <c r="J217" i="4"/>
  <c r="J216" i="4"/>
  <c r="J394" i="4"/>
  <c r="J379" i="4"/>
  <c r="J124" i="4"/>
  <c r="J203" i="4"/>
  <c r="J885" i="4"/>
  <c r="J382" i="4"/>
  <c r="J723" i="4"/>
  <c r="J224" i="4"/>
  <c r="J589" i="4"/>
  <c r="J556" i="4"/>
  <c r="J656" i="4"/>
  <c r="J228" i="4"/>
  <c r="J958" i="4"/>
  <c r="J127" i="4"/>
  <c r="J293" i="4"/>
  <c r="J232" i="4"/>
  <c r="J233" i="4"/>
  <c r="J932" i="4"/>
  <c r="J621" i="4"/>
  <c r="J118" i="4"/>
  <c r="J908" i="4"/>
  <c r="J813" i="4"/>
  <c r="J214" i="4"/>
  <c r="J743" i="4"/>
  <c r="J241" i="4"/>
  <c r="J894" i="4"/>
  <c r="J633" i="4"/>
  <c r="J244" i="4"/>
  <c r="J794" i="4"/>
  <c r="J328" i="4"/>
  <c r="J856" i="4"/>
  <c r="J614" i="4"/>
  <c r="J935" i="4"/>
  <c r="J390" i="4"/>
  <c r="J251" i="4"/>
  <c r="J252" i="4"/>
  <c r="J287" i="4"/>
  <c r="J354" i="4"/>
  <c r="J255" i="4"/>
  <c r="J97" i="4"/>
  <c r="J257" i="4"/>
  <c r="J258" i="4"/>
  <c r="J259" i="4"/>
  <c r="J234" i="4"/>
  <c r="J261" i="4"/>
  <c r="J975" i="4"/>
  <c r="J263" i="4"/>
  <c r="J508" i="4"/>
  <c r="J265" i="4"/>
  <c r="J247" i="4"/>
  <c r="J708" i="4"/>
  <c r="J268" i="4"/>
  <c r="J574" i="4"/>
  <c r="J990" i="4"/>
  <c r="J796" i="4"/>
  <c r="J784" i="4"/>
  <c r="J440" i="4"/>
  <c r="J294" i="4"/>
  <c r="J744" i="4"/>
  <c r="J329" i="4"/>
  <c r="J891" i="4"/>
  <c r="J983" i="4"/>
  <c r="J279" i="4"/>
  <c r="J883" i="4"/>
  <c r="J281" i="4"/>
  <c r="J282" i="4"/>
  <c r="J922" i="4"/>
  <c r="J801" i="4"/>
  <c r="J109" i="4"/>
  <c r="J8" i="4"/>
  <c r="J325" i="4"/>
  <c r="J527" i="4"/>
  <c r="J609" i="4"/>
  <c r="J295" i="4"/>
  <c r="J291" i="4"/>
  <c r="J514" i="4"/>
  <c r="J740" i="4"/>
  <c r="J929" i="4"/>
  <c r="J225" i="4"/>
  <c r="J483" i="4"/>
  <c r="J297" i="4"/>
  <c r="J298" i="4"/>
  <c r="J820" i="4"/>
  <c r="J575" i="4"/>
  <c r="J131" i="4"/>
  <c r="J249" i="4"/>
  <c r="J441" i="4"/>
  <c r="J498" i="4"/>
  <c r="J583" i="4"/>
  <c r="J306" i="4"/>
  <c r="J372" i="4"/>
  <c r="J308" i="4"/>
  <c r="J309" i="4"/>
  <c r="J617" i="4"/>
  <c r="J311" i="4"/>
  <c r="J961" i="4"/>
  <c r="J313" i="4"/>
  <c r="J314" i="4"/>
  <c r="J837" i="4"/>
  <c r="J316" i="4"/>
  <c r="J317" i="4"/>
  <c r="J318" i="4"/>
  <c r="J323" i="4"/>
  <c r="J320" i="4"/>
  <c r="J231" i="4"/>
  <c r="J568" i="4"/>
  <c r="J90" i="4"/>
  <c r="J324" i="4"/>
  <c r="J557" i="4"/>
  <c r="J628" i="4"/>
  <c r="J327" i="4"/>
  <c r="J126" i="4"/>
  <c r="J540" i="4"/>
  <c r="J944" i="4"/>
  <c r="J500" i="4"/>
  <c r="J332" i="4"/>
  <c r="J333" i="4"/>
  <c r="J334" i="4"/>
  <c r="J335" i="4"/>
  <c r="J158" i="4"/>
  <c r="J337" i="4"/>
  <c r="J165" i="4"/>
  <c r="J741" i="4"/>
  <c r="J868" i="4"/>
  <c r="J341" i="4"/>
  <c r="J703" i="4"/>
  <c r="J638" i="4"/>
  <c r="J286" i="4"/>
  <c r="J130" i="4"/>
  <c r="J391" i="4"/>
  <c r="J693" i="4"/>
  <c r="J290" i="4"/>
  <c r="J340" i="4"/>
  <c r="J350" i="4"/>
  <c r="J791" i="4"/>
  <c r="J631" i="4"/>
  <c r="J285" i="4"/>
  <c r="J246" i="4"/>
  <c r="J355" i="4"/>
  <c r="J184" i="4"/>
  <c r="J771" i="4"/>
  <c r="J358" i="4"/>
  <c r="J587" i="4"/>
  <c r="J360" i="4"/>
  <c r="J361" i="4"/>
  <c r="J601" i="4"/>
  <c r="J363" i="4"/>
  <c r="J927" i="4"/>
  <c r="J480" i="4"/>
  <c r="J366" i="4"/>
  <c r="J91" i="4"/>
  <c r="J267" i="4"/>
  <c r="J73" i="4"/>
  <c r="J370" i="4"/>
  <c r="J371" i="4"/>
  <c r="J399" i="4"/>
  <c r="J866" i="4"/>
  <c r="J181" i="4"/>
  <c r="J666" i="4"/>
  <c r="J452" i="4"/>
  <c r="J133" i="4"/>
  <c r="J30" i="4"/>
  <c r="J976" i="4"/>
  <c r="J380" i="4"/>
  <c r="J381" i="4"/>
  <c r="J271" i="4"/>
  <c r="J485" i="4"/>
  <c r="J999" i="4"/>
  <c r="J304" i="4"/>
  <c r="J39" i="4"/>
  <c r="J479" i="4"/>
  <c r="J464" i="4"/>
  <c r="J549" i="4"/>
  <c r="J187" i="4"/>
  <c r="J979" i="4"/>
  <c r="J392" i="4"/>
  <c r="J393" i="4"/>
  <c r="J781" i="4"/>
  <c r="J395" i="4"/>
  <c r="J396" i="4"/>
  <c r="J274" i="4"/>
  <c r="J449" i="4"/>
  <c r="J72" i="4"/>
  <c r="J179" i="4"/>
  <c r="J401" i="4"/>
  <c r="J635" i="4"/>
  <c r="J569" i="4"/>
  <c r="J404" i="4"/>
  <c r="J405" i="4"/>
  <c r="J653" i="4"/>
  <c r="J189" i="4"/>
  <c r="J773" i="4"/>
  <c r="J220" i="4"/>
  <c r="J598" i="4"/>
  <c r="J411" i="4"/>
  <c r="J414" i="4"/>
  <c r="J367" i="4"/>
  <c r="J804" i="4"/>
  <c r="J415" i="4"/>
  <c r="J38" i="4"/>
  <c r="J550" i="4"/>
  <c r="J732" i="4"/>
  <c r="J419" i="4"/>
  <c r="J40" i="4"/>
  <c r="J157" i="4"/>
  <c r="J422" i="4"/>
  <c r="J243" i="4"/>
  <c r="J424" i="4"/>
  <c r="J11" i="4"/>
  <c r="J212" i="4"/>
  <c r="J859" i="4"/>
  <c r="J588" i="4"/>
  <c r="J901" i="4"/>
  <c r="J430" i="4"/>
  <c r="J431" i="4"/>
  <c r="J432" i="4"/>
  <c r="J264" i="4"/>
  <c r="J442" i="4"/>
  <c r="J28" i="4"/>
  <c r="J152" i="4"/>
  <c r="J437" i="4"/>
  <c r="J284" i="4"/>
  <c r="J872" i="4"/>
  <c r="J992" i="4"/>
  <c r="J637" i="4"/>
  <c r="J161" i="4"/>
  <c r="J470" i="4"/>
  <c r="J748" i="4"/>
  <c r="J916" i="4"/>
  <c r="J446" i="4"/>
  <c r="J378" i="4"/>
  <c r="J448" i="4"/>
  <c r="J108" i="4"/>
  <c r="J100" i="4"/>
  <c r="J222" i="4"/>
  <c r="J715" i="4"/>
  <c r="J453" i="4"/>
  <c r="J454" i="4"/>
  <c r="J676" i="4"/>
  <c r="J456" i="4"/>
  <c r="J711" i="4"/>
  <c r="J713" i="4"/>
  <c r="J420" i="4"/>
  <c r="J460" i="4"/>
  <c r="J151" i="4"/>
  <c r="J699" i="4"/>
  <c r="J463" i="4"/>
  <c r="J615" i="4"/>
  <c r="J509" i="4"/>
  <c r="J501" i="4"/>
  <c r="J608" i="4"/>
  <c r="J270" i="4"/>
  <c r="J322" i="4"/>
  <c r="J770" i="4"/>
  <c r="J811" i="4"/>
  <c r="J472" i="4"/>
  <c r="J80" i="4"/>
  <c r="J474" i="4"/>
  <c r="J475" i="4"/>
  <c r="J753" i="4"/>
  <c r="J473" i="4"/>
  <c r="J518" i="4"/>
  <c r="J561" i="4"/>
  <c r="J250" i="4"/>
  <c r="J110" i="4"/>
  <c r="J974" i="4"/>
  <c r="J766" i="4"/>
  <c r="J81" i="4"/>
  <c r="J435" i="4"/>
  <c r="J303" i="4"/>
  <c r="J487" i="4"/>
  <c r="J488" i="4"/>
  <c r="J709" i="4"/>
  <c r="J490" i="4"/>
  <c r="J491" i="4"/>
  <c r="J138" i="4"/>
  <c r="J793" i="4"/>
  <c r="J494" i="4"/>
  <c r="J495" i="4"/>
  <c r="J457" i="4"/>
  <c r="J106" i="4"/>
  <c r="J493" i="4"/>
  <c r="J832" i="4"/>
  <c r="J235" i="4"/>
  <c r="J492" i="4"/>
  <c r="J706" i="4"/>
  <c r="J486" i="4"/>
  <c r="J767" i="4"/>
  <c r="J469" i="4"/>
  <c r="J782" i="4"/>
  <c r="J467" i="4"/>
  <c r="J199" i="4"/>
  <c r="J739" i="4"/>
  <c r="J539" i="4"/>
  <c r="J733" i="4"/>
  <c r="J512" i="4"/>
  <c r="J950" i="4"/>
  <c r="J888" i="4"/>
  <c r="J515" i="4"/>
  <c r="J164" i="4"/>
  <c r="J145" i="4"/>
  <c r="J226" i="4"/>
  <c r="J221" i="4"/>
  <c r="J980" i="4"/>
  <c r="J537" i="4"/>
  <c r="J174" i="4"/>
  <c r="J610" i="4"/>
  <c r="J524" i="4"/>
  <c r="J525" i="4"/>
  <c r="J618" i="4"/>
  <c r="J688" i="4"/>
  <c r="J966" i="4"/>
  <c r="J649" i="4"/>
  <c r="J530" i="4"/>
  <c r="J531" i="4"/>
  <c r="J532" i="4"/>
  <c r="J701" i="4"/>
  <c r="J523" i="4"/>
  <c r="J897" i="4"/>
  <c r="J536" i="4"/>
  <c r="J34" i="4"/>
  <c r="J538" i="4"/>
  <c r="J175" i="4"/>
  <c r="J754" i="4"/>
  <c r="J918" i="4"/>
  <c r="J142" i="4"/>
  <c r="J865" i="4"/>
  <c r="J544" i="4"/>
  <c r="J260" i="4"/>
  <c r="J546" i="4"/>
  <c r="J547" i="4"/>
  <c r="J681" i="4"/>
  <c r="J46" i="4"/>
  <c r="J418" i="4"/>
  <c r="J326" i="4"/>
  <c r="J429" i="4"/>
  <c r="J553" i="4"/>
  <c r="J10" i="4"/>
  <c r="J555" i="4"/>
  <c r="J425" i="4"/>
  <c r="J564" i="4"/>
  <c r="J970" i="4"/>
  <c r="J339" i="4"/>
  <c r="J822" i="4"/>
  <c r="J973" i="4"/>
  <c r="J592" i="4"/>
  <c r="J348" i="4"/>
  <c r="J139" i="4"/>
  <c r="J356" i="4"/>
  <c r="J566" i="4"/>
  <c r="J103" i="4"/>
  <c r="J639" i="4"/>
  <c r="J140" i="4"/>
  <c r="J570" i="4"/>
  <c r="J571" i="4"/>
  <c r="J511" i="4"/>
  <c r="J573" i="4"/>
  <c r="J406" i="4"/>
  <c r="J577" i="4"/>
  <c r="J576" i="4"/>
  <c r="J455" i="4"/>
  <c r="J936" i="4"/>
  <c r="J579" i="4"/>
  <c r="J292" i="4"/>
  <c r="J795" i="4"/>
  <c r="J622" i="4"/>
  <c r="J383" i="4"/>
  <c r="J775" i="4"/>
  <c r="J585" i="4"/>
  <c r="J586" i="4"/>
  <c r="J167" i="4"/>
  <c r="J658" i="4"/>
  <c r="J111" i="4"/>
  <c r="J590" i="4"/>
  <c r="J409" i="4"/>
  <c r="J57" i="4"/>
  <c r="J593" i="4"/>
  <c r="J236" i="4"/>
  <c r="J595" i="4"/>
  <c r="J596" i="4"/>
  <c r="J49" i="4"/>
  <c r="J6" i="4"/>
  <c r="J915" i="4"/>
  <c r="J600" i="4"/>
  <c r="J597" i="4"/>
  <c r="J602" i="4"/>
  <c r="J843" i="4"/>
  <c r="J98" i="4"/>
  <c r="J786" i="4"/>
  <c r="J818" i="4"/>
  <c r="J982" i="4"/>
  <c r="J112" i="4"/>
  <c r="J386" i="4"/>
  <c r="J698" i="4"/>
  <c r="J541" i="4"/>
  <c r="J529" i="4"/>
  <c r="J368" i="4"/>
  <c r="J240" i="4"/>
  <c r="J513" i="4"/>
  <c r="J426" i="4"/>
  <c r="J757" i="4"/>
  <c r="J345" i="4"/>
  <c r="J680" i="4"/>
  <c r="J227" i="4"/>
  <c r="J163" i="4"/>
  <c r="J70" i="4"/>
  <c r="J462" i="4"/>
  <c r="J42" i="4"/>
  <c r="J400" i="4"/>
  <c r="J657" i="4"/>
  <c r="J143" i="4"/>
  <c r="J169" i="4"/>
  <c r="J629" i="4"/>
  <c r="J630" i="4"/>
  <c r="J542" i="4"/>
  <c r="J29" i="4"/>
  <c r="J433" i="4"/>
  <c r="J928" i="4"/>
  <c r="J417" i="4"/>
  <c r="J939" i="4"/>
  <c r="J716" i="4"/>
  <c r="J768" i="4"/>
  <c r="J930" i="4"/>
  <c r="J58" i="4"/>
  <c r="J714" i="4"/>
  <c r="J809" i="4"/>
  <c r="J503" i="4"/>
  <c r="J410" i="4"/>
  <c r="J604" i="4"/>
  <c r="J502" i="4"/>
  <c r="J647" i="4"/>
  <c r="J648" i="4"/>
  <c r="J238" i="4"/>
  <c r="J650" i="4"/>
  <c r="J651" i="4"/>
  <c r="J780" i="4"/>
  <c r="J719" i="4"/>
  <c r="J482" i="4"/>
  <c r="J373" i="4"/>
  <c r="J904" i="4"/>
  <c r="J917" i="4"/>
  <c r="J219" i="4"/>
  <c r="J369" i="4"/>
  <c r="J239" i="4"/>
  <c r="J104" i="4"/>
  <c r="J662" i="4"/>
  <c r="J663" i="4"/>
  <c r="J56" i="4"/>
  <c r="J760" i="4"/>
  <c r="J330" i="4"/>
  <c r="J421" i="4"/>
  <c r="J478" i="4"/>
  <c r="J269" i="4"/>
  <c r="J543" i="4"/>
  <c r="J806" i="4"/>
  <c r="J645" i="4"/>
  <c r="J652" i="4"/>
  <c r="J673" i="4"/>
  <c r="J675" i="4"/>
  <c r="J206" i="4"/>
  <c r="J677" i="4"/>
  <c r="J678" i="4"/>
  <c r="J52" i="4"/>
  <c r="J312" i="4"/>
  <c r="J996" i="4"/>
  <c r="J682" i="4"/>
  <c r="J683" i="4"/>
  <c r="J684" i="4"/>
  <c r="J685" i="4"/>
  <c r="J686" i="4"/>
  <c r="J41" i="4"/>
  <c r="J535" i="4"/>
  <c r="J2" i="4"/>
  <c r="J690" i="4"/>
  <c r="J691" i="4"/>
  <c r="J194" i="4"/>
  <c r="J581" i="4"/>
  <c r="J854" i="4"/>
  <c r="J695" i="4"/>
  <c r="J696" i="4"/>
  <c r="J721" i="4"/>
  <c r="J253" i="4"/>
  <c r="J877" i="4"/>
  <c r="J824" i="4"/>
  <c r="J943" i="4"/>
  <c r="J808" i="4"/>
  <c r="J764" i="4"/>
  <c r="J704" i="4"/>
  <c r="J310" i="4"/>
  <c r="J522" i="4"/>
  <c r="J774" i="4"/>
  <c r="J860" i="4"/>
  <c r="J736" i="4"/>
  <c r="J428" i="4"/>
  <c r="J300" i="4"/>
  <c r="J712" i="4"/>
  <c r="J375" i="4"/>
  <c r="J642" i="4"/>
  <c r="J857" i="4"/>
  <c r="J83" i="4"/>
  <c r="J717" i="4"/>
  <c r="J718" i="4"/>
  <c r="J812" i="4"/>
  <c r="J819" i="4"/>
  <c r="J665" i="4"/>
  <c r="J63" i="4"/>
  <c r="J385" i="4"/>
  <c r="J792" i="4"/>
  <c r="J903" i="4"/>
  <c r="J505" i="4"/>
  <c r="J727" i="4"/>
  <c r="J823" i="4"/>
  <c r="J729" i="4"/>
  <c r="J730" i="4"/>
  <c r="J655" i="4"/>
  <c r="J242" i="4"/>
  <c r="J864" i="4"/>
  <c r="J734" i="4"/>
  <c r="J735" i="4"/>
  <c r="J248" i="4"/>
  <c r="J201" i="4"/>
  <c r="J738" i="4"/>
  <c r="J905" i="4"/>
  <c r="J722" i="4"/>
  <c r="J867" i="4"/>
  <c r="J627" i="4"/>
  <c r="J959" i="4"/>
  <c r="J878" i="4"/>
  <c r="J53" i="4"/>
  <c r="J679" i="4"/>
  <c r="J668" i="4"/>
  <c r="J191" i="4"/>
  <c r="J769" i="4"/>
  <c r="J910" i="4"/>
  <c r="J751" i="4"/>
  <c r="J752" i="4"/>
  <c r="J135" i="4"/>
  <c r="J606" i="4"/>
  <c r="J195" i="4"/>
  <c r="J620" i="4"/>
  <c r="J616" i="4"/>
  <c r="J517" i="4"/>
  <c r="J759" i="4"/>
  <c r="J886" i="4"/>
  <c r="J507" i="4"/>
  <c r="J660" i="4"/>
  <c r="J763" i="4"/>
  <c r="J278" i="4"/>
  <c r="J150" i="4"/>
  <c r="J737" i="4"/>
  <c r="J353" i="4"/>
  <c r="J659" i="4"/>
  <c r="J834" i="4"/>
  <c r="J5" i="4"/>
  <c r="J758" i="4"/>
  <c r="J726" i="4"/>
  <c r="J749" i="4"/>
  <c r="J99" i="4"/>
  <c r="J750" i="4"/>
  <c r="J776" i="4"/>
  <c r="J82" i="4"/>
  <c r="J778" i="4"/>
  <c r="J779" i="4"/>
  <c r="J412" i="4"/>
  <c r="J476" i="4"/>
  <c r="J387" i="4"/>
  <c r="J338" i="4"/>
  <c r="J611" i="4"/>
  <c r="J772" i="4"/>
  <c r="J344" i="4"/>
  <c r="J147" i="4"/>
  <c r="J788" i="4"/>
  <c r="J789" i="4"/>
  <c r="J200" i="4"/>
  <c r="J948" i="4"/>
  <c r="J36" i="4"/>
  <c r="J466" i="4"/>
  <c r="J858" i="4"/>
  <c r="J594" i="4"/>
  <c r="J153" i="4"/>
  <c r="J797" i="4"/>
  <c r="J798" i="4"/>
  <c r="J640" i="4"/>
  <c r="J800" i="4"/>
  <c r="J499" i="4"/>
  <c r="J731" i="4"/>
  <c r="J725" i="4"/>
  <c r="J644" i="4"/>
  <c r="J805" i="4"/>
  <c r="J671" i="4"/>
  <c r="J807" i="4"/>
  <c r="J533" i="4"/>
  <c r="J613" i="4"/>
  <c r="J584" i="4"/>
  <c r="J447" i="4"/>
  <c r="J364" i="4"/>
  <c r="J831" i="4"/>
  <c r="J814" i="4"/>
  <c r="J968" i="4"/>
  <c r="J816" i="4"/>
  <c r="J591" i="4"/>
  <c r="J213" i="4"/>
  <c r="J742" i="4"/>
  <c r="J31" i="4"/>
  <c r="J746" i="4"/>
  <c r="J967" i="4"/>
  <c r="J971" i="4"/>
  <c r="J519" i="4"/>
  <c r="J825" i="4"/>
  <c r="J826" i="4"/>
  <c r="J319" i="4"/>
  <c r="J828" i="4"/>
  <c r="J634" i="4"/>
  <c r="J830" i="4"/>
  <c r="J450" i="4"/>
  <c r="J969" i="4"/>
  <c r="J833" i="4"/>
  <c r="J229" i="4"/>
  <c r="J745" i="4"/>
  <c r="J836" i="4"/>
  <c r="J481" i="4"/>
  <c r="J803" i="4"/>
  <c r="J920" i="4"/>
  <c r="J840" i="4"/>
  <c r="J756" i="4"/>
  <c r="J842" i="4"/>
  <c r="J407" i="4"/>
  <c r="J504" i="4"/>
  <c r="J845" i="4"/>
  <c r="J75" i="4"/>
  <c r="J563" i="4"/>
  <c r="J205" i="4"/>
  <c r="J113" i="4"/>
  <c r="J850" i="4"/>
  <c r="J461" i="4"/>
  <c r="J434" i="4"/>
  <c r="J853" i="4"/>
  <c r="J15" i="4"/>
  <c r="J855" i="4"/>
  <c r="J625" i="4"/>
  <c r="J815" i="4"/>
  <c r="J136" i="4"/>
  <c r="J202" i="4"/>
  <c r="J331" i="4"/>
  <c r="J177" i="4"/>
  <c r="J862" i="4"/>
  <c r="J863" i="4"/>
  <c r="J159" i="4"/>
  <c r="J215" i="4"/>
  <c r="J907" i="4"/>
  <c r="J963" i="4"/>
  <c r="J646" i="4"/>
  <c r="J451" i="4"/>
  <c r="J870" i="4"/>
  <c r="J871" i="4"/>
  <c r="J528" i="4"/>
  <c r="J873" i="4"/>
  <c r="J895" i="4"/>
  <c r="J408" i="4"/>
  <c r="J876" i="4"/>
  <c r="J50" i="4"/>
  <c r="J603" i="4"/>
  <c r="J777" i="4"/>
  <c r="J998" i="4"/>
  <c r="J881" i="4"/>
  <c r="J882" i="4"/>
  <c r="J986" i="4"/>
  <c r="J884" i="4"/>
  <c r="J44" i="4"/>
  <c r="J984" i="4"/>
  <c r="J887" i="4"/>
  <c r="J305" i="4"/>
  <c r="J9" i="4"/>
  <c r="J389" i="4"/>
  <c r="J626" i="4"/>
  <c r="J892" i="4"/>
  <c r="J893" i="4"/>
  <c r="J321" i="4"/>
  <c r="J178" i="4"/>
  <c r="J896" i="4"/>
  <c r="J352" i="4"/>
  <c r="J188" i="4"/>
  <c r="J183" i="4"/>
  <c r="J171" i="4"/>
  <c r="J105" i="4"/>
  <c r="J965" i="4"/>
  <c r="J672" i="4"/>
  <c r="J661" i="4"/>
  <c r="J141" i="4"/>
  <c r="J489" i="4"/>
  <c r="J27" i="4"/>
  <c r="J909" i="4"/>
  <c r="J977" i="4"/>
  <c r="J710" i="4"/>
  <c r="J911" i="4"/>
  <c r="J912" i="4"/>
  <c r="J913" i="4"/>
  <c r="J24" i="4"/>
  <c r="J343" i="4"/>
  <c r="J388" i="4"/>
  <c r="J230" i="4"/>
  <c r="J844" i="4"/>
  <c r="J919" i="4"/>
  <c r="J790" i="4"/>
  <c r="J921" i="4"/>
  <c r="J890" i="4"/>
  <c r="J923" i="4"/>
  <c r="J924" i="4"/>
  <c r="J443" i="4"/>
  <c r="J810" i="4"/>
  <c r="J926" i="4"/>
  <c r="J510" i="4"/>
  <c r="J384" i="4"/>
  <c r="J506" i="4"/>
  <c r="J349" i="4"/>
  <c r="J612" i="4"/>
  <c r="J933" i="4"/>
  <c r="J934" i="4"/>
  <c r="J981" i="4"/>
  <c r="J374" i="4"/>
  <c r="J702" i="4"/>
  <c r="J670" i="4"/>
  <c r="J902" i="4"/>
  <c r="J851" i="4"/>
  <c r="J941" i="4"/>
  <c r="J272" i="4"/>
  <c r="J636" i="4"/>
  <c r="J520" i="4"/>
  <c r="J700" i="4"/>
  <c r="J946" i="4"/>
  <c r="J947" i="4"/>
  <c r="J692" i="4"/>
  <c r="J945" i="4"/>
  <c r="J444" i="4"/>
  <c r="J951" i="4"/>
  <c r="J827" i="4"/>
  <c r="J953" i="4"/>
  <c r="J835" i="4"/>
  <c r="J376" i="4"/>
  <c r="J956" i="4"/>
  <c r="J957" i="4"/>
  <c r="J301" i="4"/>
  <c r="J641" i="4"/>
  <c r="J245" i="4"/>
  <c r="J468" i="4"/>
  <c r="J962" i="4"/>
  <c r="J47" i="4"/>
  <c r="J964" i="4"/>
  <c r="J674" i="4"/>
  <c r="J560" i="4"/>
  <c r="J76" i="4"/>
  <c r="J336" i="4"/>
  <c r="J173" i="4"/>
  <c r="J619" i="4"/>
  <c r="J190" i="4"/>
  <c r="J972" i="4"/>
  <c r="J149" i="4"/>
  <c r="J667" i="4"/>
  <c r="J273" i="4"/>
  <c r="J551" i="4"/>
  <c r="J403" i="4"/>
  <c r="J477" i="4"/>
  <c r="J439" i="4"/>
  <c r="J847" i="4"/>
  <c r="J765" i="4"/>
  <c r="J875" i="4"/>
  <c r="J599" i="4"/>
  <c r="J351" i="4"/>
  <c r="J985" i="4"/>
  <c r="J821" i="4"/>
  <c r="J987" i="4"/>
  <c r="J988" i="4"/>
  <c r="J989" i="4"/>
  <c r="J413" i="4"/>
  <c r="J991" i="4"/>
  <c r="J562" i="4"/>
  <c r="J993" i="4"/>
  <c r="J898" i="4"/>
  <c r="J995" i="4"/>
  <c r="J86" i="4"/>
  <c r="J787" i="4"/>
  <c r="J942" i="4"/>
  <c r="J689" i="4"/>
  <c r="J1000" i="4"/>
  <c r="J1001" i="4"/>
  <c r="H906" i="4"/>
  <c r="H4" i="4"/>
  <c r="H552" i="4"/>
  <c r="H125" i="4"/>
  <c r="H7" i="4"/>
  <c r="H846" i="4"/>
  <c r="H534" i="4"/>
  <c r="H362" i="4"/>
  <c r="H931" i="4"/>
  <c r="H12" i="4"/>
  <c r="H940" i="4"/>
  <c r="H59" i="4"/>
  <c r="H398" i="4"/>
  <c r="H16" i="4"/>
  <c r="H17" i="4"/>
  <c r="H277" i="4"/>
  <c r="H19" i="4"/>
  <c r="H20" i="4"/>
  <c r="H869" i="4"/>
  <c r="H879" i="4"/>
  <c r="H23" i="4"/>
  <c r="H129" i="4"/>
  <c r="H25" i="4"/>
  <c r="H26" i="4"/>
  <c r="H937" i="4"/>
  <c r="H359" i="4"/>
  <c r="H211" i="4"/>
  <c r="H276" i="4"/>
  <c r="H707" i="4"/>
  <c r="H32" i="4"/>
  <c r="H33" i="4"/>
  <c r="H302" i="4"/>
  <c r="H35" i="4"/>
  <c r="H785" i="4"/>
  <c r="H37" i="4"/>
  <c r="H275" i="4"/>
  <c r="H852" i="4"/>
  <c r="H914" i="4"/>
  <c r="H925" i="4"/>
  <c r="H377" i="4"/>
  <c r="H43" i="4"/>
  <c r="H51" i="4"/>
  <c r="H168" i="4"/>
  <c r="H582" i="4"/>
  <c r="H997" i="4"/>
  <c r="H48" i="4"/>
  <c r="H580" i="4"/>
  <c r="H521" i="4"/>
  <c r="H289" i="4"/>
  <c r="H669" i="4"/>
  <c r="H459" i="4"/>
  <c r="H54" i="4"/>
  <c r="H55" i="4"/>
  <c r="H848" i="4"/>
  <c r="H548" i="4"/>
  <c r="H60" i="4"/>
  <c r="H994" i="4"/>
  <c r="H87" i="4"/>
  <c r="H61" i="4"/>
  <c r="H62" i="4"/>
  <c r="H607" i="4"/>
  <c r="H64" i="4"/>
  <c r="H65" i="4"/>
  <c r="H66" i="4"/>
  <c r="H67" i="4"/>
  <c r="H68" i="4"/>
  <c r="H69" i="4"/>
  <c r="H192" i="4"/>
  <c r="H114" i="4"/>
  <c r="H186" i="4"/>
  <c r="H705" i="4"/>
  <c r="H74" i="4"/>
  <c r="H728" i="4"/>
  <c r="H170" i="4"/>
  <c r="H438" i="4"/>
  <c r="H78" i="4"/>
  <c r="H357" i="4"/>
  <c r="H137" i="4"/>
  <c r="H3" i="4"/>
  <c r="H307" i="4"/>
  <c r="H899" i="4"/>
  <c r="H84" i="4"/>
  <c r="H85" i="4"/>
  <c r="H207" i="4"/>
  <c r="H900" i="4"/>
  <c r="H88" i="4"/>
  <c r="H89" i="4"/>
  <c r="H166" i="4"/>
  <c r="H288" i="4"/>
  <c r="H92" i="4"/>
  <c r="H77" i="4"/>
  <c r="H94" i="4"/>
  <c r="H761" i="4"/>
  <c r="H296" i="4"/>
  <c r="H783" i="4"/>
  <c r="H223" i="4"/>
  <c r="H643" i="4"/>
  <c r="H117" i="4"/>
  <c r="H101" i="4"/>
  <c r="H102" i="4"/>
  <c r="H632" i="4"/>
  <c r="H185" i="4"/>
  <c r="H496" i="4"/>
  <c r="H802" i="4"/>
  <c r="H107" i="4"/>
  <c r="H697" i="4"/>
  <c r="H71" i="4"/>
  <c r="H623" i="4"/>
  <c r="H471" i="4"/>
  <c r="H567" i="4"/>
  <c r="H95" i="4"/>
  <c r="H402" i="4"/>
  <c r="H115" i="4"/>
  <c r="H116" i="4"/>
  <c r="H724" i="4"/>
  <c r="H960" i="4"/>
  <c r="H119" i="4"/>
  <c r="H120" i="4"/>
  <c r="H949" i="4"/>
  <c r="H122" i="4"/>
  <c r="H123" i="4"/>
  <c r="H861" i="4"/>
  <c r="H283" i="4"/>
  <c r="H755" i="4"/>
  <c r="H762" i="4"/>
  <c r="H128" i="4"/>
  <c r="H465" i="4"/>
  <c r="H545" i="4"/>
  <c r="H799" i="4"/>
  <c r="H132" i="4"/>
  <c r="H664" i="4"/>
  <c r="H134" i="4"/>
  <c r="H93" i="4"/>
  <c r="H694" i="4"/>
  <c r="H13" i="4"/>
  <c r="H237" i="4"/>
  <c r="H416" i="4"/>
  <c r="H559" i="4"/>
  <c r="H144" i="4"/>
  <c r="H346" i="4"/>
  <c r="H605" i="4"/>
  <c r="H18" i="4"/>
  <c r="H256" i="4"/>
  <c r="H146" i="4"/>
  <c r="H565" i="4"/>
  <c r="H148" i="4"/>
  <c r="H262" i="4"/>
  <c r="H79" i="4"/>
  <c r="H484" i="4"/>
  <c r="H45" i="4"/>
  <c r="H516" i="4"/>
  <c r="H154" i="4"/>
  <c r="H155" i="4"/>
  <c r="H156" i="4"/>
  <c r="H280" i="4"/>
  <c r="H838" i="4"/>
  <c r="H22" i="4"/>
  <c r="H160" i="4"/>
  <c r="H180" i="4"/>
  <c r="H162" i="4"/>
  <c r="H315" i="4"/>
  <c r="H427" i="4"/>
  <c r="H254" i="4"/>
  <c r="H880" i="4"/>
  <c r="H526" i="4"/>
  <c r="H572" i="4"/>
  <c r="H347" i="4"/>
  <c r="H176" i="4"/>
  <c r="H96" i="4"/>
  <c r="H172" i="4"/>
  <c r="H342" i="4"/>
  <c r="H849" i="4"/>
  <c r="H266" i="4"/>
  <c r="H624" i="4"/>
  <c r="H889" i="4"/>
  <c r="H687" i="4"/>
  <c r="H747" i="4"/>
  <c r="H874" i="4"/>
  <c r="H817" i="4"/>
  <c r="H182" i="4"/>
  <c r="H829" i="4"/>
  <c r="H558" i="4"/>
  <c r="H720" i="4"/>
  <c r="H952" i="4"/>
  <c r="H21" i="4"/>
  <c r="H955" i="4"/>
  <c r="H497" i="4"/>
  <c r="H978" i="4"/>
  <c r="H423" i="4"/>
  <c r="H578" i="4"/>
  <c r="H193" i="4"/>
  <c r="H841" i="4"/>
  <c r="H938" i="4"/>
  <c r="H196" i="4"/>
  <c r="H197" i="4"/>
  <c r="H198" i="4"/>
  <c r="H839" i="4"/>
  <c r="H365" i="4"/>
  <c r="H458" i="4"/>
  <c r="H121" i="4"/>
  <c r="H299" i="4"/>
  <c r="H204" i="4"/>
  <c r="H397" i="4"/>
  <c r="H14" i="4"/>
  <c r="H554" i="4"/>
  <c r="H208" i="4"/>
  <c r="H209" i="4"/>
  <c r="H210" i="4"/>
  <c r="H654" i="4"/>
  <c r="H445" i="4"/>
  <c r="H218" i="4"/>
  <c r="H954" i="4"/>
  <c r="H217" i="4"/>
  <c r="H216" i="4"/>
  <c r="H394" i="4"/>
  <c r="H379" i="4"/>
  <c r="H124" i="4"/>
  <c r="H203" i="4"/>
  <c r="H885" i="4"/>
  <c r="H382" i="4"/>
  <c r="H723" i="4"/>
  <c r="H224" i="4"/>
  <c r="H589" i="4"/>
  <c r="H556" i="4"/>
  <c r="H656" i="4"/>
  <c r="H228" i="4"/>
  <c r="H958" i="4"/>
  <c r="H127" i="4"/>
  <c r="H293" i="4"/>
  <c r="H232" i="4"/>
  <c r="H233" i="4"/>
  <c r="H932" i="4"/>
  <c r="H621" i="4"/>
  <c r="H118" i="4"/>
  <c r="H908" i="4"/>
  <c r="H813" i="4"/>
  <c r="H214" i="4"/>
  <c r="H743" i="4"/>
  <c r="H241" i="4"/>
  <c r="H894" i="4"/>
  <c r="H633" i="4"/>
  <c r="H244" i="4"/>
  <c r="H794" i="4"/>
  <c r="H328" i="4"/>
  <c r="H856" i="4"/>
  <c r="H614" i="4"/>
  <c r="H935" i="4"/>
  <c r="H390" i="4"/>
  <c r="H251" i="4"/>
  <c r="H252" i="4"/>
  <c r="H287" i="4"/>
  <c r="H354" i="4"/>
  <c r="H255" i="4"/>
  <c r="H97" i="4"/>
  <c r="H257" i="4"/>
  <c r="H258" i="4"/>
  <c r="H259" i="4"/>
  <c r="H234" i="4"/>
  <c r="H261" i="4"/>
  <c r="H975" i="4"/>
  <c r="H263" i="4"/>
  <c r="H508" i="4"/>
  <c r="H265" i="4"/>
  <c r="H247" i="4"/>
  <c r="H708" i="4"/>
  <c r="H268" i="4"/>
  <c r="H574" i="4"/>
  <c r="H990" i="4"/>
  <c r="H796" i="4"/>
  <c r="H784" i="4"/>
  <c r="H440" i="4"/>
  <c r="H294" i="4"/>
  <c r="H744" i="4"/>
  <c r="H329" i="4"/>
  <c r="H891" i="4"/>
  <c r="H983" i="4"/>
  <c r="H279" i="4"/>
  <c r="H883" i="4"/>
  <c r="H281" i="4"/>
  <c r="H282" i="4"/>
  <c r="H922" i="4"/>
  <c r="H801" i="4"/>
  <c r="H109" i="4"/>
  <c r="H8" i="4"/>
  <c r="H325" i="4"/>
  <c r="H527" i="4"/>
  <c r="H609" i="4"/>
  <c r="H295" i="4"/>
  <c r="H291" i="4"/>
  <c r="H514" i="4"/>
  <c r="H740" i="4"/>
  <c r="H929" i="4"/>
  <c r="H225" i="4"/>
  <c r="H483" i="4"/>
  <c r="H297" i="4"/>
  <c r="H298" i="4"/>
  <c r="H820" i="4"/>
  <c r="H575" i="4"/>
  <c r="H131" i="4"/>
  <c r="H249" i="4"/>
  <c r="H441" i="4"/>
  <c r="H498" i="4"/>
  <c r="H583" i="4"/>
  <c r="H306" i="4"/>
  <c r="H372" i="4"/>
  <c r="H308" i="4"/>
  <c r="H309" i="4"/>
  <c r="H617" i="4"/>
  <c r="H311" i="4"/>
  <c r="H961" i="4"/>
  <c r="H313" i="4"/>
  <c r="H314" i="4"/>
  <c r="H837" i="4"/>
  <c r="H316" i="4"/>
  <c r="H317" i="4"/>
  <c r="H318" i="4"/>
  <c r="H323" i="4"/>
  <c r="H320" i="4"/>
  <c r="H231" i="4"/>
  <c r="H568" i="4"/>
  <c r="H90" i="4"/>
  <c r="H324" i="4"/>
  <c r="H557" i="4"/>
  <c r="H628" i="4"/>
  <c r="H327" i="4"/>
  <c r="H126" i="4"/>
  <c r="H540" i="4"/>
  <c r="H944" i="4"/>
  <c r="H500" i="4"/>
  <c r="H332" i="4"/>
  <c r="H333" i="4"/>
  <c r="H334" i="4"/>
  <c r="H335" i="4"/>
  <c r="H158" i="4"/>
  <c r="H337" i="4"/>
  <c r="H165" i="4"/>
  <c r="H741" i="4"/>
  <c r="H868" i="4"/>
  <c r="H341" i="4"/>
  <c r="H703" i="4"/>
  <c r="H638" i="4"/>
  <c r="H286" i="4"/>
  <c r="H130" i="4"/>
  <c r="H391" i="4"/>
  <c r="H693" i="4"/>
  <c r="H290" i="4"/>
  <c r="H340" i="4"/>
  <c r="H350" i="4"/>
  <c r="H791" i="4"/>
  <c r="H631" i="4"/>
  <c r="H285" i="4"/>
  <c r="H246" i="4"/>
  <c r="H355" i="4"/>
  <c r="H184" i="4"/>
  <c r="H771" i="4"/>
  <c r="H358" i="4"/>
  <c r="H587" i="4"/>
  <c r="H360" i="4"/>
  <c r="H361" i="4"/>
  <c r="H601" i="4"/>
  <c r="H363" i="4"/>
  <c r="H927" i="4"/>
  <c r="H480" i="4"/>
  <c r="H366" i="4"/>
  <c r="H91" i="4"/>
  <c r="H267" i="4"/>
  <c r="H73" i="4"/>
  <c r="H370" i="4"/>
  <c r="H371" i="4"/>
  <c r="H399" i="4"/>
  <c r="H866" i="4"/>
  <c r="H181" i="4"/>
  <c r="H666" i="4"/>
  <c r="H452" i="4"/>
  <c r="H133" i="4"/>
  <c r="H30" i="4"/>
  <c r="H976" i="4"/>
  <c r="H380" i="4"/>
  <c r="H381" i="4"/>
  <c r="H271" i="4"/>
  <c r="H485" i="4"/>
  <c r="H999" i="4"/>
  <c r="H304" i="4"/>
  <c r="H39" i="4"/>
  <c r="H479" i="4"/>
  <c r="H464" i="4"/>
  <c r="H549" i="4"/>
  <c r="H187" i="4"/>
  <c r="H979" i="4"/>
  <c r="H392" i="4"/>
  <c r="H393" i="4"/>
  <c r="H781" i="4"/>
  <c r="H395" i="4"/>
  <c r="H396" i="4"/>
  <c r="H274" i="4"/>
  <c r="H449" i="4"/>
  <c r="H72" i="4"/>
  <c r="H179" i="4"/>
  <c r="H401" i="4"/>
  <c r="H635" i="4"/>
  <c r="H569" i="4"/>
  <c r="H404" i="4"/>
  <c r="H405" i="4"/>
  <c r="H653" i="4"/>
  <c r="H189" i="4"/>
  <c r="H773" i="4"/>
  <c r="H220" i="4"/>
  <c r="H598" i="4"/>
  <c r="H411" i="4"/>
  <c r="H414" i="4"/>
  <c r="H367" i="4"/>
  <c r="H804" i="4"/>
  <c r="H415" i="4"/>
  <c r="H38" i="4"/>
  <c r="H550" i="4"/>
  <c r="H732" i="4"/>
  <c r="H419" i="4"/>
  <c r="H40" i="4"/>
  <c r="H157" i="4"/>
  <c r="H422" i="4"/>
  <c r="H243" i="4"/>
  <c r="H424" i="4"/>
  <c r="H11" i="4"/>
  <c r="H212" i="4"/>
  <c r="H859" i="4"/>
  <c r="H588" i="4"/>
  <c r="H901" i="4"/>
  <c r="H430" i="4"/>
  <c r="H431" i="4"/>
  <c r="H432" i="4"/>
  <c r="H264" i="4"/>
  <c r="H442" i="4"/>
  <c r="H28" i="4"/>
  <c r="H152" i="4"/>
  <c r="H437" i="4"/>
  <c r="H284" i="4"/>
  <c r="H872" i="4"/>
  <c r="H992" i="4"/>
  <c r="H637" i="4"/>
  <c r="H161" i="4"/>
  <c r="H470" i="4"/>
  <c r="H748" i="4"/>
  <c r="H916" i="4"/>
  <c r="H446" i="4"/>
  <c r="H378" i="4"/>
  <c r="H448" i="4"/>
  <c r="H108" i="4"/>
  <c r="H100" i="4"/>
  <c r="H222" i="4"/>
  <c r="H715" i="4"/>
  <c r="H453" i="4"/>
  <c r="H454" i="4"/>
  <c r="H676" i="4"/>
  <c r="H456" i="4"/>
  <c r="H711" i="4"/>
  <c r="H713" i="4"/>
  <c r="H420" i="4"/>
  <c r="H460" i="4"/>
  <c r="H151" i="4"/>
  <c r="H699" i="4"/>
  <c r="H463" i="4"/>
  <c r="H615" i="4"/>
  <c r="H509" i="4"/>
  <c r="H501" i="4"/>
  <c r="H608" i="4"/>
  <c r="H270" i="4"/>
  <c r="H322" i="4"/>
  <c r="H770" i="4"/>
  <c r="H811" i="4"/>
  <c r="H472" i="4"/>
  <c r="H80" i="4"/>
  <c r="H474" i="4"/>
  <c r="H475" i="4"/>
  <c r="H753" i="4"/>
  <c r="H473" i="4"/>
  <c r="H518" i="4"/>
  <c r="H561" i="4"/>
  <c r="H250" i="4"/>
  <c r="H110" i="4"/>
  <c r="H974" i="4"/>
  <c r="H766" i="4"/>
  <c r="H81" i="4"/>
  <c r="H435" i="4"/>
  <c r="H303" i="4"/>
  <c r="H487" i="4"/>
  <c r="H488" i="4"/>
  <c r="H709" i="4"/>
  <c r="H490" i="4"/>
  <c r="H491" i="4"/>
  <c r="H138" i="4"/>
  <c r="H793" i="4"/>
  <c r="H494" i="4"/>
  <c r="H495" i="4"/>
  <c r="H457" i="4"/>
  <c r="H106" i="4"/>
  <c r="H493" i="4"/>
  <c r="H832" i="4"/>
  <c r="H235" i="4"/>
  <c r="H492" i="4"/>
  <c r="H706" i="4"/>
  <c r="H486" i="4"/>
  <c r="H767" i="4"/>
  <c r="H469" i="4"/>
  <c r="H782" i="4"/>
  <c r="H467" i="4"/>
  <c r="H199" i="4"/>
  <c r="H739" i="4"/>
  <c r="H539" i="4"/>
  <c r="H733" i="4"/>
  <c r="H512" i="4"/>
  <c r="H950" i="4"/>
  <c r="H888" i="4"/>
  <c r="H515" i="4"/>
  <c r="H164" i="4"/>
  <c r="H145" i="4"/>
  <c r="H226" i="4"/>
  <c r="H221" i="4"/>
  <c r="H980" i="4"/>
  <c r="H537" i="4"/>
  <c r="H174" i="4"/>
  <c r="H610" i="4"/>
  <c r="H524" i="4"/>
  <c r="H525" i="4"/>
  <c r="H618" i="4"/>
  <c r="H688" i="4"/>
  <c r="H966" i="4"/>
  <c r="H649" i="4"/>
  <c r="H530" i="4"/>
  <c r="H531" i="4"/>
  <c r="H532" i="4"/>
  <c r="H701" i="4"/>
  <c r="H523" i="4"/>
  <c r="H897" i="4"/>
  <c r="H536" i="4"/>
  <c r="H34" i="4"/>
  <c r="H538" i="4"/>
  <c r="H175" i="4"/>
  <c r="H754" i="4"/>
  <c r="H918" i="4"/>
  <c r="H142" i="4"/>
  <c r="H865" i="4"/>
  <c r="H544" i="4"/>
  <c r="H260" i="4"/>
  <c r="H546" i="4"/>
  <c r="H547" i="4"/>
  <c r="H681" i="4"/>
  <c r="H46" i="4"/>
  <c r="H418" i="4"/>
  <c r="H326" i="4"/>
  <c r="H429" i="4"/>
  <c r="H553" i="4"/>
  <c r="H10" i="4"/>
  <c r="H555" i="4"/>
  <c r="H425" i="4"/>
  <c r="H564" i="4"/>
  <c r="H970" i="4"/>
  <c r="H339" i="4"/>
  <c r="H822" i="4"/>
  <c r="H973" i="4"/>
  <c r="H592" i="4"/>
  <c r="H348" i="4"/>
  <c r="H139" i="4"/>
  <c r="H356" i="4"/>
  <c r="H566" i="4"/>
  <c r="H103" i="4"/>
  <c r="H639" i="4"/>
  <c r="H140" i="4"/>
  <c r="H570" i="4"/>
  <c r="H571" i="4"/>
  <c r="H511" i="4"/>
  <c r="H573" i="4"/>
  <c r="H406" i="4"/>
  <c r="H577" i="4"/>
  <c r="H576" i="4"/>
  <c r="H455" i="4"/>
  <c r="H936" i="4"/>
  <c r="H579" i="4"/>
  <c r="H292" i="4"/>
  <c r="H795" i="4"/>
  <c r="H622" i="4"/>
  <c r="H383" i="4"/>
  <c r="H775" i="4"/>
  <c r="H585" i="4"/>
  <c r="H586" i="4"/>
  <c r="H167" i="4"/>
  <c r="H658" i="4"/>
  <c r="H111" i="4"/>
  <c r="H590" i="4"/>
  <c r="H409" i="4"/>
  <c r="H57" i="4"/>
  <c r="H593" i="4"/>
  <c r="H236" i="4"/>
  <c r="H595" i="4"/>
  <c r="H596" i="4"/>
  <c r="H49" i="4"/>
  <c r="H6" i="4"/>
  <c r="H915" i="4"/>
  <c r="H600" i="4"/>
  <c r="H597" i="4"/>
  <c r="H602" i="4"/>
  <c r="H843" i="4"/>
  <c r="H98" i="4"/>
  <c r="H786" i="4"/>
  <c r="H818" i="4"/>
  <c r="H982" i="4"/>
  <c r="H112" i="4"/>
  <c r="H386" i="4"/>
  <c r="H698" i="4"/>
  <c r="H541" i="4"/>
  <c r="H529" i="4"/>
  <c r="H368" i="4"/>
  <c r="H240" i="4"/>
  <c r="H513" i="4"/>
  <c r="H426" i="4"/>
  <c r="H757" i="4"/>
  <c r="H345" i="4"/>
  <c r="H680" i="4"/>
  <c r="H227" i="4"/>
  <c r="H163" i="4"/>
  <c r="H70" i="4"/>
  <c r="H462" i="4"/>
  <c r="H42" i="4"/>
  <c r="H400" i="4"/>
  <c r="H657" i="4"/>
  <c r="H143" i="4"/>
  <c r="H169" i="4"/>
  <c r="H629" i="4"/>
  <c r="H630" i="4"/>
  <c r="H542" i="4"/>
  <c r="H29" i="4"/>
  <c r="H433" i="4"/>
  <c r="H928" i="4"/>
  <c r="H417" i="4"/>
  <c r="H939" i="4"/>
  <c r="H716" i="4"/>
  <c r="H768" i="4"/>
  <c r="H930" i="4"/>
  <c r="H58" i="4"/>
  <c r="H714" i="4"/>
  <c r="H809" i="4"/>
  <c r="H503" i="4"/>
  <c r="H410" i="4"/>
  <c r="H604" i="4"/>
  <c r="H502" i="4"/>
  <c r="H647" i="4"/>
  <c r="H648" i="4"/>
  <c r="H238" i="4"/>
  <c r="H650" i="4"/>
  <c r="H651" i="4"/>
  <c r="H780" i="4"/>
  <c r="H719" i="4"/>
  <c r="H482" i="4"/>
  <c r="H373" i="4"/>
  <c r="H904" i="4"/>
  <c r="H917" i="4"/>
  <c r="H219" i="4"/>
  <c r="H369" i="4"/>
  <c r="H239" i="4"/>
  <c r="H104" i="4"/>
  <c r="H662" i="4"/>
  <c r="H663" i="4"/>
  <c r="H56" i="4"/>
  <c r="H760" i="4"/>
  <c r="H330" i="4"/>
  <c r="H421" i="4"/>
  <c r="H478" i="4"/>
  <c r="H269" i="4"/>
  <c r="H543" i="4"/>
  <c r="H806" i="4"/>
  <c r="H645" i="4"/>
  <c r="H652" i="4"/>
  <c r="H673" i="4"/>
  <c r="H675" i="4"/>
  <c r="H206" i="4"/>
  <c r="H677" i="4"/>
  <c r="H678" i="4"/>
  <c r="H52" i="4"/>
  <c r="H312" i="4"/>
  <c r="H996" i="4"/>
  <c r="H682" i="4"/>
  <c r="H683" i="4"/>
  <c r="H684" i="4"/>
  <c r="H685" i="4"/>
  <c r="H686" i="4"/>
  <c r="H41" i="4"/>
  <c r="H535" i="4"/>
  <c r="H2" i="4"/>
  <c r="H690" i="4"/>
  <c r="H691" i="4"/>
  <c r="H194" i="4"/>
  <c r="H581" i="4"/>
  <c r="H854" i="4"/>
  <c r="H695" i="4"/>
  <c r="H696" i="4"/>
  <c r="H721" i="4"/>
  <c r="H253" i="4"/>
  <c r="H877" i="4"/>
  <c r="H824" i="4"/>
  <c r="H943" i="4"/>
  <c r="H808" i="4"/>
  <c r="H764" i="4"/>
  <c r="H704" i="4"/>
  <c r="H310" i="4"/>
  <c r="H522" i="4"/>
  <c r="H774" i="4"/>
  <c r="H860" i="4"/>
  <c r="H736" i="4"/>
  <c r="H428" i="4"/>
  <c r="H300" i="4"/>
  <c r="H712" i="4"/>
  <c r="H375" i="4"/>
  <c r="H642" i="4"/>
  <c r="H857" i="4"/>
  <c r="H83" i="4"/>
  <c r="H717" i="4"/>
  <c r="H718" i="4"/>
  <c r="H812" i="4"/>
  <c r="H819" i="4"/>
  <c r="H665" i="4"/>
  <c r="H63" i="4"/>
  <c r="H385" i="4"/>
  <c r="H792" i="4"/>
  <c r="H903" i="4"/>
  <c r="H505" i="4"/>
  <c r="H727" i="4"/>
  <c r="H823" i="4"/>
  <c r="H729" i="4"/>
  <c r="H730" i="4"/>
  <c r="H655" i="4"/>
  <c r="H242" i="4"/>
  <c r="H864" i="4"/>
  <c r="H734" i="4"/>
  <c r="H735" i="4"/>
  <c r="H248" i="4"/>
  <c r="H201" i="4"/>
  <c r="H738" i="4"/>
  <c r="H905" i="4"/>
  <c r="H722" i="4"/>
  <c r="H867" i="4"/>
  <c r="H627" i="4"/>
  <c r="H959" i="4"/>
  <c r="H878" i="4"/>
  <c r="H53" i="4"/>
  <c r="H679" i="4"/>
  <c r="H668" i="4"/>
  <c r="H191" i="4"/>
  <c r="H769" i="4"/>
  <c r="H910" i="4"/>
  <c r="H751" i="4"/>
  <c r="H752" i="4"/>
  <c r="H135" i="4"/>
  <c r="H606" i="4"/>
  <c r="H195" i="4"/>
  <c r="H620" i="4"/>
  <c r="H616" i="4"/>
  <c r="H517" i="4"/>
  <c r="H759" i="4"/>
  <c r="H886" i="4"/>
  <c r="H507" i="4"/>
  <c r="H660" i="4"/>
  <c r="H763" i="4"/>
  <c r="H278" i="4"/>
  <c r="H150" i="4"/>
  <c r="H737" i="4"/>
  <c r="H353" i="4"/>
  <c r="H659" i="4"/>
  <c r="H834" i="4"/>
  <c r="H5" i="4"/>
  <c r="H758" i="4"/>
  <c r="H726" i="4"/>
  <c r="H749" i="4"/>
  <c r="H99" i="4"/>
  <c r="H750" i="4"/>
  <c r="H776" i="4"/>
  <c r="H82" i="4"/>
  <c r="H778" i="4"/>
  <c r="H779" i="4"/>
  <c r="H412" i="4"/>
  <c r="H476" i="4"/>
  <c r="H387" i="4"/>
  <c r="H338" i="4"/>
  <c r="H611" i="4"/>
  <c r="H772" i="4"/>
  <c r="H344" i="4"/>
  <c r="H147" i="4"/>
  <c r="H788" i="4"/>
  <c r="H789" i="4"/>
  <c r="H200" i="4"/>
  <c r="H948" i="4"/>
  <c r="H36" i="4"/>
  <c r="H466" i="4"/>
  <c r="H858" i="4"/>
  <c r="H594" i="4"/>
  <c r="H153" i="4"/>
  <c r="H797" i="4"/>
  <c r="H798" i="4"/>
  <c r="H640" i="4"/>
  <c r="H800" i="4"/>
  <c r="H499" i="4"/>
  <c r="H731" i="4"/>
  <c r="H725" i="4"/>
  <c r="H644" i="4"/>
  <c r="H805" i="4"/>
  <c r="H671" i="4"/>
  <c r="H807" i="4"/>
  <c r="H533" i="4"/>
  <c r="H613" i="4"/>
  <c r="H584" i="4"/>
  <c r="H447" i="4"/>
  <c r="H364" i="4"/>
  <c r="H831" i="4"/>
  <c r="H814" i="4"/>
  <c r="H968" i="4"/>
  <c r="H816" i="4"/>
  <c r="H591" i="4"/>
  <c r="H213" i="4"/>
  <c r="H742" i="4"/>
  <c r="H31" i="4"/>
  <c r="H746" i="4"/>
  <c r="H967" i="4"/>
  <c r="H971" i="4"/>
  <c r="H519" i="4"/>
  <c r="H825" i="4"/>
  <c r="H826" i="4"/>
  <c r="H319" i="4"/>
  <c r="H828" i="4"/>
  <c r="H634" i="4"/>
  <c r="H830" i="4"/>
  <c r="H450" i="4"/>
  <c r="H969" i="4"/>
  <c r="H833" i="4"/>
  <c r="H229" i="4"/>
  <c r="H745" i="4"/>
  <c r="H836" i="4"/>
  <c r="H481" i="4"/>
  <c r="H803" i="4"/>
  <c r="H920" i="4"/>
  <c r="H840" i="4"/>
  <c r="H756" i="4"/>
  <c r="H842" i="4"/>
  <c r="H407" i="4"/>
  <c r="H504" i="4"/>
  <c r="H845" i="4"/>
  <c r="H75" i="4"/>
  <c r="H563" i="4"/>
  <c r="H205" i="4"/>
  <c r="H113" i="4"/>
  <c r="H850" i="4"/>
  <c r="H461" i="4"/>
  <c r="H434" i="4"/>
  <c r="H853" i="4"/>
  <c r="H15" i="4"/>
  <c r="H855" i="4"/>
  <c r="H625" i="4"/>
  <c r="H815" i="4"/>
  <c r="H136" i="4"/>
  <c r="H202" i="4"/>
  <c r="H331" i="4"/>
  <c r="H177" i="4"/>
  <c r="H862" i="4"/>
  <c r="H863" i="4"/>
  <c r="H159" i="4"/>
  <c r="H215" i="4"/>
  <c r="H907" i="4"/>
  <c r="H963" i="4"/>
  <c r="H646" i="4"/>
  <c r="H451" i="4"/>
  <c r="H870" i="4"/>
  <c r="H871" i="4"/>
  <c r="H528" i="4"/>
  <c r="H873" i="4"/>
  <c r="H895" i="4"/>
  <c r="H408" i="4"/>
  <c r="H876" i="4"/>
  <c r="H50" i="4"/>
  <c r="H603" i="4"/>
  <c r="H777" i="4"/>
  <c r="H998" i="4"/>
  <c r="H881" i="4"/>
  <c r="H882" i="4"/>
  <c r="H986" i="4"/>
  <c r="H884" i="4"/>
  <c r="H44" i="4"/>
  <c r="H984" i="4"/>
  <c r="H887" i="4"/>
  <c r="H305" i="4"/>
  <c r="H9" i="4"/>
  <c r="H389" i="4"/>
  <c r="H626" i="4"/>
  <c r="H892" i="4"/>
  <c r="H893" i="4"/>
  <c r="H321" i="4"/>
  <c r="H178" i="4"/>
  <c r="H896" i="4"/>
  <c r="H352" i="4"/>
  <c r="H188" i="4"/>
  <c r="H183" i="4"/>
  <c r="H171" i="4"/>
  <c r="H105" i="4"/>
  <c r="H965" i="4"/>
  <c r="H672" i="4"/>
  <c r="H661" i="4"/>
  <c r="H141" i="4"/>
  <c r="H489" i="4"/>
  <c r="H27" i="4"/>
  <c r="H909" i="4"/>
  <c r="H977" i="4"/>
  <c r="H710" i="4"/>
  <c r="H911" i="4"/>
  <c r="H912" i="4"/>
  <c r="H913" i="4"/>
  <c r="H24" i="4"/>
  <c r="H343" i="4"/>
  <c r="H388" i="4"/>
  <c r="H230" i="4"/>
  <c r="H844" i="4"/>
  <c r="H919" i="4"/>
  <c r="H790" i="4"/>
  <c r="H921" i="4"/>
  <c r="H890" i="4"/>
  <c r="H923" i="4"/>
  <c r="H924" i="4"/>
  <c r="H443" i="4"/>
  <c r="H810" i="4"/>
  <c r="H926" i="4"/>
  <c r="H510" i="4"/>
  <c r="H384" i="4"/>
  <c r="H506" i="4"/>
  <c r="H349" i="4"/>
  <c r="H612" i="4"/>
  <c r="H933" i="4"/>
  <c r="H934" i="4"/>
  <c r="H981" i="4"/>
  <c r="H374" i="4"/>
  <c r="H702" i="4"/>
  <c r="H670" i="4"/>
  <c r="H902" i="4"/>
  <c r="H851" i="4"/>
  <c r="H941" i="4"/>
  <c r="H272" i="4"/>
  <c r="H636" i="4"/>
  <c r="H520" i="4"/>
  <c r="H700" i="4"/>
  <c r="H946" i="4"/>
  <c r="H947" i="4"/>
  <c r="H692" i="4"/>
  <c r="H945" i="4"/>
  <c r="H444" i="4"/>
  <c r="H951" i="4"/>
  <c r="H827" i="4"/>
  <c r="H953" i="4"/>
  <c r="H835" i="4"/>
  <c r="H376" i="4"/>
  <c r="H956" i="4"/>
  <c r="H957" i="4"/>
  <c r="H301" i="4"/>
  <c r="H641" i="4"/>
  <c r="H245" i="4"/>
  <c r="H468" i="4"/>
  <c r="H962" i="4"/>
  <c r="H47" i="4"/>
  <c r="H964" i="4"/>
  <c r="H674" i="4"/>
  <c r="H560" i="4"/>
  <c r="H76" i="4"/>
  <c r="H336" i="4"/>
  <c r="H173" i="4"/>
  <c r="H619" i="4"/>
  <c r="H190" i="4"/>
  <c r="H972" i="4"/>
  <c r="H149" i="4"/>
  <c r="H667" i="4"/>
  <c r="H273" i="4"/>
  <c r="H551" i="4"/>
  <c r="H403" i="4"/>
  <c r="H477" i="4"/>
  <c r="H439" i="4"/>
  <c r="H847" i="4"/>
  <c r="H765" i="4"/>
  <c r="H875" i="4"/>
  <c r="H599" i="4"/>
  <c r="H351" i="4"/>
  <c r="H985" i="4"/>
  <c r="H821" i="4"/>
  <c r="H987" i="4"/>
  <c r="H988" i="4"/>
  <c r="H989" i="4"/>
  <c r="H413" i="4"/>
  <c r="H991" i="4"/>
  <c r="H562" i="4"/>
  <c r="H993" i="4"/>
  <c r="H898" i="4"/>
  <c r="H995" i="4"/>
  <c r="H86" i="4"/>
  <c r="H787" i="4"/>
  <c r="H942" i="4"/>
  <c r="H689" i="4"/>
  <c r="H1000" i="4"/>
  <c r="H1001" i="4"/>
  <c r="G906" i="4"/>
  <c r="G4" i="4"/>
  <c r="G552" i="4"/>
  <c r="G125" i="4"/>
  <c r="G7" i="4"/>
  <c r="G846" i="4"/>
  <c r="G534" i="4"/>
  <c r="G362" i="4"/>
  <c r="G931" i="4"/>
  <c r="G12" i="4"/>
  <c r="G940" i="4"/>
  <c r="G59" i="4"/>
  <c r="G398" i="4"/>
  <c r="G16" i="4"/>
  <c r="G17" i="4"/>
  <c r="G277" i="4"/>
  <c r="G19" i="4"/>
  <c r="G20" i="4"/>
  <c r="G869" i="4"/>
  <c r="G879" i="4"/>
  <c r="G23" i="4"/>
  <c r="G129" i="4"/>
  <c r="G25" i="4"/>
  <c r="G26" i="4"/>
  <c r="G937" i="4"/>
  <c r="G359" i="4"/>
  <c r="G211" i="4"/>
  <c r="G276" i="4"/>
  <c r="G707" i="4"/>
  <c r="G32" i="4"/>
  <c r="G33" i="4"/>
  <c r="G302" i="4"/>
  <c r="G35" i="4"/>
  <c r="G785" i="4"/>
  <c r="G37" i="4"/>
  <c r="G275" i="4"/>
  <c r="G852" i="4"/>
  <c r="G914" i="4"/>
  <c r="G925" i="4"/>
  <c r="G377" i="4"/>
  <c r="G43" i="4"/>
  <c r="G51" i="4"/>
  <c r="G168" i="4"/>
  <c r="G582" i="4"/>
  <c r="G997" i="4"/>
  <c r="G48" i="4"/>
  <c r="G580" i="4"/>
  <c r="G521" i="4"/>
  <c r="G289" i="4"/>
  <c r="G669" i="4"/>
  <c r="G459" i="4"/>
  <c r="G54" i="4"/>
  <c r="G55" i="4"/>
  <c r="G848" i="4"/>
  <c r="G548" i="4"/>
  <c r="G60" i="4"/>
  <c r="G994" i="4"/>
  <c r="G87" i="4"/>
  <c r="G61" i="4"/>
  <c r="G62" i="4"/>
  <c r="G607" i="4"/>
  <c r="G64" i="4"/>
  <c r="G65" i="4"/>
  <c r="G66" i="4"/>
  <c r="G67" i="4"/>
  <c r="G68" i="4"/>
  <c r="G69" i="4"/>
  <c r="G192" i="4"/>
  <c r="G114" i="4"/>
  <c r="G186" i="4"/>
  <c r="G705" i="4"/>
  <c r="G74" i="4"/>
  <c r="G728" i="4"/>
  <c r="G170" i="4"/>
  <c r="G438" i="4"/>
  <c r="G78" i="4"/>
  <c r="G357" i="4"/>
  <c r="G137" i="4"/>
  <c r="G3" i="4"/>
  <c r="G307" i="4"/>
  <c r="G899" i="4"/>
  <c r="G84" i="4"/>
  <c r="G85" i="4"/>
  <c r="G207" i="4"/>
  <c r="G900" i="4"/>
  <c r="G88" i="4"/>
  <c r="G89" i="4"/>
  <c r="G166" i="4"/>
  <c r="G288" i="4"/>
  <c r="G92" i="4"/>
  <c r="G77" i="4"/>
  <c r="G94" i="4"/>
  <c r="G761" i="4"/>
  <c r="G296" i="4"/>
  <c r="G783" i="4"/>
  <c r="G223" i="4"/>
  <c r="G643" i="4"/>
  <c r="G117" i="4"/>
  <c r="G101" i="4"/>
  <c r="G102" i="4"/>
  <c r="G632" i="4"/>
  <c r="G185" i="4"/>
  <c r="G496" i="4"/>
  <c r="G802" i="4"/>
  <c r="G107" i="4"/>
  <c r="G697" i="4"/>
  <c r="G71" i="4"/>
  <c r="G623" i="4"/>
  <c r="G471" i="4"/>
  <c r="G567" i="4"/>
  <c r="G95" i="4"/>
  <c r="G402" i="4"/>
  <c r="G115" i="4"/>
  <c r="G116" i="4"/>
  <c r="G724" i="4"/>
  <c r="G960" i="4"/>
  <c r="G119" i="4"/>
  <c r="G120" i="4"/>
  <c r="G949" i="4"/>
  <c r="G122" i="4"/>
  <c r="G123" i="4"/>
  <c r="G861" i="4"/>
  <c r="G283" i="4"/>
  <c r="G755" i="4"/>
  <c r="G762" i="4"/>
  <c r="G128" i="4"/>
  <c r="G465" i="4"/>
  <c r="G545" i="4"/>
  <c r="G799" i="4"/>
  <c r="G132" i="4"/>
  <c r="G664" i="4"/>
  <c r="G134" i="4"/>
  <c r="G93" i="4"/>
  <c r="G694" i="4"/>
  <c r="G13" i="4"/>
  <c r="G237" i="4"/>
  <c r="G416" i="4"/>
  <c r="G559" i="4"/>
  <c r="G144" i="4"/>
  <c r="G346" i="4"/>
  <c r="G605" i="4"/>
  <c r="G18" i="4"/>
  <c r="G256" i="4"/>
  <c r="G146" i="4"/>
  <c r="G565" i="4"/>
  <c r="G148" i="4"/>
  <c r="G262" i="4"/>
  <c r="G79" i="4"/>
  <c r="G484" i="4"/>
  <c r="G45" i="4"/>
  <c r="G516" i="4"/>
  <c r="G154" i="4"/>
  <c r="G155" i="4"/>
  <c r="G156" i="4"/>
  <c r="G280" i="4"/>
  <c r="G838" i="4"/>
  <c r="G22" i="4"/>
  <c r="G160" i="4"/>
  <c r="G180" i="4"/>
  <c r="G162" i="4"/>
  <c r="G315" i="4"/>
  <c r="G427" i="4"/>
  <c r="G254" i="4"/>
  <c r="G880" i="4"/>
  <c r="G526" i="4"/>
  <c r="G572" i="4"/>
  <c r="G347" i="4"/>
  <c r="G176" i="4"/>
  <c r="G96" i="4"/>
  <c r="G172" i="4"/>
  <c r="G342" i="4"/>
  <c r="G849" i="4"/>
  <c r="G266" i="4"/>
  <c r="G624" i="4"/>
  <c r="G889" i="4"/>
  <c r="G687" i="4"/>
  <c r="G747" i="4"/>
  <c r="G874" i="4"/>
  <c r="G817" i="4"/>
  <c r="G182" i="4"/>
  <c r="G829" i="4"/>
  <c r="G558" i="4"/>
  <c r="G720" i="4"/>
  <c r="G952" i="4"/>
  <c r="G21" i="4"/>
  <c r="G955" i="4"/>
  <c r="G497" i="4"/>
  <c r="G978" i="4"/>
  <c r="G423" i="4"/>
  <c r="G578" i="4"/>
  <c r="G193" i="4"/>
  <c r="G841" i="4"/>
  <c r="G938" i="4"/>
  <c r="G196" i="4"/>
  <c r="G197" i="4"/>
  <c r="G198" i="4"/>
  <c r="G839" i="4"/>
  <c r="G365" i="4"/>
  <c r="G458" i="4"/>
  <c r="G121" i="4"/>
  <c r="G299" i="4"/>
  <c r="G204" i="4"/>
  <c r="G397" i="4"/>
  <c r="G14" i="4"/>
  <c r="G554" i="4"/>
  <c r="G208" i="4"/>
  <c r="G209" i="4"/>
  <c r="G210" i="4"/>
  <c r="G654" i="4"/>
  <c r="G445" i="4"/>
  <c r="G218" i="4"/>
  <c r="G954" i="4"/>
  <c r="G217" i="4"/>
  <c r="G216" i="4"/>
  <c r="G394" i="4"/>
  <c r="G379" i="4"/>
  <c r="G124" i="4"/>
  <c r="G203" i="4"/>
  <c r="G885" i="4"/>
  <c r="G382" i="4"/>
  <c r="G723" i="4"/>
  <c r="G224" i="4"/>
  <c r="G589" i="4"/>
  <c r="G556" i="4"/>
  <c r="G656" i="4"/>
  <c r="G228" i="4"/>
  <c r="G958" i="4"/>
  <c r="G127" i="4"/>
  <c r="G293" i="4"/>
  <c r="G232" i="4"/>
  <c r="G233" i="4"/>
  <c r="G932" i="4"/>
  <c r="G621" i="4"/>
  <c r="G118" i="4"/>
  <c r="G908" i="4"/>
  <c r="G813" i="4"/>
  <c r="G214" i="4"/>
  <c r="G743" i="4"/>
  <c r="G241" i="4"/>
  <c r="G894" i="4"/>
  <c r="G633" i="4"/>
  <c r="G244" i="4"/>
  <c r="G794" i="4"/>
  <c r="G328" i="4"/>
  <c r="G856" i="4"/>
  <c r="G614" i="4"/>
  <c r="G935" i="4"/>
  <c r="G390" i="4"/>
  <c r="G251" i="4"/>
  <c r="G252" i="4"/>
  <c r="G287" i="4"/>
  <c r="G354" i="4"/>
  <c r="G255" i="4"/>
  <c r="G97" i="4"/>
  <c r="G257" i="4"/>
  <c r="G258" i="4"/>
  <c r="G259" i="4"/>
  <c r="G234" i="4"/>
  <c r="G261" i="4"/>
  <c r="G975" i="4"/>
  <c r="G263" i="4"/>
  <c r="G508" i="4"/>
  <c r="G265" i="4"/>
  <c r="G247" i="4"/>
  <c r="G708" i="4"/>
  <c r="G268" i="4"/>
  <c r="G574" i="4"/>
  <c r="G990" i="4"/>
  <c r="G796" i="4"/>
  <c r="G784" i="4"/>
  <c r="G440" i="4"/>
  <c r="G294" i="4"/>
  <c r="G744" i="4"/>
  <c r="G329" i="4"/>
  <c r="G891" i="4"/>
  <c r="G983" i="4"/>
  <c r="G279" i="4"/>
  <c r="G883" i="4"/>
  <c r="G281" i="4"/>
  <c r="G282" i="4"/>
  <c r="G922" i="4"/>
  <c r="G801" i="4"/>
  <c r="G109" i="4"/>
  <c r="G8" i="4"/>
  <c r="G325" i="4"/>
  <c r="G527" i="4"/>
  <c r="G609" i="4"/>
  <c r="G295" i="4"/>
  <c r="G291" i="4"/>
  <c r="G514" i="4"/>
  <c r="G740" i="4"/>
  <c r="G929" i="4"/>
  <c r="G225" i="4"/>
  <c r="G483" i="4"/>
  <c r="G297" i="4"/>
  <c r="G298" i="4"/>
  <c r="G820" i="4"/>
  <c r="G575" i="4"/>
  <c r="G131" i="4"/>
  <c r="G249" i="4"/>
  <c r="G441" i="4"/>
  <c r="G498" i="4"/>
  <c r="G583" i="4"/>
  <c r="G306" i="4"/>
  <c r="G372" i="4"/>
  <c r="G308" i="4"/>
  <c r="G309" i="4"/>
  <c r="G617" i="4"/>
  <c r="G311" i="4"/>
  <c r="G961" i="4"/>
  <c r="G313" i="4"/>
  <c r="G314" i="4"/>
  <c r="G837" i="4"/>
  <c r="G316" i="4"/>
  <c r="G317" i="4"/>
  <c r="G318" i="4"/>
  <c r="G323" i="4"/>
  <c r="G320" i="4"/>
  <c r="G231" i="4"/>
  <c r="G568" i="4"/>
  <c r="G90" i="4"/>
  <c r="G324" i="4"/>
  <c r="G557" i="4"/>
  <c r="G628" i="4"/>
  <c r="G327" i="4"/>
  <c r="G126" i="4"/>
  <c r="G540" i="4"/>
  <c r="G944" i="4"/>
  <c r="G500" i="4"/>
  <c r="G332" i="4"/>
  <c r="G333" i="4"/>
  <c r="G334" i="4"/>
  <c r="G335" i="4"/>
  <c r="G158" i="4"/>
  <c r="G337" i="4"/>
  <c r="G165" i="4"/>
  <c r="G741" i="4"/>
  <c r="G868" i="4"/>
  <c r="G341" i="4"/>
  <c r="G703" i="4"/>
  <c r="G638" i="4"/>
  <c r="G286" i="4"/>
  <c r="G130" i="4"/>
  <c r="G391" i="4"/>
  <c r="G693" i="4"/>
  <c r="G290" i="4"/>
  <c r="G340" i="4"/>
  <c r="G350" i="4"/>
  <c r="G791" i="4"/>
  <c r="G631" i="4"/>
  <c r="G285" i="4"/>
  <c r="G246" i="4"/>
  <c r="G355" i="4"/>
  <c r="G184" i="4"/>
  <c r="G771" i="4"/>
  <c r="G358" i="4"/>
  <c r="G587" i="4"/>
  <c r="G360" i="4"/>
  <c r="G361" i="4"/>
  <c r="G601" i="4"/>
  <c r="G363" i="4"/>
  <c r="G927" i="4"/>
  <c r="G480" i="4"/>
  <c r="G366" i="4"/>
  <c r="G91" i="4"/>
  <c r="G267" i="4"/>
  <c r="G73" i="4"/>
  <c r="G370" i="4"/>
  <c r="G371" i="4"/>
  <c r="G399" i="4"/>
  <c r="G866" i="4"/>
  <c r="G181" i="4"/>
  <c r="G666" i="4"/>
  <c r="G452" i="4"/>
  <c r="G133" i="4"/>
  <c r="G30" i="4"/>
  <c r="G976" i="4"/>
  <c r="G380" i="4"/>
  <c r="G381" i="4"/>
  <c r="G271" i="4"/>
  <c r="G485" i="4"/>
  <c r="G999" i="4"/>
  <c r="G304" i="4"/>
  <c r="G39" i="4"/>
  <c r="G479" i="4"/>
  <c r="G464" i="4"/>
  <c r="G549" i="4"/>
  <c r="G187" i="4"/>
  <c r="G979" i="4"/>
  <c r="G392" i="4"/>
  <c r="G393" i="4"/>
  <c r="G781" i="4"/>
  <c r="G395" i="4"/>
  <c r="G396" i="4"/>
  <c r="G274" i="4"/>
  <c r="G449" i="4"/>
  <c r="G72" i="4"/>
  <c r="G179" i="4"/>
  <c r="G401" i="4"/>
  <c r="G635" i="4"/>
  <c r="G569" i="4"/>
  <c r="G404" i="4"/>
  <c r="G405" i="4"/>
  <c r="G653" i="4"/>
  <c r="G189" i="4"/>
  <c r="G773" i="4"/>
  <c r="G220" i="4"/>
  <c r="G598" i="4"/>
  <c r="G411" i="4"/>
  <c r="G414" i="4"/>
  <c r="G367" i="4"/>
  <c r="G804" i="4"/>
  <c r="G415" i="4"/>
  <c r="G38" i="4"/>
  <c r="G550" i="4"/>
  <c r="G732" i="4"/>
  <c r="G419" i="4"/>
  <c r="G40" i="4"/>
  <c r="G157" i="4"/>
  <c r="G422" i="4"/>
  <c r="G243" i="4"/>
  <c r="G424" i="4"/>
  <c r="G11" i="4"/>
  <c r="G212" i="4"/>
  <c r="G859" i="4"/>
  <c r="G588" i="4"/>
  <c r="G901" i="4"/>
  <c r="G430" i="4"/>
  <c r="G431" i="4"/>
  <c r="G432" i="4"/>
  <c r="G264" i="4"/>
  <c r="G442" i="4"/>
  <c r="G28" i="4"/>
  <c r="G152" i="4"/>
  <c r="G437" i="4"/>
  <c r="G284" i="4"/>
  <c r="G872" i="4"/>
  <c r="G992" i="4"/>
  <c r="G637" i="4"/>
  <c r="G161" i="4"/>
  <c r="G470" i="4"/>
  <c r="G748" i="4"/>
  <c r="G916" i="4"/>
  <c r="G446" i="4"/>
  <c r="G378" i="4"/>
  <c r="G448" i="4"/>
  <c r="G108" i="4"/>
  <c r="G100" i="4"/>
  <c r="G222" i="4"/>
  <c r="G715" i="4"/>
  <c r="G453" i="4"/>
  <c r="G454" i="4"/>
  <c r="G676" i="4"/>
  <c r="G456" i="4"/>
  <c r="G711" i="4"/>
  <c r="G713" i="4"/>
  <c r="G420" i="4"/>
  <c r="G460" i="4"/>
  <c r="G151" i="4"/>
  <c r="G699" i="4"/>
  <c r="G463" i="4"/>
  <c r="G615" i="4"/>
  <c r="G509" i="4"/>
  <c r="G501" i="4"/>
  <c r="G608" i="4"/>
  <c r="G270" i="4"/>
  <c r="G322" i="4"/>
  <c r="G770" i="4"/>
  <c r="G811" i="4"/>
  <c r="G472" i="4"/>
  <c r="G80" i="4"/>
  <c r="G474" i="4"/>
  <c r="G475" i="4"/>
  <c r="G753" i="4"/>
  <c r="G473" i="4"/>
  <c r="G518" i="4"/>
  <c r="G561" i="4"/>
  <c r="G250" i="4"/>
  <c r="G110" i="4"/>
  <c r="G974" i="4"/>
  <c r="G766" i="4"/>
  <c r="G81" i="4"/>
  <c r="G435" i="4"/>
  <c r="G303" i="4"/>
  <c r="G487" i="4"/>
  <c r="G488" i="4"/>
  <c r="G709" i="4"/>
  <c r="G490" i="4"/>
  <c r="G491" i="4"/>
  <c r="G138" i="4"/>
  <c r="G793" i="4"/>
  <c r="G494" i="4"/>
  <c r="G495" i="4"/>
  <c r="G457" i="4"/>
  <c r="G106" i="4"/>
  <c r="G493" i="4"/>
  <c r="G832" i="4"/>
  <c r="G235" i="4"/>
  <c r="G492" i="4"/>
  <c r="G706" i="4"/>
  <c r="G486" i="4"/>
  <c r="G767" i="4"/>
  <c r="G469" i="4"/>
  <c r="G782" i="4"/>
  <c r="G467" i="4"/>
  <c r="G199" i="4"/>
  <c r="G739" i="4"/>
  <c r="G539" i="4"/>
  <c r="G733" i="4"/>
  <c r="G512" i="4"/>
  <c r="G950" i="4"/>
  <c r="G888" i="4"/>
  <c r="G515" i="4"/>
  <c r="G164" i="4"/>
  <c r="G145" i="4"/>
  <c r="G226" i="4"/>
  <c r="G221" i="4"/>
  <c r="G980" i="4"/>
  <c r="G537" i="4"/>
  <c r="G174" i="4"/>
  <c r="G610" i="4"/>
  <c r="G524" i="4"/>
  <c r="G525" i="4"/>
  <c r="G618" i="4"/>
  <c r="G688" i="4"/>
  <c r="G966" i="4"/>
  <c r="G649" i="4"/>
  <c r="G530" i="4"/>
  <c r="G531" i="4"/>
  <c r="G532" i="4"/>
  <c r="G701" i="4"/>
  <c r="G523" i="4"/>
  <c r="G897" i="4"/>
  <c r="G536" i="4"/>
  <c r="G34" i="4"/>
  <c r="G538" i="4"/>
  <c r="G175" i="4"/>
  <c r="G754" i="4"/>
  <c r="G918" i="4"/>
  <c r="G142" i="4"/>
  <c r="G865" i="4"/>
  <c r="G544" i="4"/>
  <c r="G260" i="4"/>
  <c r="G546" i="4"/>
  <c r="G547" i="4"/>
  <c r="G681" i="4"/>
  <c r="G46" i="4"/>
  <c r="G418" i="4"/>
  <c r="G326" i="4"/>
  <c r="G429" i="4"/>
  <c r="G553" i="4"/>
  <c r="G10" i="4"/>
  <c r="G555" i="4"/>
  <c r="G425" i="4"/>
  <c r="G564" i="4"/>
  <c r="G970" i="4"/>
  <c r="G339" i="4"/>
  <c r="G822" i="4"/>
  <c r="G973" i="4"/>
  <c r="G592" i="4"/>
  <c r="G348" i="4"/>
  <c r="G139" i="4"/>
  <c r="G356" i="4"/>
  <c r="G566" i="4"/>
  <c r="G103" i="4"/>
  <c r="G639" i="4"/>
  <c r="G140" i="4"/>
  <c r="G570" i="4"/>
  <c r="G571" i="4"/>
  <c r="G511" i="4"/>
  <c r="G573" i="4"/>
  <c r="G406" i="4"/>
  <c r="G577" i="4"/>
  <c r="G576" i="4"/>
  <c r="G455" i="4"/>
  <c r="G936" i="4"/>
  <c r="G579" i="4"/>
  <c r="G292" i="4"/>
  <c r="G795" i="4"/>
  <c r="G622" i="4"/>
  <c r="G383" i="4"/>
  <c r="G775" i="4"/>
  <c r="G585" i="4"/>
  <c r="G586" i="4"/>
  <c r="G167" i="4"/>
  <c r="G658" i="4"/>
  <c r="G111" i="4"/>
  <c r="G590" i="4"/>
  <c r="G409" i="4"/>
  <c r="G57" i="4"/>
  <c r="G593" i="4"/>
  <c r="G236" i="4"/>
  <c r="G595" i="4"/>
  <c r="G596" i="4"/>
  <c r="G49" i="4"/>
  <c r="G6" i="4"/>
  <c r="G915" i="4"/>
  <c r="G600" i="4"/>
  <c r="G597" i="4"/>
  <c r="G602" i="4"/>
  <c r="G843" i="4"/>
  <c r="G98" i="4"/>
  <c r="G786" i="4"/>
  <c r="G818" i="4"/>
  <c r="G982" i="4"/>
  <c r="G112" i="4"/>
  <c r="G386" i="4"/>
  <c r="G698" i="4"/>
  <c r="G541" i="4"/>
  <c r="G529" i="4"/>
  <c r="G368" i="4"/>
  <c r="G240" i="4"/>
  <c r="G513" i="4"/>
  <c r="G426" i="4"/>
  <c r="G757" i="4"/>
  <c r="G345" i="4"/>
  <c r="G680" i="4"/>
  <c r="G227" i="4"/>
  <c r="G163" i="4"/>
  <c r="G70" i="4"/>
  <c r="G462" i="4"/>
  <c r="G42" i="4"/>
  <c r="G400" i="4"/>
  <c r="G657" i="4"/>
  <c r="G143" i="4"/>
  <c r="G169" i="4"/>
  <c r="G629" i="4"/>
  <c r="G630" i="4"/>
  <c r="G542" i="4"/>
  <c r="G29" i="4"/>
  <c r="G433" i="4"/>
  <c r="G928" i="4"/>
  <c r="G417" i="4"/>
  <c r="G939" i="4"/>
  <c r="G716" i="4"/>
  <c r="G768" i="4"/>
  <c r="G930" i="4"/>
  <c r="G58" i="4"/>
  <c r="G714" i="4"/>
  <c r="G809" i="4"/>
  <c r="G503" i="4"/>
  <c r="G410" i="4"/>
  <c r="G604" i="4"/>
  <c r="G502" i="4"/>
  <c r="G647" i="4"/>
  <c r="G648" i="4"/>
  <c r="G238" i="4"/>
  <c r="G650" i="4"/>
  <c r="G651" i="4"/>
  <c r="G780" i="4"/>
  <c r="G719" i="4"/>
  <c r="G482" i="4"/>
  <c r="G373" i="4"/>
  <c r="G904" i="4"/>
  <c r="G917" i="4"/>
  <c r="G219" i="4"/>
  <c r="G369" i="4"/>
  <c r="G239" i="4"/>
  <c r="G104" i="4"/>
  <c r="G662" i="4"/>
  <c r="G663" i="4"/>
  <c r="G56" i="4"/>
  <c r="G760" i="4"/>
  <c r="G330" i="4"/>
  <c r="G421" i="4"/>
  <c r="G478" i="4"/>
  <c r="G269" i="4"/>
  <c r="G543" i="4"/>
  <c r="G806" i="4"/>
  <c r="G645" i="4"/>
  <c r="G652" i="4"/>
  <c r="G673" i="4"/>
  <c r="G675" i="4"/>
  <c r="G206" i="4"/>
  <c r="G677" i="4"/>
  <c r="G678" i="4"/>
  <c r="G52" i="4"/>
  <c r="G312" i="4"/>
  <c r="G996" i="4"/>
  <c r="G682" i="4"/>
  <c r="G683" i="4"/>
  <c r="G684" i="4"/>
  <c r="G685" i="4"/>
  <c r="G686" i="4"/>
  <c r="G41" i="4"/>
  <c r="G535" i="4"/>
  <c r="G2" i="4"/>
  <c r="G690" i="4"/>
  <c r="G691" i="4"/>
  <c r="G194" i="4"/>
  <c r="G581" i="4"/>
  <c r="G854" i="4"/>
  <c r="G695" i="4"/>
  <c r="G696" i="4"/>
  <c r="G721" i="4"/>
  <c r="G253" i="4"/>
  <c r="G877" i="4"/>
  <c r="G824" i="4"/>
  <c r="G943" i="4"/>
  <c r="G808" i="4"/>
  <c r="G764" i="4"/>
  <c r="G704" i="4"/>
  <c r="G310" i="4"/>
  <c r="G522" i="4"/>
  <c r="G774" i="4"/>
  <c r="G860" i="4"/>
  <c r="G736" i="4"/>
  <c r="G428" i="4"/>
  <c r="G300" i="4"/>
  <c r="G712" i="4"/>
  <c r="G375" i="4"/>
  <c r="G642" i="4"/>
  <c r="G857" i="4"/>
  <c r="G83" i="4"/>
  <c r="G717" i="4"/>
  <c r="G718" i="4"/>
  <c r="G812" i="4"/>
  <c r="G819" i="4"/>
  <c r="G665" i="4"/>
  <c r="G63" i="4"/>
  <c r="G385" i="4"/>
  <c r="G792" i="4"/>
  <c r="G903" i="4"/>
  <c r="G505" i="4"/>
  <c r="G727" i="4"/>
  <c r="G823" i="4"/>
  <c r="G729" i="4"/>
  <c r="G730" i="4"/>
  <c r="G655" i="4"/>
  <c r="G242" i="4"/>
  <c r="G864" i="4"/>
  <c r="G734" i="4"/>
  <c r="G735" i="4"/>
  <c r="G248" i="4"/>
  <c r="G201" i="4"/>
  <c r="G738" i="4"/>
  <c r="G905" i="4"/>
  <c r="G722" i="4"/>
  <c r="G867" i="4"/>
  <c r="G627" i="4"/>
  <c r="G959" i="4"/>
  <c r="G878" i="4"/>
  <c r="G53" i="4"/>
  <c r="G679" i="4"/>
  <c r="G668" i="4"/>
  <c r="G191" i="4"/>
  <c r="G769" i="4"/>
  <c r="G910" i="4"/>
  <c r="G751" i="4"/>
  <c r="G752" i="4"/>
  <c r="G135" i="4"/>
  <c r="G606" i="4"/>
  <c r="G195" i="4"/>
  <c r="G620" i="4"/>
  <c r="G616" i="4"/>
  <c r="G517" i="4"/>
  <c r="G759" i="4"/>
  <c r="G886" i="4"/>
  <c r="G507" i="4"/>
  <c r="G660" i="4"/>
  <c r="G763" i="4"/>
  <c r="G278" i="4"/>
  <c r="G150" i="4"/>
  <c r="G737" i="4"/>
  <c r="G353" i="4"/>
  <c r="G659" i="4"/>
  <c r="G834" i="4"/>
  <c r="G5" i="4"/>
  <c r="G758" i="4"/>
  <c r="G726" i="4"/>
  <c r="G749" i="4"/>
  <c r="G99" i="4"/>
  <c r="G750" i="4"/>
  <c r="G776" i="4"/>
  <c r="G82" i="4"/>
  <c r="G778" i="4"/>
  <c r="G779" i="4"/>
  <c r="G412" i="4"/>
  <c r="G476" i="4"/>
  <c r="G387" i="4"/>
  <c r="G338" i="4"/>
  <c r="G611" i="4"/>
  <c r="G772" i="4"/>
  <c r="G344" i="4"/>
  <c r="G147" i="4"/>
  <c r="G788" i="4"/>
  <c r="G789" i="4"/>
  <c r="G200" i="4"/>
  <c r="G948" i="4"/>
  <c r="G36" i="4"/>
  <c r="G466" i="4"/>
  <c r="G858" i="4"/>
  <c r="G594" i="4"/>
  <c r="G153" i="4"/>
  <c r="G797" i="4"/>
  <c r="G798" i="4"/>
  <c r="G640" i="4"/>
  <c r="G800" i="4"/>
  <c r="G499" i="4"/>
  <c r="G731" i="4"/>
  <c r="G725" i="4"/>
  <c r="G644" i="4"/>
  <c r="G805" i="4"/>
  <c r="G671" i="4"/>
  <c r="G807" i="4"/>
  <c r="G533" i="4"/>
  <c r="G613" i="4"/>
  <c r="G584" i="4"/>
  <c r="G447" i="4"/>
  <c r="G364" i="4"/>
  <c r="G831" i="4"/>
  <c r="G814" i="4"/>
  <c r="G968" i="4"/>
  <c r="G816" i="4"/>
  <c r="G591" i="4"/>
  <c r="G213" i="4"/>
  <c r="G742" i="4"/>
  <c r="G31" i="4"/>
  <c r="G746" i="4"/>
  <c r="G967" i="4"/>
  <c r="G971" i="4"/>
  <c r="G519" i="4"/>
  <c r="G825" i="4"/>
  <c r="G826" i="4"/>
  <c r="G319" i="4"/>
  <c r="G828" i="4"/>
  <c r="G634" i="4"/>
  <c r="G830" i="4"/>
  <c r="G450" i="4"/>
  <c r="G969" i="4"/>
  <c r="G833" i="4"/>
  <c r="G229" i="4"/>
  <c r="G745" i="4"/>
  <c r="G836" i="4"/>
  <c r="G481" i="4"/>
  <c r="G803" i="4"/>
  <c r="G920" i="4"/>
  <c r="G840" i="4"/>
  <c r="G756" i="4"/>
  <c r="G842" i="4"/>
  <c r="G407" i="4"/>
  <c r="G504" i="4"/>
  <c r="G845" i="4"/>
  <c r="G75" i="4"/>
  <c r="G563" i="4"/>
  <c r="G205" i="4"/>
  <c r="G113" i="4"/>
  <c r="G850" i="4"/>
  <c r="G461" i="4"/>
  <c r="G434" i="4"/>
  <c r="G853" i="4"/>
  <c r="G15" i="4"/>
  <c r="G855" i="4"/>
  <c r="G625" i="4"/>
  <c r="G815" i="4"/>
  <c r="G136" i="4"/>
  <c r="G202" i="4"/>
  <c r="G331" i="4"/>
  <c r="G177" i="4"/>
  <c r="G862" i="4"/>
  <c r="G863" i="4"/>
  <c r="G159" i="4"/>
  <c r="G215" i="4"/>
  <c r="G907" i="4"/>
  <c r="G963" i="4"/>
  <c r="G646" i="4"/>
  <c r="G451" i="4"/>
  <c r="G870" i="4"/>
  <c r="G871" i="4"/>
  <c r="G528" i="4"/>
  <c r="G873" i="4"/>
  <c r="G895" i="4"/>
  <c r="G408" i="4"/>
  <c r="G876" i="4"/>
  <c r="G50" i="4"/>
  <c r="G603" i="4"/>
  <c r="G777" i="4"/>
  <c r="G998" i="4"/>
  <c r="G881" i="4"/>
  <c r="G882" i="4"/>
  <c r="G986" i="4"/>
  <c r="G884" i="4"/>
  <c r="G44" i="4"/>
  <c r="G984" i="4"/>
  <c r="G887" i="4"/>
  <c r="G305" i="4"/>
  <c r="G9" i="4"/>
  <c r="G389" i="4"/>
  <c r="G626" i="4"/>
  <c r="G892" i="4"/>
  <c r="G893" i="4"/>
  <c r="G321" i="4"/>
  <c r="G178" i="4"/>
  <c r="G896" i="4"/>
  <c r="G352" i="4"/>
  <c r="G188" i="4"/>
  <c r="G183" i="4"/>
  <c r="G171" i="4"/>
  <c r="G105" i="4"/>
  <c r="G965" i="4"/>
  <c r="G672" i="4"/>
  <c r="G661" i="4"/>
  <c r="G141" i="4"/>
  <c r="G489" i="4"/>
  <c r="G27" i="4"/>
  <c r="G909" i="4"/>
  <c r="G977" i="4"/>
  <c r="G710" i="4"/>
  <c r="G911" i="4"/>
  <c r="G912" i="4"/>
  <c r="G913" i="4"/>
  <c r="G24" i="4"/>
  <c r="G343" i="4"/>
  <c r="G388" i="4"/>
  <c r="G230" i="4"/>
  <c r="G844" i="4"/>
  <c r="G919" i="4"/>
  <c r="G790" i="4"/>
  <c r="G921" i="4"/>
  <c r="G890" i="4"/>
  <c r="G923" i="4"/>
  <c r="G924" i="4"/>
  <c r="G443" i="4"/>
  <c r="G810" i="4"/>
  <c r="G926" i="4"/>
  <c r="G510" i="4"/>
  <c r="G384" i="4"/>
  <c r="G506" i="4"/>
  <c r="G349" i="4"/>
  <c r="G612" i="4"/>
  <c r="G933" i="4"/>
  <c r="G934" i="4"/>
  <c r="G981" i="4"/>
  <c r="G374" i="4"/>
  <c r="G702" i="4"/>
  <c r="G670" i="4"/>
  <c r="G902" i="4"/>
  <c r="G851" i="4"/>
  <c r="G941" i="4"/>
  <c r="G272" i="4"/>
  <c r="G636" i="4"/>
  <c r="G520" i="4"/>
  <c r="G700" i="4"/>
  <c r="G946" i="4"/>
  <c r="G947" i="4"/>
  <c r="G692" i="4"/>
  <c r="G945" i="4"/>
  <c r="G444" i="4"/>
  <c r="G951" i="4"/>
  <c r="G827" i="4"/>
  <c r="G953" i="4"/>
  <c r="G835" i="4"/>
  <c r="G376" i="4"/>
  <c r="G956" i="4"/>
  <c r="G957" i="4"/>
  <c r="G301" i="4"/>
  <c r="G641" i="4"/>
  <c r="G245" i="4"/>
  <c r="G468" i="4"/>
  <c r="G962" i="4"/>
  <c r="G47" i="4"/>
  <c r="G964" i="4"/>
  <c r="G674" i="4"/>
  <c r="G560" i="4"/>
  <c r="G76" i="4"/>
  <c r="G336" i="4"/>
  <c r="G173" i="4"/>
  <c r="G619" i="4"/>
  <c r="G190" i="4"/>
  <c r="G972" i="4"/>
  <c r="G149" i="4"/>
  <c r="G667" i="4"/>
  <c r="G273" i="4"/>
  <c r="G551" i="4"/>
  <c r="G403" i="4"/>
  <c r="G477" i="4"/>
  <c r="G439" i="4"/>
  <c r="G847" i="4"/>
  <c r="G765" i="4"/>
  <c r="G875" i="4"/>
  <c r="G599" i="4"/>
  <c r="G351" i="4"/>
  <c r="G985" i="4"/>
  <c r="G821" i="4"/>
  <c r="G987" i="4"/>
  <c r="G988" i="4"/>
  <c r="G989" i="4"/>
  <c r="G413" i="4"/>
  <c r="G991" i="4"/>
  <c r="G562" i="4"/>
  <c r="G898" i="4"/>
  <c r="G995" i="4"/>
  <c r="G86" i="4"/>
  <c r="G787" i="4"/>
  <c r="G942" i="4"/>
  <c r="G689" i="4"/>
  <c r="G1000" i="4"/>
  <c r="G1001" i="4"/>
  <c r="F906" i="4"/>
  <c r="F4" i="4"/>
  <c r="F552" i="4"/>
  <c r="F125" i="4"/>
  <c r="F7" i="4"/>
  <c r="F846" i="4"/>
  <c r="F534" i="4"/>
  <c r="F362" i="4"/>
  <c r="F931" i="4"/>
  <c r="F12" i="4"/>
  <c r="F940" i="4"/>
  <c r="F59" i="4"/>
  <c r="F398" i="4"/>
  <c r="F16" i="4"/>
  <c r="F17" i="4"/>
  <c r="F277" i="4"/>
  <c r="F19" i="4"/>
  <c r="F20" i="4"/>
  <c r="F869" i="4"/>
  <c r="F879" i="4"/>
  <c r="F23" i="4"/>
  <c r="F129" i="4"/>
  <c r="F25" i="4"/>
  <c r="F26" i="4"/>
  <c r="F937" i="4"/>
  <c r="F359" i="4"/>
  <c r="F211" i="4"/>
  <c r="F276" i="4"/>
  <c r="F707" i="4"/>
  <c r="F32" i="4"/>
  <c r="F33" i="4"/>
  <c r="F302" i="4"/>
  <c r="F35" i="4"/>
  <c r="F785" i="4"/>
  <c r="F37" i="4"/>
  <c r="F275" i="4"/>
  <c r="F852" i="4"/>
  <c r="F914" i="4"/>
  <c r="F925" i="4"/>
  <c r="F377" i="4"/>
  <c r="F43" i="4"/>
  <c r="F51" i="4"/>
  <c r="F168" i="4"/>
  <c r="F582" i="4"/>
  <c r="F997" i="4"/>
  <c r="F48" i="4"/>
  <c r="F580" i="4"/>
  <c r="F521" i="4"/>
  <c r="F289" i="4"/>
  <c r="F669" i="4"/>
  <c r="F459" i="4"/>
  <c r="F54" i="4"/>
  <c r="F55" i="4"/>
  <c r="F848" i="4"/>
  <c r="F548" i="4"/>
  <c r="F60" i="4"/>
  <c r="F994" i="4"/>
  <c r="F87" i="4"/>
  <c r="F61" i="4"/>
  <c r="F62" i="4"/>
  <c r="F607" i="4"/>
  <c r="F64" i="4"/>
  <c r="F65" i="4"/>
  <c r="F66" i="4"/>
  <c r="F67" i="4"/>
  <c r="F68" i="4"/>
  <c r="F69" i="4"/>
  <c r="F192" i="4"/>
  <c r="F114" i="4"/>
  <c r="F186" i="4"/>
  <c r="F705" i="4"/>
  <c r="F74" i="4"/>
  <c r="F728" i="4"/>
  <c r="F170" i="4"/>
  <c r="F438" i="4"/>
  <c r="F78" i="4"/>
  <c r="F357" i="4"/>
  <c r="F137" i="4"/>
  <c r="F3" i="4"/>
  <c r="F307" i="4"/>
  <c r="F899" i="4"/>
  <c r="F84" i="4"/>
  <c r="F85" i="4"/>
  <c r="F207" i="4"/>
  <c r="F900" i="4"/>
  <c r="F88" i="4"/>
  <c r="F89" i="4"/>
  <c r="F166" i="4"/>
  <c r="F288" i="4"/>
  <c r="F92" i="4"/>
  <c r="F77" i="4"/>
  <c r="F94" i="4"/>
  <c r="F761" i="4"/>
  <c r="F296" i="4"/>
  <c r="F783" i="4"/>
  <c r="F223" i="4"/>
  <c r="F643" i="4"/>
  <c r="F117" i="4"/>
  <c r="F101" i="4"/>
  <c r="F102" i="4"/>
  <c r="F632" i="4"/>
  <c r="F185" i="4"/>
  <c r="F496" i="4"/>
  <c r="F802" i="4"/>
  <c r="F107" i="4"/>
  <c r="F697" i="4"/>
  <c r="F71" i="4"/>
  <c r="F623" i="4"/>
  <c r="F471" i="4"/>
  <c r="F567" i="4"/>
  <c r="F95" i="4"/>
  <c r="F402" i="4"/>
  <c r="F115" i="4"/>
  <c r="F116" i="4"/>
  <c r="F724" i="4"/>
  <c r="F960" i="4"/>
  <c r="F119" i="4"/>
  <c r="F120" i="4"/>
  <c r="F949" i="4"/>
  <c r="F122" i="4"/>
  <c r="F123" i="4"/>
  <c r="F861" i="4"/>
  <c r="F283" i="4"/>
  <c r="F755" i="4"/>
  <c r="F762" i="4"/>
  <c r="F128" i="4"/>
  <c r="F465" i="4"/>
  <c r="F545" i="4"/>
  <c r="F799" i="4"/>
  <c r="F132" i="4"/>
  <c r="F664" i="4"/>
  <c r="F134" i="4"/>
  <c r="F93" i="4"/>
  <c r="F694" i="4"/>
  <c r="F13" i="4"/>
  <c r="F237" i="4"/>
  <c r="F416" i="4"/>
  <c r="F559" i="4"/>
  <c r="F144" i="4"/>
  <c r="F346" i="4"/>
  <c r="F605" i="4"/>
  <c r="F18" i="4"/>
  <c r="F256" i="4"/>
  <c r="F146" i="4"/>
  <c r="F565" i="4"/>
  <c r="F148" i="4"/>
  <c r="F262" i="4"/>
  <c r="F79" i="4"/>
  <c r="F484" i="4"/>
  <c r="F45" i="4"/>
  <c r="F516" i="4"/>
  <c r="F154" i="4"/>
  <c r="F155" i="4"/>
  <c r="F156" i="4"/>
  <c r="F280" i="4"/>
  <c r="F838" i="4"/>
  <c r="F22" i="4"/>
  <c r="F160" i="4"/>
  <c r="F180" i="4"/>
  <c r="F162" i="4"/>
  <c r="F315" i="4"/>
  <c r="F427" i="4"/>
  <c r="F254" i="4"/>
  <c r="F880" i="4"/>
  <c r="F526" i="4"/>
  <c r="F572" i="4"/>
  <c r="F347" i="4"/>
  <c r="F176" i="4"/>
  <c r="F96" i="4"/>
  <c r="F172" i="4"/>
  <c r="F342" i="4"/>
  <c r="F849" i="4"/>
  <c r="F266" i="4"/>
  <c r="F624" i="4"/>
  <c r="F889" i="4"/>
  <c r="F687" i="4"/>
  <c r="F747" i="4"/>
  <c r="F874" i="4"/>
  <c r="F817" i="4"/>
  <c r="F182" i="4"/>
  <c r="F829" i="4"/>
  <c r="F558" i="4"/>
  <c r="F720" i="4"/>
  <c r="F952" i="4"/>
  <c r="F21" i="4"/>
  <c r="F955" i="4"/>
  <c r="F497" i="4"/>
  <c r="F978" i="4"/>
  <c r="F423" i="4"/>
  <c r="F578" i="4"/>
  <c r="F193" i="4"/>
  <c r="F841" i="4"/>
  <c r="F938" i="4"/>
  <c r="F196" i="4"/>
  <c r="F197" i="4"/>
  <c r="F198" i="4"/>
  <c r="F839" i="4"/>
  <c r="F365" i="4"/>
  <c r="F458" i="4"/>
  <c r="F121" i="4"/>
  <c r="F299" i="4"/>
  <c r="F204" i="4"/>
  <c r="F397" i="4"/>
  <c r="F14" i="4"/>
  <c r="F554" i="4"/>
  <c r="F208" i="4"/>
  <c r="F209" i="4"/>
  <c r="F210" i="4"/>
  <c r="F654" i="4"/>
  <c r="F445" i="4"/>
  <c r="F218" i="4"/>
  <c r="F954" i="4"/>
  <c r="F217" i="4"/>
  <c r="F216" i="4"/>
  <c r="F394" i="4"/>
  <c r="F379" i="4"/>
  <c r="F124" i="4"/>
  <c r="F203" i="4"/>
  <c r="F885" i="4"/>
  <c r="F382" i="4"/>
  <c r="F723" i="4"/>
  <c r="F224" i="4"/>
  <c r="F589" i="4"/>
  <c r="F556" i="4"/>
  <c r="F656" i="4"/>
  <c r="F228" i="4"/>
  <c r="F958" i="4"/>
  <c r="F127" i="4"/>
  <c r="F293" i="4"/>
  <c r="F232" i="4"/>
  <c r="F233" i="4"/>
  <c r="F932" i="4"/>
  <c r="F621" i="4"/>
  <c r="F118" i="4"/>
  <c r="F908" i="4"/>
  <c r="F813" i="4"/>
  <c r="F214" i="4"/>
  <c r="F743" i="4"/>
  <c r="F241" i="4"/>
  <c r="F894" i="4"/>
  <c r="F633" i="4"/>
  <c r="F244" i="4"/>
  <c r="F794" i="4"/>
  <c r="F328" i="4"/>
  <c r="F856" i="4"/>
  <c r="F614" i="4"/>
  <c r="F935" i="4"/>
  <c r="F390" i="4"/>
  <c r="F251" i="4"/>
  <c r="F252" i="4"/>
  <c r="F287" i="4"/>
  <c r="F354" i="4"/>
  <c r="F255" i="4"/>
  <c r="F97" i="4"/>
  <c r="F257" i="4"/>
  <c r="F258" i="4"/>
  <c r="F259" i="4"/>
  <c r="F234" i="4"/>
  <c r="F261" i="4"/>
  <c r="F975" i="4"/>
  <c r="F263" i="4"/>
  <c r="F508" i="4"/>
  <c r="F265" i="4"/>
  <c r="F247" i="4"/>
  <c r="F708" i="4"/>
  <c r="F268" i="4"/>
  <c r="F574" i="4"/>
  <c r="F990" i="4"/>
  <c r="F796" i="4"/>
  <c r="F784" i="4"/>
  <c r="F440" i="4"/>
  <c r="F294" i="4"/>
  <c r="F744" i="4"/>
  <c r="F329" i="4"/>
  <c r="F891" i="4"/>
  <c r="F983" i="4"/>
  <c r="F279" i="4"/>
  <c r="F883" i="4"/>
  <c r="F281" i="4"/>
  <c r="F282" i="4"/>
  <c r="F922" i="4"/>
  <c r="F801" i="4"/>
  <c r="F109" i="4"/>
  <c r="F8" i="4"/>
  <c r="F325" i="4"/>
  <c r="F527" i="4"/>
  <c r="F609" i="4"/>
  <c r="F295" i="4"/>
  <c r="F291" i="4"/>
  <c r="F514" i="4"/>
  <c r="F740" i="4"/>
  <c r="F929" i="4"/>
  <c r="F225" i="4"/>
  <c r="F483" i="4"/>
  <c r="F297" i="4"/>
  <c r="F298" i="4"/>
  <c r="F820" i="4"/>
  <c r="F575" i="4"/>
  <c r="F131" i="4"/>
  <c r="F249" i="4"/>
  <c r="F441" i="4"/>
  <c r="F498" i="4"/>
  <c r="F583" i="4"/>
  <c r="F306" i="4"/>
  <c r="F372" i="4"/>
  <c r="F308" i="4"/>
  <c r="F309" i="4"/>
  <c r="F617" i="4"/>
  <c r="F311" i="4"/>
  <c r="F961" i="4"/>
  <c r="F313" i="4"/>
  <c r="F314" i="4"/>
  <c r="F837" i="4"/>
  <c r="F316" i="4"/>
  <c r="F317" i="4"/>
  <c r="F318" i="4"/>
  <c r="F323" i="4"/>
  <c r="F320" i="4"/>
  <c r="F231" i="4"/>
  <c r="F568" i="4"/>
  <c r="F90" i="4"/>
  <c r="F324" i="4"/>
  <c r="F557" i="4"/>
  <c r="F628" i="4"/>
  <c r="F327" i="4"/>
  <c r="F126" i="4"/>
  <c r="F540" i="4"/>
  <c r="F944" i="4"/>
  <c r="F500" i="4"/>
  <c r="F332" i="4"/>
  <c r="F333" i="4"/>
  <c r="F334" i="4"/>
  <c r="F335" i="4"/>
  <c r="F158" i="4"/>
  <c r="F337" i="4"/>
  <c r="F165" i="4"/>
  <c r="F741" i="4"/>
  <c r="F868" i="4"/>
  <c r="F341" i="4"/>
  <c r="F703" i="4"/>
  <c r="F638" i="4"/>
  <c r="F286" i="4"/>
  <c r="F130" i="4"/>
  <c r="F391" i="4"/>
  <c r="F693" i="4"/>
  <c r="F290" i="4"/>
  <c r="F340" i="4"/>
  <c r="F350" i="4"/>
  <c r="F791" i="4"/>
  <c r="F631" i="4"/>
  <c r="F285" i="4"/>
  <c r="F246" i="4"/>
  <c r="F355" i="4"/>
  <c r="F184" i="4"/>
  <c r="F771" i="4"/>
  <c r="F358" i="4"/>
  <c r="F587" i="4"/>
  <c r="F360" i="4"/>
  <c r="F361" i="4"/>
  <c r="F601" i="4"/>
  <c r="F363" i="4"/>
  <c r="F927" i="4"/>
  <c r="F480" i="4"/>
  <c r="F366" i="4"/>
  <c r="F91" i="4"/>
  <c r="F267" i="4"/>
  <c r="F73" i="4"/>
  <c r="F370" i="4"/>
  <c r="F371" i="4"/>
  <c r="F399" i="4"/>
  <c r="F866" i="4"/>
  <c r="F181" i="4"/>
  <c r="F666" i="4"/>
  <c r="F452" i="4"/>
  <c r="F133" i="4"/>
  <c r="F30" i="4"/>
  <c r="F976" i="4"/>
  <c r="F380" i="4"/>
  <c r="F381" i="4"/>
  <c r="F271" i="4"/>
  <c r="F485" i="4"/>
  <c r="F999" i="4"/>
  <c r="F304" i="4"/>
  <c r="F39" i="4"/>
  <c r="F479" i="4"/>
  <c r="F464" i="4"/>
  <c r="F549" i="4"/>
  <c r="F187" i="4"/>
  <c r="F979" i="4"/>
  <c r="F392" i="4"/>
  <c r="F393" i="4"/>
  <c r="F781" i="4"/>
  <c r="F395" i="4"/>
  <c r="F396" i="4"/>
  <c r="F274" i="4"/>
  <c r="F449" i="4"/>
  <c r="F72" i="4"/>
  <c r="F179" i="4"/>
  <c r="F401" i="4"/>
  <c r="F635" i="4"/>
  <c r="F569" i="4"/>
  <c r="F404" i="4"/>
  <c r="F405" i="4"/>
  <c r="F653" i="4"/>
  <c r="F189" i="4"/>
  <c r="F773" i="4"/>
  <c r="F220" i="4"/>
  <c r="F598" i="4"/>
  <c r="F411" i="4"/>
  <c r="F414" i="4"/>
  <c r="F367" i="4"/>
  <c r="F804" i="4"/>
  <c r="F415" i="4"/>
  <c r="F38" i="4"/>
  <c r="F550" i="4"/>
  <c r="F732" i="4"/>
  <c r="F419" i="4"/>
  <c r="F40" i="4"/>
  <c r="F157" i="4"/>
  <c r="F422" i="4"/>
  <c r="F243" i="4"/>
  <c r="F424" i="4"/>
  <c r="F11" i="4"/>
  <c r="F212" i="4"/>
  <c r="F859" i="4"/>
  <c r="F588" i="4"/>
  <c r="F901" i="4"/>
  <c r="F430" i="4"/>
  <c r="F431" i="4"/>
  <c r="F432" i="4"/>
  <c r="F264" i="4"/>
  <c r="F442" i="4"/>
  <c r="F28" i="4"/>
  <c r="F152" i="4"/>
  <c r="F437" i="4"/>
  <c r="F284" i="4"/>
  <c r="F872" i="4"/>
  <c r="F992" i="4"/>
  <c r="F637" i="4"/>
  <c r="F161" i="4"/>
  <c r="F470" i="4"/>
  <c r="F748" i="4"/>
  <c r="F916" i="4"/>
  <c r="F446" i="4"/>
  <c r="F378" i="4"/>
  <c r="F448" i="4"/>
  <c r="F108" i="4"/>
  <c r="F100" i="4"/>
  <c r="F222" i="4"/>
  <c r="F715" i="4"/>
  <c r="F453" i="4"/>
  <c r="F454" i="4"/>
  <c r="F676" i="4"/>
  <c r="F456" i="4"/>
  <c r="F711" i="4"/>
  <c r="F713" i="4"/>
  <c r="F420" i="4"/>
  <c r="F460" i="4"/>
  <c r="F151" i="4"/>
  <c r="F699" i="4"/>
  <c r="F463" i="4"/>
  <c r="F615" i="4"/>
  <c r="F509" i="4"/>
  <c r="F501" i="4"/>
  <c r="F608" i="4"/>
  <c r="F270" i="4"/>
  <c r="F322" i="4"/>
  <c r="F770" i="4"/>
  <c r="F811" i="4"/>
  <c r="F472" i="4"/>
  <c r="F80" i="4"/>
  <c r="F474" i="4"/>
  <c r="F475" i="4"/>
  <c r="F753" i="4"/>
  <c r="F473" i="4"/>
  <c r="F518" i="4"/>
  <c r="F561" i="4"/>
  <c r="F250" i="4"/>
  <c r="F110" i="4"/>
  <c r="F974" i="4"/>
  <c r="F766" i="4"/>
  <c r="F81" i="4"/>
  <c r="F435" i="4"/>
  <c r="F303" i="4"/>
  <c r="F487" i="4"/>
  <c r="F488" i="4"/>
  <c r="F709" i="4"/>
  <c r="F490" i="4"/>
  <c r="F491" i="4"/>
  <c r="F138" i="4"/>
  <c r="F793" i="4"/>
  <c r="F494" i="4"/>
  <c r="F495" i="4"/>
  <c r="F457" i="4"/>
  <c r="F106" i="4"/>
  <c r="F493" i="4"/>
  <c r="F832" i="4"/>
  <c r="F235" i="4"/>
  <c r="F492" i="4"/>
  <c r="F706" i="4"/>
  <c r="F486" i="4"/>
  <c r="F767" i="4"/>
  <c r="F469" i="4"/>
  <c r="F782" i="4"/>
  <c r="F467" i="4"/>
  <c r="F199" i="4"/>
  <c r="F739" i="4"/>
  <c r="F539" i="4"/>
  <c r="F733" i="4"/>
  <c r="F512" i="4"/>
  <c r="F950" i="4"/>
  <c r="F888" i="4"/>
  <c r="F515" i="4"/>
  <c r="F164" i="4"/>
  <c r="F145" i="4"/>
  <c r="F226" i="4"/>
  <c r="F221" i="4"/>
  <c r="F980" i="4"/>
  <c r="F537" i="4"/>
  <c r="F174" i="4"/>
  <c r="F610" i="4"/>
  <c r="F524" i="4"/>
  <c r="F525" i="4"/>
  <c r="F618" i="4"/>
  <c r="F688" i="4"/>
  <c r="F966" i="4"/>
  <c r="F649" i="4"/>
  <c r="F530" i="4"/>
  <c r="F531" i="4"/>
  <c r="F532" i="4"/>
  <c r="F701" i="4"/>
  <c r="F523" i="4"/>
  <c r="F897" i="4"/>
  <c r="F536" i="4"/>
  <c r="F34" i="4"/>
  <c r="F538" i="4"/>
  <c r="F175" i="4"/>
  <c r="F754" i="4"/>
  <c r="F918" i="4"/>
  <c r="F142" i="4"/>
  <c r="F865" i="4"/>
  <c r="F544" i="4"/>
  <c r="F260" i="4"/>
  <c r="F546" i="4"/>
  <c r="F547" i="4"/>
  <c r="F681" i="4"/>
  <c r="F46" i="4"/>
  <c r="F418" i="4"/>
  <c r="F326" i="4"/>
  <c r="F429" i="4"/>
  <c r="F553" i="4"/>
  <c r="F10" i="4"/>
  <c r="F555" i="4"/>
  <c r="F425" i="4"/>
  <c r="F564" i="4"/>
  <c r="F970" i="4"/>
  <c r="F339" i="4"/>
  <c r="F822" i="4"/>
  <c r="F973" i="4"/>
  <c r="F592" i="4"/>
  <c r="F348" i="4"/>
  <c r="F139" i="4"/>
  <c r="F356" i="4"/>
  <c r="F566" i="4"/>
  <c r="F103" i="4"/>
  <c r="F639" i="4"/>
  <c r="F140" i="4"/>
  <c r="F570" i="4"/>
  <c r="F571" i="4"/>
  <c r="F511" i="4"/>
  <c r="F573" i="4"/>
  <c r="F406" i="4"/>
  <c r="F577" i="4"/>
  <c r="F576" i="4"/>
  <c r="F455" i="4"/>
  <c r="F936" i="4"/>
  <c r="F579" i="4"/>
  <c r="F292" i="4"/>
  <c r="F795" i="4"/>
  <c r="F622" i="4"/>
  <c r="F383" i="4"/>
  <c r="F775" i="4"/>
  <c r="F585" i="4"/>
  <c r="F586" i="4"/>
  <c r="F167" i="4"/>
  <c r="F658" i="4"/>
  <c r="F111" i="4"/>
  <c r="F590" i="4"/>
  <c r="F409" i="4"/>
  <c r="F57" i="4"/>
  <c r="F593" i="4"/>
  <c r="F236" i="4"/>
  <c r="F595" i="4"/>
  <c r="F596" i="4"/>
  <c r="F49" i="4"/>
  <c r="F6" i="4"/>
  <c r="F915" i="4"/>
  <c r="F600" i="4"/>
  <c r="F597" i="4"/>
  <c r="F602" i="4"/>
  <c r="F843" i="4"/>
  <c r="F98" i="4"/>
  <c r="F786" i="4"/>
  <c r="F818" i="4"/>
  <c r="F982" i="4"/>
  <c r="F112" i="4"/>
  <c r="F386" i="4"/>
  <c r="F698" i="4"/>
  <c r="F541" i="4"/>
  <c r="F529" i="4"/>
  <c r="F368" i="4"/>
  <c r="F240" i="4"/>
  <c r="F513" i="4"/>
  <c r="F426" i="4"/>
  <c r="F757" i="4"/>
  <c r="F345" i="4"/>
  <c r="F680" i="4"/>
  <c r="F227" i="4"/>
  <c r="F163" i="4"/>
  <c r="F70" i="4"/>
  <c r="F462" i="4"/>
  <c r="F42" i="4"/>
  <c r="F400" i="4"/>
  <c r="F657" i="4"/>
  <c r="F143" i="4"/>
  <c r="F169" i="4"/>
  <c r="F629" i="4"/>
  <c r="F630" i="4"/>
  <c r="F542" i="4"/>
  <c r="F29" i="4"/>
  <c r="F433" i="4"/>
  <c r="F928" i="4"/>
  <c r="F417" i="4"/>
  <c r="F939" i="4"/>
  <c r="F716" i="4"/>
  <c r="F768" i="4"/>
  <c r="F930" i="4"/>
  <c r="F58" i="4"/>
  <c r="F714" i="4"/>
  <c r="F809" i="4"/>
  <c r="F503" i="4"/>
  <c r="F410" i="4"/>
  <c r="F604" i="4"/>
  <c r="F502" i="4"/>
  <c r="F647" i="4"/>
  <c r="F648" i="4"/>
  <c r="F238" i="4"/>
  <c r="F650" i="4"/>
  <c r="F651" i="4"/>
  <c r="F780" i="4"/>
  <c r="F719" i="4"/>
  <c r="F482" i="4"/>
  <c r="F373" i="4"/>
  <c r="F904" i="4"/>
  <c r="F917" i="4"/>
  <c r="F219" i="4"/>
  <c r="F369" i="4"/>
  <c r="F239" i="4"/>
  <c r="F104" i="4"/>
  <c r="F662" i="4"/>
  <c r="F663" i="4"/>
  <c r="F56" i="4"/>
  <c r="F760" i="4"/>
  <c r="F330" i="4"/>
  <c r="F421" i="4"/>
  <c r="F478" i="4"/>
  <c r="F269" i="4"/>
  <c r="F543" i="4"/>
  <c r="F806" i="4"/>
  <c r="F645" i="4"/>
  <c r="F652" i="4"/>
  <c r="F673" i="4"/>
  <c r="F675" i="4"/>
  <c r="F206" i="4"/>
  <c r="F677" i="4"/>
  <c r="F678" i="4"/>
  <c r="F52" i="4"/>
  <c r="F312" i="4"/>
  <c r="F996" i="4"/>
  <c r="F682" i="4"/>
  <c r="F683" i="4"/>
  <c r="F684" i="4"/>
  <c r="F685" i="4"/>
  <c r="F686" i="4"/>
  <c r="F41" i="4"/>
  <c r="F535" i="4"/>
  <c r="F2" i="4"/>
  <c r="F690" i="4"/>
  <c r="F691" i="4"/>
  <c r="F194" i="4"/>
  <c r="F581" i="4"/>
  <c r="F854" i="4"/>
  <c r="F695" i="4"/>
  <c r="F696" i="4"/>
  <c r="F721" i="4"/>
  <c r="F253" i="4"/>
  <c r="F877" i="4"/>
  <c r="F824" i="4"/>
  <c r="F943" i="4"/>
  <c r="F808" i="4"/>
  <c r="F764" i="4"/>
  <c r="F704" i="4"/>
  <c r="F310" i="4"/>
  <c r="F522" i="4"/>
  <c r="F774" i="4"/>
  <c r="F860" i="4"/>
  <c r="F736" i="4"/>
  <c r="F428" i="4"/>
  <c r="F300" i="4"/>
  <c r="F712" i="4"/>
  <c r="F375" i="4"/>
  <c r="F642" i="4"/>
  <c r="F857" i="4"/>
  <c r="F83" i="4"/>
  <c r="F717" i="4"/>
  <c r="F718" i="4"/>
  <c r="F812" i="4"/>
  <c r="F819" i="4"/>
  <c r="F665" i="4"/>
  <c r="F63" i="4"/>
  <c r="F385" i="4"/>
  <c r="F792" i="4"/>
  <c r="F903" i="4"/>
  <c r="F505" i="4"/>
  <c r="F727" i="4"/>
  <c r="F823" i="4"/>
  <c r="F729" i="4"/>
  <c r="F730" i="4"/>
  <c r="F655" i="4"/>
  <c r="F242" i="4"/>
  <c r="F864" i="4"/>
  <c r="F734" i="4"/>
  <c r="F735" i="4"/>
  <c r="F248" i="4"/>
  <c r="F201" i="4"/>
  <c r="F738" i="4"/>
  <c r="F905" i="4"/>
  <c r="F722" i="4"/>
  <c r="F867" i="4"/>
  <c r="F627" i="4"/>
  <c r="F959" i="4"/>
  <c r="F878" i="4"/>
  <c r="F53" i="4"/>
  <c r="F679" i="4"/>
  <c r="F668" i="4"/>
  <c r="F191" i="4"/>
  <c r="F769" i="4"/>
  <c r="F910" i="4"/>
  <c r="F751" i="4"/>
  <c r="F752" i="4"/>
  <c r="F135" i="4"/>
  <c r="F606" i="4"/>
  <c r="F195" i="4"/>
  <c r="F620" i="4"/>
  <c r="F616" i="4"/>
  <c r="F517" i="4"/>
  <c r="F759" i="4"/>
  <c r="F886" i="4"/>
  <c r="F507" i="4"/>
  <c r="F660" i="4"/>
  <c r="F763" i="4"/>
  <c r="F278" i="4"/>
  <c r="F150" i="4"/>
  <c r="F737" i="4"/>
  <c r="F353" i="4"/>
  <c r="F659" i="4"/>
  <c r="F834" i="4"/>
  <c r="F5" i="4"/>
  <c r="F758" i="4"/>
  <c r="F726" i="4"/>
  <c r="F749" i="4"/>
  <c r="F99" i="4"/>
  <c r="F750" i="4"/>
  <c r="F776" i="4"/>
  <c r="F82" i="4"/>
  <c r="F778" i="4"/>
  <c r="F779" i="4"/>
  <c r="F412" i="4"/>
  <c r="F476" i="4"/>
  <c r="F387" i="4"/>
  <c r="F338" i="4"/>
  <c r="F611" i="4"/>
  <c r="F772" i="4"/>
  <c r="F344" i="4"/>
  <c r="F147" i="4"/>
  <c r="F788" i="4"/>
  <c r="F789" i="4"/>
  <c r="F200" i="4"/>
  <c r="F948" i="4"/>
  <c r="F36" i="4"/>
  <c r="F466" i="4"/>
  <c r="F858" i="4"/>
  <c r="F594" i="4"/>
  <c r="F153" i="4"/>
  <c r="F797" i="4"/>
  <c r="F798" i="4"/>
  <c r="F640" i="4"/>
  <c r="F800" i="4"/>
  <c r="F499" i="4"/>
  <c r="F731" i="4"/>
  <c r="F725" i="4"/>
  <c r="F644" i="4"/>
  <c r="F805" i="4"/>
  <c r="F671" i="4"/>
  <c r="F807" i="4"/>
  <c r="F533" i="4"/>
  <c r="F613" i="4"/>
  <c r="F584" i="4"/>
  <c r="F447" i="4"/>
  <c r="F364" i="4"/>
  <c r="F831" i="4"/>
  <c r="F814" i="4"/>
  <c r="F968" i="4"/>
  <c r="F816" i="4"/>
  <c r="F591" i="4"/>
  <c r="F213" i="4"/>
  <c r="F742" i="4"/>
  <c r="F31" i="4"/>
  <c r="F746" i="4"/>
  <c r="F967" i="4"/>
  <c r="F971" i="4"/>
  <c r="F519" i="4"/>
  <c r="F825" i="4"/>
  <c r="F826" i="4"/>
  <c r="F319" i="4"/>
  <c r="F828" i="4"/>
  <c r="F634" i="4"/>
  <c r="F830" i="4"/>
  <c r="F450" i="4"/>
  <c r="F969" i="4"/>
  <c r="F833" i="4"/>
  <c r="F229" i="4"/>
  <c r="F745" i="4"/>
  <c r="F836" i="4"/>
  <c r="F481" i="4"/>
  <c r="F803" i="4"/>
  <c r="F920" i="4"/>
  <c r="F840" i="4"/>
  <c r="F756" i="4"/>
  <c r="F842" i="4"/>
  <c r="F407" i="4"/>
  <c r="F504" i="4"/>
  <c r="F845" i="4"/>
  <c r="F75" i="4"/>
  <c r="F563" i="4"/>
  <c r="F205" i="4"/>
  <c r="F113" i="4"/>
  <c r="F850" i="4"/>
  <c r="F461" i="4"/>
  <c r="F434" i="4"/>
  <c r="F853" i="4"/>
  <c r="F15" i="4"/>
  <c r="F855" i="4"/>
  <c r="F625" i="4"/>
  <c r="F815" i="4"/>
  <c r="F136" i="4"/>
  <c r="F202" i="4"/>
  <c r="F331" i="4"/>
  <c r="F177" i="4"/>
  <c r="F862" i="4"/>
  <c r="F863" i="4"/>
  <c r="F159" i="4"/>
  <c r="F215" i="4"/>
  <c r="F907" i="4"/>
  <c r="F963" i="4"/>
  <c r="F646" i="4"/>
  <c r="F451" i="4"/>
  <c r="F870" i="4"/>
  <c r="F871" i="4"/>
  <c r="F528" i="4"/>
  <c r="F873" i="4"/>
  <c r="F895" i="4"/>
  <c r="F408" i="4"/>
  <c r="F876" i="4"/>
  <c r="F50" i="4"/>
  <c r="F603" i="4"/>
  <c r="F777" i="4"/>
  <c r="F998" i="4"/>
  <c r="F881" i="4"/>
  <c r="F882" i="4"/>
  <c r="F986" i="4"/>
  <c r="F884" i="4"/>
  <c r="F44" i="4"/>
  <c r="F984" i="4"/>
  <c r="F887" i="4"/>
  <c r="F305" i="4"/>
  <c r="F9" i="4"/>
  <c r="F389" i="4"/>
  <c r="F626" i="4"/>
  <c r="F892" i="4"/>
  <c r="F893" i="4"/>
  <c r="F321" i="4"/>
  <c r="F178" i="4"/>
  <c r="F896" i="4"/>
  <c r="F352" i="4"/>
  <c r="F188" i="4"/>
  <c r="F183" i="4"/>
  <c r="F171" i="4"/>
  <c r="F105" i="4"/>
  <c r="F965" i="4"/>
  <c r="F672" i="4"/>
  <c r="F661" i="4"/>
  <c r="F141" i="4"/>
  <c r="F489" i="4"/>
  <c r="F27" i="4"/>
  <c r="F909" i="4"/>
  <c r="F977" i="4"/>
  <c r="F710" i="4"/>
  <c r="F911" i="4"/>
  <c r="F912" i="4"/>
  <c r="F913" i="4"/>
  <c r="F24" i="4"/>
  <c r="F343" i="4"/>
  <c r="F388" i="4"/>
  <c r="F230" i="4"/>
  <c r="F844" i="4"/>
  <c r="F919" i="4"/>
  <c r="F790" i="4"/>
  <c r="F921" i="4"/>
  <c r="F890" i="4"/>
  <c r="F923" i="4"/>
  <c r="F924" i="4"/>
  <c r="F443" i="4"/>
  <c r="F810" i="4"/>
  <c r="F926" i="4"/>
  <c r="F510" i="4"/>
  <c r="F384" i="4"/>
  <c r="F506" i="4"/>
  <c r="F349" i="4"/>
  <c r="F612" i="4"/>
  <c r="F933" i="4"/>
  <c r="F934" i="4"/>
  <c r="F981" i="4"/>
  <c r="F374" i="4"/>
  <c r="F702" i="4"/>
  <c r="F670" i="4"/>
  <c r="F902" i="4"/>
  <c r="F851" i="4"/>
  <c r="F941" i="4"/>
  <c r="F272" i="4"/>
  <c r="F636" i="4"/>
  <c r="F520" i="4"/>
  <c r="F700" i="4"/>
  <c r="F946" i="4"/>
  <c r="F947" i="4"/>
  <c r="F692" i="4"/>
  <c r="F945" i="4"/>
  <c r="F444" i="4"/>
  <c r="F951" i="4"/>
  <c r="F827" i="4"/>
  <c r="F953" i="4"/>
  <c r="F835" i="4"/>
  <c r="F376" i="4"/>
  <c r="F956" i="4"/>
  <c r="F957" i="4"/>
  <c r="F301" i="4"/>
  <c r="F641" i="4"/>
  <c r="F245" i="4"/>
  <c r="F468" i="4"/>
  <c r="F962" i="4"/>
  <c r="F47" i="4"/>
  <c r="F964" i="4"/>
  <c r="F674" i="4"/>
  <c r="F560" i="4"/>
  <c r="F76" i="4"/>
  <c r="F336" i="4"/>
  <c r="F173" i="4"/>
  <c r="F619" i="4"/>
  <c r="F190" i="4"/>
  <c r="F972" i="4"/>
  <c r="F149" i="4"/>
  <c r="F667" i="4"/>
  <c r="F273" i="4"/>
  <c r="F551" i="4"/>
  <c r="F403" i="4"/>
  <c r="F477" i="4"/>
  <c r="F439" i="4"/>
  <c r="F847" i="4"/>
  <c r="F765" i="4"/>
  <c r="F875" i="4"/>
  <c r="F599" i="4"/>
  <c r="F351" i="4"/>
  <c r="F985" i="4"/>
  <c r="F821" i="4"/>
  <c r="F987" i="4"/>
  <c r="F988" i="4"/>
  <c r="F989" i="4"/>
  <c r="F413" i="4"/>
  <c r="F991" i="4"/>
  <c r="F562" i="4"/>
  <c r="F993" i="4"/>
  <c r="F898" i="4"/>
  <c r="F995" i="4"/>
  <c r="F86" i="4"/>
  <c r="F787" i="4"/>
  <c r="F942" i="4"/>
  <c r="F689" i="4"/>
  <c r="F1000" i="4"/>
  <c r="F1001" i="4"/>
  <c r="F436" i="4"/>
  <c r="G436" i="4"/>
  <c r="J436" i="4"/>
  <c r="K436" i="4"/>
  <c r="L436" i="4"/>
  <c r="E906" i="4"/>
  <c r="E4" i="4"/>
  <c r="E552" i="4"/>
  <c r="E125" i="4"/>
  <c r="E7" i="4"/>
  <c r="E846" i="4"/>
  <c r="E534" i="4"/>
  <c r="E362" i="4"/>
  <c r="E931" i="4"/>
  <c r="E12" i="4"/>
  <c r="E940" i="4"/>
  <c r="E59" i="4"/>
  <c r="E398" i="4"/>
  <c r="E16" i="4"/>
  <c r="E17" i="4"/>
  <c r="E277" i="4"/>
  <c r="E19" i="4"/>
  <c r="E20" i="4"/>
  <c r="E869" i="4"/>
  <c r="E879" i="4"/>
  <c r="E23" i="4"/>
  <c r="E129" i="4"/>
  <c r="E25" i="4"/>
  <c r="E26" i="4"/>
  <c r="E937" i="4"/>
  <c r="E359" i="4"/>
  <c r="E211" i="4"/>
  <c r="E276" i="4"/>
  <c r="E707" i="4"/>
  <c r="E32" i="4"/>
  <c r="E33" i="4"/>
  <c r="E302" i="4"/>
  <c r="E35" i="4"/>
  <c r="E785" i="4"/>
  <c r="E37" i="4"/>
  <c r="E275" i="4"/>
  <c r="E852" i="4"/>
  <c r="E914" i="4"/>
  <c r="E925" i="4"/>
  <c r="E377" i="4"/>
  <c r="E43" i="4"/>
  <c r="E51" i="4"/>
  <c r="E168" i="4"/>
  <c r="E582" i="4"/>
  <c r="E997" i="4"/>
  <c r="E48" i="4"/>
  <c r="E580" i="4"/>
  <c r="E521" i="4"/>
  <c r="E289" i="4"/>
  <c r="E669" i="4"/>
  <c r="E459" i="4"/>
  <c r="E54" i="4"/>
  <c r="E55" i="4"/>
  <c r="E848" i="4"/>
  <c r="E548" i="4"/>
  <c r="E60" i="4"/>
  <c r="E994" i="4"/>
  <c r="E87" i="4"/>
  <c r="E61" i="4"/>
  <c r="E62" i="4"/>
  <c r="E607" i="4"/>
  <c r="E64" i="4"/>
  <c r="E65" i="4"/>
  <c r="E66" i="4"/>
  <c r="E67" i="4"/>
  <c r="E68" i="4"/>
  <c r="E69" i="4"/>
  <c r="E192" i="4"/>
  <c r="E114" i="4"/>
  <c r="E186" i="4"/>
  <c r="E705" i="4"/>
  <c r="E74" i="4"/>
  <c r="E728" i="4"/>
  <c r="E170" i="4"/>
  <c r="E438" i="4"/>
  <c r="E78" i="4"/>
  <c r="E357" i="4"/>
  <c r="E137" i="4"/>
  <c r="E3" i="4"/>
  <c r="E307" i="4"/>
  <c r="E899" i="4"/>
  <c r="E84" i="4"/>
  <c r="E85" i="4"/>
  <c r="E207" i="4"/>
  <c r="E900" i="4"/>
  <c r="E88" i="4"/>
  <c r="E89" i="4"/>
  <c r="E166" i="4"/>
  <c r="E288" i="4"/>
  <c r="E92" i="4"/>
  <c r="E77" i="4"/>
  <c r="E94" i="4"/>
  <c r="E761" i="4"/>
  <c r="E296" i="4"/>
  <c r="E783" i="4"/>
  <c r="E223" i="4"/>
  <c r="E643" i="4"/>
  <c r="E117" i="4"/>
  <c r="E101" i="4"/>
  <c r="E102" i="4"/>
  <c r="E632" i="4"/>
  <c r="E185" i="4"/>
  <c r="E496" i="4"/>
  <c r="E802" i="4"/>
  <c r="E107" i="4"/>
  <c r="E697" i="4"/>
  <c r="E71" i="4"/>
  <c r="E623" i="4"/>
  <c r="E471" i="4"/>
  <c r="E567" i="4"/>
  <c r="E95" i="4"/>
  <c r="E402" i="4"/>
  <c r="E115" i="4"/>
  <c r="E116" i="4"/>
  <c r="E724" i="4"/>
  <c r="E960" i="4"/>
  <c r="E119" i="4"/>
  <c r="E120" i="4"/>
  <c r="E949" i="4"/>
  <c r="E122" i="4"/>
  <c r="E123" i="4"/>
  <c r="E861" i="4"/>
  <c r="E283" i="4"/>
  <c r="E755" i="4"/>
  <c r="E762" i="4"/>
  <c r="E128" i="4"/>
  <c r="E465" i="4"/>
  <c r="E545" i="4"/>
  <c r="E799" i="4"/>
  <c r="E132" i="4"/>
  <c r="E664" i="4"/>
  <c r="E134" i="4"/>
  <c r="E93" i="4"/>
  <c r="E694" i="4"/>
  <c r="E13" i="4"/>
  <c r="E237" i="4"/>
  <c r="E416" i="4"/>
  <c r="E559" i="4"/>
  <c r="E144" i="4"/>
  <c r="E346" i="4"/>
  <c r="E605" i="4"/>
  <c r="E18" i="4"/>
  <c r="E256" i="4"/>
  <c r="E146" i="4"/>
  <c r="E565" i="4"/>
  <c r="E148" i="4"/>
  <c r="E262" i="4"/>
  <c r="E79" i="4"/>
  <c r="E484" i="4"/>
  <c r="E45" i="4"/>
  <c r="E516" i="4"/>
  <c r="E154" i="4"/>
  <c r="E155" i="4"/>
  <c r="E156" i="4"/>
  <c r="E280" i="4"/>
  <c r="E838" i="4"/>
  <c r="E22" i="4"/>
  <c r="E160" i="4"/>
  <c r="E180" i="4"/>
  <c r="E162" i="4"/>
  <c r="E315" i="4"/>
  <c r="E427" i="4"/>
  <c r="E254" i="4"/>
  <c r="E880" i="4"/>
  <c r="E526" i="4"/>
  <c r="E572" i="4"/>
  <c r="E347" i="4"/>
  <c r="E176" i="4"/>
  <c r="E96" i="4"/>
  <c r="E172" i="4"/>
  <c r="E342" i="4"/>
  <c r="E849" i="4"/>
  <c r="E266" i="4"/>
  <c r="E624" i="4"/>
  <c r="E889" i="4"/>
  <c r="E687" i="4"/>
  <c r="E747" i="4"/>
  <c r="E874" i="4"/>
  <c r="E817" i="4"/>
  <c r="E182" i="4"/>
  <c r="E829" i="4"/>
  <c r="E558" i="4"/>
  <c r="E720" i="4"/>
  <c r="E952" i="4"/>
  <c r="E21" i="4"/>
  <c r="E955" i="4"/>
  <c r="E497" i="4"/>
  <c r="E978" i="4"/>
  <c r="E423" i="4"/>
  <c r="E578" i="4"/>
  <c r="E193" i="4"/>
  <c r="E841" i="4"/>
  <c r="E938" i="4"/>
  <c r="E196" i="4"/>
  <c r="E197" i="4"/>
  <c r="E198" i="4"/>
  <c r="E839" i="4"/>
  <c r="E365" i="4"/>
  <c r="E458" i="4"/>
  <c r="E121" i="4"/>
  <c r="E299" i="4"/>
  <c r="E204" i="4"/>
  <c r="E397" i="4"/>
  <c r="E14" i="4"/>
  <c r="E554" i="4"/>
  <c r="E208" i="4"/>
  <c r="E209" i="4"/>
  <c r="E210" i="4"/>
  <c r="E654" i="4"/>
  <c r="E445" i="4"/>
  <c r="E218" i="4"/>
  <c r="E954" i="4"/>
  <c r="E217" i="4"/>
  <c r="E216" i="4"/>
  <c r="E394" i="4"/>
  <c r="E379" i="4"/>
  <c r="E124" i="4"/>
  <c r="E203" i="4"/>
  <c r="E885" i="4"/>
  <c r="E382" i="4"/>
  <c r="E723" i="4"/>
  <c r="E224" i="4"/>
  <c r="E589" i="4"/>
  <c r="E556" i="4"/>
  <c r="E656" i="4"/>
  <c r="E228" i="4"/>
  <c r="E958" i="4"/>
  <c r="E127" i="4"/>
  <c r="E293" i="4"/>
  <c r="E232" i="4"/>
  <c r="E233" i="4"/>
  <c r="E932" i="4"/>
  <c r="E621" i="4"/>
  <c r="E118" i="4"/>
  <c r="E908" i="4"/>
  <c r="E813" i="4"/>
  <c r="E214" i="4"/>
  <c r="E743" i="4"/>
  <c r="E241" i="4"/>
  <c r="E894" i="4"/>
  <c r="E633" i="4"/>
  <c r="E244" i="4"/>
  <c r="E794" i="4"/>
  <c r="E328" i="4"/>
  <c r="E856" i="4"/>
  <c r="E614" i="4"/>
  <c r="E935" i="4"/>
  <c r="E390" i="4"/>
  <c r="E251" i="4"/>
  <c r="E252" i="4"/>
  <c r="E287" i="4"/>
  <c r="E354" i="4"/>
  <c r="E255" i="4"/>
  <c r="E97" i="4"/>
  <c r="E257" i="4"/>
  <c r="E258" i="4"/>
  <c r="E259" i="4"/>
  <c r="E234" i="4"/>
  <c r="E261" i="4"/>
  <c r="E975" i="4"/>
  <c r="E263" i="4"/>
  <c r="E508" i="4"/>
  <c r="E265" i="4"/>
  <c r="E247" i="4"/>
  <c r="E708" i="4"/>
  <c r="E268" i="4"/>
  <c r="E574" i="4"/>
  <c r="E990" i="4"/>
  <c r="E796" i="4"/>
  <c r="E784" i="4"/>
  <c r="E440" i="4"/>
  <c r="E294" i="4"/>
  <c r="E744" i="4"/>
  <c r="E329" i="4"/>
  <c r="E891" i="4"/>
  <c r="E983" i="4"/>
  <c r="E279" i="4"/>
  <c r="E883" i="4"/>
  <c r="E281" i="4"/>
  <c r="E282" i="4"/>
  <c r="E922" i="4"/>
  <c r="E801" i="4"/>
  <c r="E109" i="4"/>
  <c r="E8" i="4"/>
  <c r="E325" i="4"/>
  <c r="E527" i="4"/>
  <c r="E609" i="4"/>
  <c r="E295" i="4"/>
  <c r="E291" i="4"/>
  <c r="E514" i="4"/>
  <c r="E740" i="4"/>
  <c r="E929" i="4"/>
  <c r="E225" i="4"/>
  <c r="E483" i="4"/>
  <c r="E297" i="4"/>
  <c r="E298" i="4"/>
  <c r="E820" i="4"/>
  <c r="E575" i="4"/>
  <c r="E131" i="4"/>
  <c r="E249" i="4"/>
  <c r="E441" i="4"/>
  <c r="E498" i="4"/>
  <c r="E583" i="4"/>
  <c r="E306" i="4"/>
  <c r="E372" i="4"/>
  <c r="E308" i="4"/>
  <c r="E309" i="4"/>
  <c r="E617" i="4"/>
  <c r="E311" i="4"/>
  <c r="E961" i="4"/>
  <c r="E313" i="4"/>
  <c r="E314" i="4"/>
  <c r="E837" i="4"/>
  <c r="E316" i="4"/>
  <c r="E317" i="4"/>
  <c r="E318" i="4"/>
  <c r="E323" i="4"/>
  <c r="E320" i="4"/>
  <c r="E231" i="4"/>
  <c r="E568" i="4"/>
  <c r="E90" i="4"/>
  <c r="E324" i="4"/>
  <c r="E557" i="4"/>
  <c r="E628" i="4"/>
  <c r="E327" i="4"/>
  <c r="E126" i="4"/>
  <c r="E540" i="4"/>
  <c r="E944" i="4"/>
  <c r="E500" i="4"/>
  <c r="E332" i="4"/>
  <c r="E333" i="4"/>
  <c r="E334" i="4"/>
  <c r="E335" i="4"/>
  <c r="E158" i="4"/>
  <c r="E337" i="4"/>
  <c r="E165" i="4"/>
  <c r="E741" i="4"/>
  <c r="E868" i="4"/>
  <c r="E341" i="4"/>
  <c r="E703" i="4"/>
  <c r="E638" i="4"/>
  <c r="E286" i="4"/>
  <c r="E130" i="4"/>
  <c r="E391" i="4"/>
  <c r="E693" i="4"/>
  <c r="E290" i="4"/>
  <c r="E340" i="4"/>
  <c r="E350" i="4"/>
  <c r="E791" i="4"/>
  <c r="E631" i="4"/>
  <c r="E285" i="4"/>
  <c r="E246" i="4"/>
  <c r="E355" i="4"/>
  <c r="E184" i="4"/>
  <c r="E771" i="4"/>
  <c r="E358" i="4"/>
  <c r="E587" i="4"/>
  <c r="E360" i="4"/>
  <c r="E361" i="4"/>
  <c r="E601" i="4"/>
  <c r="E363" i="4"/>
  <c r="E927" i="4"/>
  <c r="E480" i="4"/>
  <c r="E366" i="4"/>
  <c r="E91" i="4"/>
  <c r="E267" i="4"/>
  <c r="E73" i="4"/>
  <c r="E370" i="4"/>
  <c r="E371" i="4"/>
  <c r="E399" i="4"/>
  <c r="E866" i="4"/>
  <c r="E181" i="4"/>
  <c r="E666" i="4"/>
  <c r="E452" i="4"/>
  <c r="E133" i="4"/>
  <c r="E30" i="4"/>
  <c r="E976" i="4"/>
  <c r="E380" i="4"/>
  <c r="E381" i="4"/>
  <c r="E271" i="4"/>
  <c r="E485" i="4"/>
  <c r="E999" i="4"/>
  <c r="E304" i="4"/>
  <c r="E39" i="4"/>
  <c r="E479" i="4"/>
  <c r="E464" i="4"/>
  <c r="E549" i="4"/>
  <c r="E187" i="4"/>
  <c r="E979" i="4"/>
  <c r="E392" i="4"/>
  <c r="E393" i="4"/>
  <c r="E781" i="4"/>
  <c r="E395" i="4"/>
  <c r="E396" i="4"/>
  <c r="E274" i="4"/>
  <c r="E449" i="4"/>
  <c r="E72" i="4"/>
  <c r="E179" i="4"/>
  <c r="E401" i="4"/>
  <c r="E635" i="4"/>
  <c r="E569" i="4"/>
  <c r="E404" i="4"/>
  <c r="E405" i="4"/>
  <c r="E653" i="4"/>
  <c r="E189" i="4"/>
  <c r="E773" i="4"/>
  <c r="E220" i="4"/>
  <c r="E598" i="4"/>
  <c r="E411" i="4"/>
  <c r="E414" i="4"/>
  <c r="E367" i="4"/>
  <c r="E804" i="4"/>
  <c r="E415" i="4"/>
  <c r="E38" i="4"/>
  <c r="E550" i="4"/>
  <c r="E732" i="4"/>
  <c r="E419" i="4"/>
  <c r="E40" i="4"/>
  <c r="E157" i="4"/>
  <c r="E422" i="4"/>
  <c r="E243" i="4"/>
  <c r="E424" i="4"/>
  <c r="E11" i="4"/>
  <c r="E212" i="4"/>
  <c r="E859" i="4"/>
  <c r="E588" i="4"/>
  <c r="E901" i="4"/>
  <c r="E430" i="4"/>
  <c r="E431" i="4"/>
  <c r="E432" i="4"/>
  <c r="E264" i="4"/>
  <c r="E442" i="4"/>
  <c r="E28" i="4"/>
  <c r="E152" i="4"/>
  <c r="E437" i="4"/>
  <c r="E284" i="4"/>
  <c r="E872" i="4"/>
  <c r="E992" i="4"/>
  <c r="E637" i="4"/>
  <c r="E161" i="4"/>
  <c r="E470" i="4"/>
  <c r="E748" i="4"/>
  <c r="E916" i="4"/>
  <c r="E446" i="4"/>
  <c r="E378" i="4"/>
  <c r="E448" i="4"/>
  <c r="E108" i="4"/>
  <c r="E100" i="4"/>
  <c r="E222" i="4"/>
  <c r="E715" i="4"/>
  <c r="E453" i="4"/>
  <c r="E454" i="4"/>
  <c r="E676" i="4"/>
  <c r="E456" i="4"/>
  <c r="E711" i="4"/>
  <c r="E713" i="4"/>
  <c r="E420" i="4"/>
  <c r="E460" i="4"/>
  <c r="E151" i="4"/>
  <c r="E699" i="4"/>
  <c r="E463" i="4"/>
  <c r="E615" i="4"/>
  <c r="E509" i="4"/>
  <c r="E501" i="4"/>
  <c r="E608" i="4"/>
  <c r="E270" i="4"/>
  <c r="E322" i="4"/>
  <c r="E770" i="4"/>
  <c r="E811" i="4"/>
  <c r="E472" i="4"/>
  <c r="E80" i="4"/>
  <c r="E474" i="4"/>
  <c r="E475" i="4"/>
  <c r="E753" i="4"/>
  <c r="E473" i="4"/>
  <c r="E518" i="4"/>
  <c r="E561" i="4"/>
  <c r="E250" i="4"/>
  <c r="E110" i="4"/>
  <c r="E974" i="4"/>
  <c r="E766" i="4"/>
  <c r="E81" i="4"/>
  <c r="E435" i="4"/>
  <c r="E303" i="4"/>
  <c r="E487" i="4"/>
  <c r="E488" i="4"/>
  <c r="E709" i="4"/>
  <c r="E490" i="4"/>
  <c r="E491" i="4"/>
  <c r="E138" i="4"/>
  <c r="E793" i="4"/>
  <c r="E494" i="4"/>
  <c r="E495" i="4"/>
  <c r="E457" i="4"/>
  <c r="E106" i="4"/>
  <c r="E493" i="4"/>
  <c r="E832" i="4"/>
  <c r="E235" i="4"/>
  <c r="E492" i="4"/>
  <c r="E706" i="4"/>
  <c r="E486" i="4"/>
  <c r="E767" i="4"/>
  <c r="E469" i="4"/>
  <c r="E782" i="4"/>
  <c r="E467" i="4"/>
  <c r="E199" i="4"/>
  <c r="E739" i="4"/>
  <c r="E539" i="4"/>
  <c r="E733" i="4"/>
  <c r="E512" i="4"/>
  <c r="E950" i="4"/>
  <c r="E888" i="4"/>
  <c r="E515" i="4"/>
  <c r="E164" i="4"/>
  <c r="E145" i="4"/>
  <c r="E226" i="4"/>
  <c r="E221" i="4"/>
  <c r="E980" i="4"/>
  <c r="E537" i="4"/>
  <c r="E174" i="4"/>
  <c r="E610" i="4"/>
  <c r="E524" i="4"/>
  <c r="E525" i="4"/>
  <c r="E618" i="4"/>
  <c r="E688" i="4"/>
  <c r="E966" i="4"/>
  <c r="E649" i="4"/>
  <c r="E530" i="4"/>
  <c r="E531" i="4"/>
  <c r="E532" i="4"/>
  <c r="E701" i="4"/>
  <c r="E523" i="4"/>
  <c r="E897" i="4"/>
  <c r="E536" i="4"/>
  <c r="E34" i="4"/>
  <c r="E538" i="4"/>
  <c r="E175" i="4"/>
  <c r="E754" i="4"/>
  <c r="E918" i="4"/>
  <c r="E142" i="4"/>
  <c r="E865" i="4"/>
  <c r="E544" i="4"/>
  <c r="E260" i="4"/>
  <c r="E546" i="4"/>
  <c r="E547" i="4"/>
  <c r="E681" i="4"/>
  <c r="E46" i="4"/>
  <c r="E418" i="4"/>
  <c r="E326" i="4"/>
  <c r="E429" i="4"/>
  <c r="E553" i="4"/>
  <c r="E10" i="4"/>
  <c r="E555" i="4"/>
  <c r="E425" i="4"/>
  <c r="E564" i="4"/>
  <c r="E970" i="4"/>
  <c r="E339" i="4"/>
  <c r="E822" i="4"/>
  <c r="E973" i="4"/>
  <c r="E592" i="4"/>
  <c r="E348" i="4"/>
  <c r="E139" i="4"/>
  <c r="E356" i="4"/>
  <c r="E566" i="4"/>
  <c r="E103" i="4"/>
  <c r="E639" i="4"/>
  <c r="E140" i="4"/>
  <c r="E570" i="4"/>
  <c r="E571" i="4"/>
  <c r="E511" i="4"/>
  <c r="E573" i="4"/>
  <c r="E406" i="4"/>
  <c r="E577" i="4"/>
  <c r="E576" i="4"/>
  <c r="E455" i="4"/>
  <c r="E936" i="4"/>
  <c r="E579" i="4"/>
  <c r="E292" i="4"/>
  <c r="E795" i="4"/>
  <c r="E622" i="4"/>
  <c r="E383" i="4"/>
  <c r="E775" i="4"/>
  <c r="E585" i="4"/>
  <c r="E586" i="4"/>
  <c r="E167" i="4"/>
  <c r="E658" i="4"/>
  <c r="E111" i="4"/>
  <c r="E590" i="4"/>
  <c r="E409" i="4"/>
  <c r="E57" i="4"/>
  <c r="E593" i="4"/>
  <c r="E236" i="4"/>
  <c r="E595" i="4"/>
  <c r="E596" i="4"/>
  <c r="E49" i="4"/>
  <c r="E6" i="4"/>
  <c r="E915" i="4"/>
  <c r="E600" i="4"/>
  <c r="E597" i="4"/>
  <c r="E602" i="4"/>
  <c r="E843" i="4"/>
  <c r="E98" i="4"/>
  <c r="E786" i="4"/>
  <c r="E818" i="4"/>
  <c r="E982" i="4"/>
  <c r="E112" i="4"/>
  <c r="E386" i="4"/>
  <c r="E698" i="4"/>
  <c r="E541" i="4"/>
  <c r="E529" i="4"/>
  <c r="E368" i="4"/>
  <c r="E240" i="4"/>
  <c r="E513" i="4"/>
  <c r="E426" i="4"/>
  <c r="E757" i="4"/>
  <c r="E345" i="4"/>
  <c r="E680" i="4"/>
  <c r="E227" i="4"/>
  <c r="E163" i="4"/>
  <c r="E70" i="4"/>
  <c r="E462" i="4"/>
  <c r="E42" i="4"/>
  <c r="E400" i="4"/>
  <c r="E657" i="4"/>
  <c r="E143" i="4"/>
  <c r="E169" i="4"/>
  <c r="E629" i="4"/>
  <c r="E630" i="4"/>
  <c r="E542" i="4"/>
  <c r="E29" i="4"/>
  <c r="E433" i="4"/>
  <c r="E928" i="4"/>
  <c r="E417" i="4"/>
  <c r="E939" i="4"/>
  <c r="E716" i="4"/>
  <c r="E768" i="4"/>
  <c r="E930" i="4"/>
  <c r="E58" i="4"/>
  <c r="E714" i="4"/>
  <c r="E809" i="4"/>
  <c r="E503" i="4"/>
  <c r="E410" i="4"/>
  <c r="E604" i="4"/>
  <c r="E502" i="4"/>
  <c r="E647" i="4"/>
  <c r="E648" i="4"/>
  <c r="E238" i="4"/>
  <c r="E650" i="4"/>
  <c r="E651" i="4"/>
  <c r="E780" i="4"/>
  <c r="E719" i="4"/>
  <c r="E482" i="4"/>
  <c r="E373" i="4"/>
  <c r="E904" i="4"/>
  <c r="E917" i="4"/>
  <c r="E219" i="4"/>
  <c r="E369" i="4"/>
  <c r="E239" i="4"/>
  <c r="E104" i="4"/>
  <c r="E662" i="4"/>
  <c r="E663" i="4"/>
  <c r="E56" i="4"/>
  <c r="E760" i="4"/>
  <c r="E330" i="4"/>
  <c r="E421" i="4"/>
  <c r="E478" i="4"/>
  <c r="E269" i="4"/>
  <c r="E543" i="4"/>
  <c r="E806" i="4"/>
  <c r="E645" i="4"/>
  <c r="E652" i="4"/>
  <c r="E673" i="4"/>
  <c r="E675" i="4"/>
  <c r="E206" i="4"/>
  <c r="E677" i="4"/>
  <c r="E678" i="4"/>
  <c r="E52" i="4"/>
  <c r="E312" i="4"/>
  <c r="E996" i="4"/>
  <c r="E682" i="4"/>
  <c r="E683" i="4"/>
  <c r="E684" i="4"/>
  <c r="E685" i="4"/>
  <c r="E686" i="4"/>
  <c r="E41" i="4"/>
  <c r="E535" i="4"/>
  <c r="E2" i="4"/>
  <c r="E690" i="4"/>
  <c r="E691" i="4"/>
  <c r="E194" i="4"/>
  <c r="E581" i="4"/>
  <c r="E854" i="4"/>
  <c r="E695" i="4"/>
  <c r="E696" i="4"/>
  <c r="E721" i="4"/>
  <c r="E253" i="4"/>
  <c r="E877" i="4"/>
  <c r="E824" i="4"/>
  <c r="E943" i="4"/>
  <c r="E808" i="4"/>
  <c r="E764" i="4"/>
  <c r="E704" i="4"/>
  <c r="E310" i="4"/>
  <c r="E522" i="4"/>
  <c r="E774" i="4"/>
  <c r="E860" i="4"/>
  <c r="E736" i="4"/>
  <c r="E428" i="4"/>
  <c r="E300" i="4"/>
  <c r="E712" i="4"/>
  <c r="E375" i="4"/>
  <c r="E642" i="4"/>
  <c r="E857" i="4"/>
  <c r="E83" i="4"/>
  <c r="E717" i="4"/>
  <c r="E718" i="4"/>
  <c r="E812" i="4"/>
  <c r="E819" i="4"/>
  <c r="E665" i="4"/>
  <c r="E63" i="4"/>
  <c r="E385" i="4"/>
  <c r="E792" i="4"/>
  <c r="E903" i="4"/>
  <c r="E505" i="4"/>
  <c r="E727" i="4"/>
  <c r="E823" i="4"/>
  <c r="E729" i="4"/>
  <c r="E730" i="4"/>
  <c r="E655" i="4"/>
  <c r="E242" i="4"/>
  <c r="E864" i="4"/>
  <c r="E734" i="4"/>
  <c r="E735" i="4"/>
  <c r="E248" i="4"/>
  <c r="E201" i="4"/>
  <c r="E738" i="4"/>
  <c r="E905" i="4"/>
  <c r="E722" i="4"/>
  <c r="E867" i="4"/>
  <c r="E627" i="4"/>
  <c r="E959" i="4"/>
  <c r="E878" i="4"/>
  <c r="E53" i="4"/>
  <c r="E679" i="4"/>
  <c r="E668" i="4"/>
  <c r="E191" i="4"/>
  <c r="E769" i="4"/>
  <c r="E910" i="4"/>
  <c r="E751" i="4"/>
  <c r="E752" i="4"/>
  <c r="E135" i="4"/>
  <c r="E606" i="4"/>
  <c r="E195" i="4"/>
  <c r="E620" i="4"/>
  <c r="E616" i="4"/>
  <c r="E517" i="4"/>
  <c r="E759" i="4"/>
  <c r="E886" i="4"/>
  <c r="E507" i="4"/>
  <c r="E660" i="4"/>
  <c r="E763" i="4"/>
  <c r="E278" i="4"/>
  <c r="E150" i="4"/>
  <c r="E737" i="4"/>
  <c r="E353" i="4"/>
  <c r="E659" i="4"/>
  <c r="E834" i="4"/>
  <c r="E5" i="4"/>
  <c r="E758" i="4"/>
  <c r="E726" i="4"/>
  <c r="E749" i="4"/>
  <c r="E99" i="4"/>
  <c r="E750" i="4"/>
  <c r="E776" i="4"/>
  <c r="E82" i="4"/>
  <c r="E778" i="4"/>
  <c r="E779" i="4"/>
  <c r="E412" i="4"/>
  <c r="E476" i="4"/>
  <c r="E387" i="4"/>
  <c r="E338" i="4"/>
  <c r="E611" i="4"/>
  <c r="E772" i="4"/>
  <c r="E344" i="4"/>
  <c r="E147" i="4"/>
  <c r="E788" i="4"/>
  <c r="E789" i="4"/>
  <c r="E200" i="4"/>
  <c r="E948" i="4"/>
  <c r="E36" i="4"/>
  <c r="E466" i="4"/>
  <c r="E858" i="4"/>
  <c r="E594" i="4"/>
  <c r="E153" i="4"/>
  <c r="E797" i="4"/>
  <c r="E798" i="4"/>
  <c r="E640" i="4"/>
  <c r="E800" i="4"/>
  <c r="E499" i="4"/>
  <c r="E731" i="4"/>
  <c r="E725" i="4"/>
  <c r="E644" i="4"/>
  <c r="E805" i="4"/>
  <c r="E671" i="4"/>
  <c r="E807" i="4"/>
  <c r="E533" i="4"/>
  <c r="E613" i="4"/>
  <c r="E584" i="4"/>
  <c r="E447" i="4"/>
  <c r="E364" i="4"/>
  <c r="E831" i="4"/>
  <c r="E814" i="4"/>
  <c r="E968" i="4"/>
  <c r="E816" i="4"/>
  <c r="E591" i="4"/>
  <c r="E213" i="4"/>
  <c r="E742" i="4"/>
  <c r="E31" i="4"/>
  <c r="E746" i="4"/>
  <c r="E967" i="4"/>
  <c r="E971" i="4"/>
  <c r="E519" i="4"/>
  <c r="E825" i="4"/>
  <c r="E826" i="4"/>
  <c r="E319" i="4"/>
  <c r="E828" i="4"/>
  <c r="E634" i="4"/>
  <c r="E830" i="4"/>
  <c r="E450" i="4"/>
  <c r="E969" i="4"/>
  <c r="E833" i="4"/>
  <c r="E229" i="4"/>
  <c r="E745" i="4"/>
  <c r="E836" i="4"/>
  <c r="E481" i="4"/>
  <c r="E803" i="4"/>
  <c r="E920" i="4"/>
  <c r="E840" i="4"/>
  <c r="E756" i="4"/>
  <c r="E842" i="4"/>
  <c r="E407" i="4"/>
  <c r="E504" i="4"/>
  <c r="E845" i="4"/>
  <c r="E75" i="4"/>
  <c r="E563" i="4"/>
  <c r="E205" i="4"/>
  <c r="E113" i="4"/>
  <c r="E850" i="4"/>
  <c r="E461" i="4"/>
  <c r="E434" i="4"/>
  <c r="E853" i="4"/>
  <c r="E15" i="4"/>
  <c r="E855" i="4"/>
  <c r="E625" i="4"/>
  <c r="E815" i="4"/>
  <c r="E136" i="4"/>
  <c r="E202" i="4"/>
  <c r="E331" i="4"/>
  <c r="E177" i="4"/>
  <c r="E862" i="4"/>
  <c r="E863" i="4"/>
  <c r="E159" i="4"/>
  <c r="E215" i="4"/>
  <c r="E907" i="4"/>
  <c r="E963" i="4"/>
  <c r="E646" i="4"/>
  <c r="E451" i="4"/>
  <c r="E870" i="4"/>
  <c r="E871" i="4"/>
  <c r="E528" i="4"/>
  <c r="E873" i="4"/>
  <c r="E895" i="4"/>
  <c r="E408" i="4"/>
  <c r="E876" i="4"/>
  <c r="E50" i="4"/>
  <c r="E603" i="4"/>
  <c r="E777" i="4"/>
  <c r="E998" i="4"/>
  <c r="E881" i="4"/>
  <c r="E882" i="4"/>
  <c r="E986" i="4"/>
  <c r="E884" i="4"/>
  <c r="E44" i="4"/>
  <c r="E984" i="4"/>
  <c r="E887" i="4"/>
  <c r="E305" i="4"/>
  <c r="E9" i="4"/>
  <c r="E389" i="4"/>
  <c r="E626" i="4"/>
  <c r="E892" i="4"/>
  <c r="E893" i="4"/>
  <c r="E321" i="4"/>
  <c r="E178" i="4"/>
  <c r="E896" i="4"/>
  <c r="E352" i="4"/>
  <c r="E188" i="4"/>
  <c r="E183" i="4"/>
  <c r="E171" i="4"/>
  <c r="E105" i="4"/>
  <c r="E965" i="4"/>
  <c r="E672" i="4"/>
  <c r="E661" i="4"/>
  <c r="E141" i="4"/>
  <c r="E489" i="4"/>
  <c r="E27" i="4"/>
  <c r="E909" i="4"/>
  <c r="E977" i="4"/>
  <c r="E710" i="4"/>
  <c r="E911" i="4"/>
  <c r="E912" i="4"/>
  <c r="E913" i="4"/>
  <c r="E24" i="4"/>
  <c r="E343" i="4"/>
  <c r="E388" i="4"/>
  <c r="E230" i="4"/>
  <c r="E844" i="4"/>
  <c r="E919" i="4"/>
  <c r="E790" i="4"/>
  <c r="E921" i="4"/>
  <c r="E890" i="4"/>
  <c r="E923" i="4"/>
  <c r="E924" i="4"/>
  <c r="E443" i="4"/>
  <c r="E810" i="4"/>
  <c r="E926" i="4"/>
  <c r="E510" i="4"/>
  <c r="E384" i="4"/>
  <c r="E506" i="4"/>
  <c r="E349" i="4"/>
  <c r="E612" i="4"/>
  <c r="E933" i="4"/>
  <c r="E934" i="4"/>
  <c r="E981" i="4"/>
  <c r="E374" i="4"/>
  <c r="E702" i="4"/>
  <c r="E670" i="4"/>
  <c r="E902" i="4"/>
  <c r="E851" i="4"/>
  <c r="E941" i="4"/>
  <c r="E272" i="4"/>
  <c r="E636" i="4"/>
  <c r="E520" i="4"/>
  <c r="E700" i="4"/>
  <c r="E946" i="4"/>
  <c r="E947" i="4"/>
  <c r="E692" i="4"/>
  <c r="E945" i="4"/>
  <c r="E444" i="4"/>
  <c r="E951" i="4"/>
  <c r="E827" i="4"/>
  <c r="E953" i="4"/>
  <c r="E835" i="4"/>
  <c r="E376" i="4"/>
  <c r="E956" i="4"/>
  <c r="E957" i="4"/>
  <c r="E301" i="4"/>
  <c r="E641" i="4"/>
  <c r="E245" i="4"/>
  <c r="E468" i="4"/>
  <c r="E962" i="4"/>
  <c r="E47" i="4"/>
  <c r="E964" i="4"/>
  <c r="E674" i="4"/>
  <c r="E560" i="4"/>
  <c r="E76" i="4"/>
  <c r="E336" i="4"/>
  <c r="E173" i="4"/>
  <c r="E619" i="4"/>
  <c r="E190" i="4"/>
  <c r="E972" i="4"/>
  <c r="E149" i="4"/>
  <c r="E667" i="4"/>
  <c r="E273" i="4"/>
  <c r="E551" i="4"/>
  <c r="E403" i="4"/>
  <c r="E477" i="4"/>
  <c r="E439" i="4"/>
  <c r="E847" i="4"/>
  <c r="E765" i="4"/>
  <c r="E875" i="4"/>
  <c r="E599" i="4"/>
  <c r="E351" i="4"/>
  <c r="E985" i="4"/>
  <c r="E821" i="4"/>
  <c r="E987" i="4"/>
  <c r="E988" i="4"/>
  <c r="E989" i="4"/>
  <c r="E413" i="4"/>
  <c r="E991" i="4"/>
  <c r="E562" i="4"/>
  <c r="E993" i="4"/>
  <c r="E898" i="4"/>
  <c r="E995" i="4"/>
  <c r="E86" i="4"/>
  <c r="E787" i="4"/>
  <c r="E942" i="4"/>
  <c r="E689" i="4"/>
  <c r="E1000" i="4"/>
  <c r="E1001" i="4"/>
  <c r="D906" i="4"/>
  <c r="D4" i="4"/>
  <c r="D552" i="4"/>
  <c r="D125" i="4"/>
  <c r="D7" i="4"/>
  <c r="D846" i="4"/>
  <c r="D534" i="4"/>
  <c r="D362" i="4"/>
  <c r="D931" i="4"/>
  <c r="D12" i="4"/>
  <c r="D940" i="4"/>
  <c r="D59" i="4"/>
  <c r="D398" i="4"/>
  <c r="D16" i="4"/>
  <c r="D17" i="4"/>
  <c r="D277" i="4"/>
  <c r="D19" i="4"/>
  <c r="D20" i="4"/>
  <c r="D869" i="4"/>
  <c r="D879" i="4"/>
  <c r="D23" i="4"/>
  <c r="D129" i="4"/>
  <c r="D25" i="4"/>
  <c r="D26" i="4"/>
  <c r="D937" i="4"/>
  <c r="D359" i="4"/>
  <c r="D211" i="4"/>
  <c r="D276" i="4"/>
  <c r="D707" i="4"/>
  <c r="D32" i="4"/>
  <c r="D33" i="4"/>
  <c r="D302" i="4"/>
  <c r="D35" i="4"/>
  <c r="D785" i="4"/>
  <c r="D37" i="4"/>
  <c r="D275" i="4"/>
  <c r="D852" i="4"/>
  <c r="D914" i="4"/>
  <c r="D925" i="4"/>
  <c r="D377" i="4"/>
  <c r="D43" i="4"/>
  <c r="D51" i="4"/>
  <c r="D168" i="4"/>
  <c r="D582" i="4"/>
  <c r="D997" i="4"/>
  <c r="D48" i="4"/>
  <c r="D580" i="4"/>
  <c r="D521" i="4"/>
  <c r="D289" i="4"/>
  <c r="D669" i="4"/>
  <c r="D459" i="4"/>
  <c r="D54" i="4"/>
  <c r="D55" i="4"/>
  <c r="D848" i="4"/>
  <c r="D548" i="4"/>
  <c r="D60" i="4"/>
  <c r="D994" i="4"/>
  <c r="D87" i="4"/>
  <c r="D61" i="4"/>
  <c r="D62" i="4"/>
  <c r="D607" i="4"/>
  <c r="D64" i="4"/>
  <c r="D65" i="4"/>
  <c r="D66" i="4"/>
  <c r="D67" i="4"/>
  <c r="D68" i="4"/>
  <c r="D69" i="4"/>
  <c r="D192" i="4"/>
  <c r="D114" i="4"/>
  <c r="D186" i="4"/>
  <c r="D705" i="4"/>
  <c r="D74" i="4"/>
  <c r="D728" i="4"/>
  <c r="D170" i="4"/>
  <c r="D438" i="4"/>
  <c r="D78" i="4"/>
  <c r="D357" i="4"/>
  <c r="D137" i="4"/>
  <c r="D3" i="4"/>
  <c r="D307" i="4"/>
  <c r="D899" i="4"/>
  <c r="D84" i="4"/>
  <c r="D85" i="4"/>
  <c r="D207" i="4"/>
  <c r="D900" i="4"/>
  <c r="D88" i="4"/>
  <c r="D89" i="4"/>
  <c r="D166" i="4"/>
  <c r="D288" i="4"/>
  <c r="D92" i="4"/>
  <c r="D77" i="4"/>
  <c r="D94" i="4"/>
  <c r="D761" i="4"/>
  <c r="D296" i="4"/>
  <c r="D783" i="4"/>
  <c r="D223" i="4"/>
  <c r="D643" i="4"/>
  <c r="D117" i="4"/>
  <c r="D101" i="4"/>
  <c r="D102" i="4"/>
  <c r="D632" i="4"/>
  <c r="D185" i="4"/>
  <c r="D496" i="4"/>
  <c r="D802" i="4"/>
  <c r="D107" i="4"/>
  <c r="D697" i="4"/>
  <c r="D71" i="4"/>
  <c r="D623" i="4"/>
  <c r="D471" i="4"/>
  <c r="D567" i="4"/>
  <c r="D95" i="4"/>
  <c r="D402" i="4"/>
  <c r="D115" i="4"/>
  <c r="D116" i="4"/>
  <c r="D724" i="4"/>
  <c r="D960" i="4"/>
  <c r="D119" i="4"/>
  <c r="D120" i="4"/>
  <c r="D949" i="4"/>
  <c r="D122" i="4"/>
  <c r="D123" i="4"/>
  <c r="D861" i="4"/>
  <c r="D283" i="4"/>
  <c r="D755" i="4"/>
  <c r="D762" i="4"/>
  <c r="D128" i="4"/>
  <c r="D465" i="4"/>
  <c r="D545" i="4"/>
  <c r="D799" i="4"/>
  <c r="D132" i="4"/>
  <c r="D664" i="4"/>
  <c r="D134" i="4"/>
  <c r="D93" i="4"/>
  <c r="D694" i="4"/>
  <c r="D13" i="4"/>
  <c r="D237" i="4"/>
  <c r="D416" i="4"/>
  <c r="D559" i="4"/>
  <c r="D144" i="4"/>
  <c r="D346" i="4"/>
  <c r="D605" i="4"/>
  <c r="D18" i="4"/>
  <c r="D256" i="4"/>
  <c r="D146" i="4"/>
  <c r="D565" i="4"/>
  <c r="D148" i="4"/>
  <c r="D262" i="4"/>
  <c r="D79" i="4"/>
  <c r="D484" i="4"/>
  <c r="D45" i="4"/>
  <c r="D516" i="4"/>
  <c r="D154" i="4"/>
  <c r="D155" i="4"/>
  <c r="D156" i="4"/>
  <c r="D280" i="4"/>
  <c r="D838" i="4"/>
  <c r="D22" i="4"/>
  <c r="D160" i="4"/>
  <c r="D180" i="4"/>
  <c r="D162" i="4"/>
  <c r="D315" i="4"/>
  <c r="D427" i="4"/>
  <c r="D254" i="4"/>
  <c r="D880" i="4"/>
  <c r="D526" i="4"/>
  <c r="D572" i="4"/>
  <c r="D347" i="4"/>
  <c r="D176" i="4"/>
  <c r="D96" i="4"/>
  <c r="D172" i="4"/>
  <c r="D342" i="4"/>
  <c r="D849" i="4"/>
  <c r="D266" i="4"/>
  <c r="D624" i="4"/>
  <c r="D889" i="4"/>
  <c r="D687" i="4"/>
  <c r="D747" i="4"/>
  <c r="D874" i="4"/>
  <c r="D817" i="4"/>
  <c r="D182" i="4"/>
  <c r="D829" i="4"/>
  <c r="D558" i="4"/>
  <c r="D720" i="4"/>
  <c r="D952" i="4"/>
  <c r="D21" i="4"/>
  <c r="D955" i="4"/>
  <c r="D497" i="4"/>
  <c r="D978" i="4"/>
  <c r="D423" i="4"/>
  <c r="D578" i="4"/>
  <c r="D193" i="4"/>
  <c r="D841" i="4"/>
  <c r="D938" i="4"/>
  <c r="D196" i="4"/>
  <c r="D197" i="4"/>
  <c r="D198" i="4"/>
  <c r="D839" i="4"/>
  <c r="D365" i="4"/>
  <c r="D458" i="4"/>
  <c r="D121" i="4"/>
  <c r="D299" i="4"/>
  <c r="D204" i="4"/>
  <c r="D397" i="4"/>
  <c r="D14" i="4"/>
  <c r="D554" i="4"/>
  <c r="D208" i="4"/>
  <c r="D209" i="4"/>
  <c r="D210" i="4"/>
  <c r="D654" i="4"/>
  <c r="D445" i="4"/>
  <c r="D218" i="4"/>
  <c r="D954" i="4"/>
  <c r="D217" i="4"/>
  <c r="D216" i="4"/>
  <c r="D394" i="4"/>
  <c r="D379" i="4"/>
  <c r="D124" i="4"/>
  <c r="D203" i="4"/>
  <c r="D885" i="4"/>
  <c r="D382" i="4"/>
  <c r="D723" i="4"/>
  <c r="D224" i="4"/>
  <c r="D589" i="4"/>
  <c r="D556" i="4"/>
  <c r="D656" i="4"/>
  <c r="D228" i="4"/>
  <c r="D958" i="4"/>
  <c r="D127" i="4"/>
  <c r="D293" i="4"/>
  <c r="D232" i="4"/>
  <c r="D233" i="4"/>
  <c r="D932" i="4"/>
  <c r="D621" i="4"/>
  <c r="D118" i="4"/>
  <c r="D908" i="4"/>
  <c r="D813" i="4"/>
  <c r="D214" i="4"/>
  <c r="D743" i="4"/>
  <c r="D241" i="4"/>
  <c r="D894" i="4"/>
  <c r="D633" i="4"/>
  <c r="D244" i="4"/>
  <c r="D794" i="4"/>
  <c r="D328" i="4"/>
  <c r="D856" i="4"/>
  <c r="D614" i="4"/>
  <c r="D935" i="4"/>
  <c r="D390" i="4"/>
  <c r="D251" i="4"/>
  <c r="D252" i="4"/>
  <c r="D287" i="4"/>
  <c r="D354" i="4"/>
  <c r="D255" i="4"/>
  <c r="D97" i="4"/>
  <c r="D257" i="4"/>
  <c r="D258" i="4"/>
  <c r="D259" i="4"/>
  <c r="D234" i="4"/>
  <c r="D261" i="4"/>
  <c r="D975" i="4"/>
  <c r="D263" i="4"/>
  <c r="D508" i="4"/>
  <c r="D265" i="4"/>
  <c r="D247" i="4"/>
  <c r="D708" i="4"/>
  <c r="D268" i="4"/>
  <c r="D574" i="4"/>
  <c r="D990" i="4"/>
  <c r="D796" i="4"/>
  <c r="D784" i="4"/>
  <c r="D440" i="4"/>
  <c r="D294" i="4"/>
  <c r="D744" i="4"/>
  <c r="D329" i="4"/>
  <c r="D891" i="4"/>
  <c r="D983" i="4"/>
  <c r="D279" i="4"/>
  <c r="D883" i="4"/>
  <c r="D281" i="4"/>
  <c r="D282" i="4"/>
  <c r="D922" i="4"/>
  <c r="D801" i="4"/>
  <c r="D109" i="4"/>
  <c r="D8" i="4"/>
  <c r="D325" i="4"/>
  <c r="D527" i="4"/>
  <c r="D609" i="4"/>
  <c r="D295" i="4"/>
  <c r="D291" i="4"/>
  <c r="D514" i="4"/>
  <c r="D740" i="4"/>
  <c r="D929" i="4"/>
  <c r="D225" i="4"/>
  <c r="D483" i="4"/>
  <c r="D297" i="4"/>
  <c r="D298" i="4"/>
  <c r="D820" i="4"/>
  <c r="D575" i="4"/>
  <c r="D131" i="4"/>
  <c r="D249" i="4"/>
  <c r="D441" i="4"/>
  <c r="D498" i="4"/>
  <c r="D583" i="4"/>
  <c r="D306" i="4"/>
  <c r="D372" i="4"/>
  <c r="D308" i="4"/>
  <c r="D309" i="4"/>
  <c r="D617" i="4"/>
  <c r="D311" i="4"/>
  <c r="D961" i="4"/>
  <c r="D313" i="4"/>
  <c r="D314" i="4"/>
  <c r="D837" i="4"/>
  <c r="D316" i="4"/>
  <c r="D317" i="4"/>
  <c r="D318" i="4"/>
  <c r="D323" i="4"/>
  <c r="D320" i="4"/>
  <c r="D231" i="4"/>
  <c r="D568" i="4"/>
  <c r="D90" i="4"/>
  <c r="D324" i="4"/>
  <c r="D557" i="4"/>
  <c r="D628" i="4"/>
  <c r="D327" i="4"/>
  <c r="D126" i="4"/>
  <c r="D540" i="4"/>
  <c r="D944" i="4"/>
  <c r="D500" i="4"/>
  <c r="D332" i="4"/>
  <c r="D333" i="4"/>
  <c r="D334" i="4"/>
  <c r="D335" i="4"/>
  <c r="D158" i="4"/>
  <c r="D337" i="4"/>
  <c r="D165" i="4"/>
  <c r="D741" i="4"/>
  <c r="D868" i="4"/>
  <c r="D341" i="4"/>
  <c r="D703" i="4"/>
  <c r="D638" i="4"/>
  <c r="D286" i="4"/>
  <c r="D130" i="4"/>
  <c r="D391" i="4"/>
  <c r="D693" i="4"/>
  <c r="D290" i="4"/>
  <c r="D340" i="4"/>
  <c r="D350" i="4"/>
  <c r="D791" i="4"/>
  <c r="D631" i="4"/>
  <c r="D285" i="4"/>
  <c r="D246" i="4"/>
  <c r="D355" i="4"/>
  <c r="D184" i="4"/>
  <c r="D771" i="4"/>
  <c r="D358" i="4"/>
  <c r="D587" i="4"/>
  <c r="D360" i="4"/>
  <c r="D361" i="4"/>
  <c r="D601" i="4"/>
  <c r="D363" i="4"/>
  <c r="D927" i="4"/>
  <c r="D480" i="4"/>
  <c r="D366" i="4"/>
  <c r="D91" i="4"/>
  <c r="D267" i="4"/>
  <c r="D73" i="4"/>
  <c r="D370" i="4"/>
  <c r="D371" i="4"/>
  <c r="D399" i="4"/>
  <c r="D866" i="4"/>
  <c r="D181" i="4"/>
  <c r="D666" i="4"/>
  <c r="D452" i="4"/>
  <c r="D133" i="4"/>
  <c r="D30" i="4"/>
  <c r="D976" i="4"/>
  <c r="D380" i="4"/>
  <c r="D381" i="4"/>
  <c r="D271" i="4"/>
  <c r="D485" i="4"/>
  <c r="D999" i="4"/>
  <c r="D304" i="4"/>
  <c r="D39" i="4"/>
  <c r="D479" i="4"/>
  <c r="D464" i="4"/>
  <c r="D549" i="4"/>
  <c r="D187" i="4"/>
  <c r="D979" i="4"/>
  <c r="D392" i="4"/>
  <c r="D393" i="4"/>
  <c r="D781" i="4"/>
  <c r="D395" i="4"/>
  <c r="D396" i="4"/>
  <c r="D274" i="4"/>
  <c r="D449" i="4"/>
  <c r="D72" i="4"/>
  <c r="D179" i="4"/>
  <c r="D401" i="4"/>
  <c r="D635" i="4"/>
  <c r="D569" i="4"/>
  <c r="D404" i="4"/>
  <c r="D405" i="4"/>
  <c r="D653" i="4"/>
  <c r="D189" i="4"/>
  <c r="D773" i="4"/>
  <c r="D220" i="4"/>
  <c r="D598" i="4"/>
  <c r="D411" i="4"/>
  <c r="D414" i="4"/>
  <c r="D367" i="4"/>
  <c r="D804" i="4"/>
  <c r="D415" i="4"/>
  <c r="D38" i="4"/>
  <c r="D550" i="4"/>
  <c r="D732" i="4"/>
  <c r="D419" i="4"/>
  <c r="D40" i="4"/>
  <c r="D157" i="4"/>
  <c r="D422" i="4"/>
  <c r="D243" i="4"/>
  <c r="D424" i="4"/>
  <c r="D11" i="4"/>
  <c r="D212" i="4"/>
  <c r="D859" i="4"/>
  <c r="D588" i="4"/>
  <c r="D901" i="4"/>
  <c r="D430" i="4"/>
  <c r="D431" i="4"/>
  <c r="D432" i="4"/>
  <c r="D264" i="4"/>
  <c r="D442" i="4"/>
  <c r="D28" i="4"/>
  <c r="D152" i="4"/>
  <c r="D437" i="4"/>
  <c r="D284" i="4"/>
  <c r="D872" i="4"/>
  <c r="D992" i="4"/>
  <c r="D637" i="4"/>
  <c r="D161" i="4"/>
  <c r="D470" i="4"/>
  <c r="D748" i="4"/>
  <c r="D916" i="4"/>
  <c r="D446" i="4"/>
  <c r="D378" i="4"/>
  <c r="D448" i="4"/>
  <c r="D108" i="4"/>
  <c r="D100" i="4"/>
  <c r="D222" i="4"/>
  <c r="D715" i="4"/>
  <c r="D453" i="4"/>
  <c r="D454" i="4"/>
  <c r="D676" i="4"/>
  <c r="D456" i="4"/>
  <c r="D711" i="4"/>
  <c r="D713" i="4"/>
  <c r="D420" i="4"/>
  <c r="D460" i="4"/>
  <c r="D151" i="4"/>
  <c r="D699" i="4"/>
  <c r="D463" i="4"/>
  <c r="D615" i="4"/>
  <c r="D509" i="4"/>
  <c r="D501" i="4"/>
  <c r="D608" i="4"/>
  <c r="D270" i="4"/>
  <c r="D322" i="4"/>
  <c r="D770" i="4"/>
  <c r="D811" i="4"/>
  <c r="D472" i="4"/>
  <c r="D80" i="4"/>
  <c r="D474" i="4"/>
  <c r="D475" i="4"/>
  <c r="D753" i="4"/>
  <c r="D473" i="4"/>
  <c r="D518" i="4"/>
  <c r="D561" i="4"/>
  <c r="D250" i="4"/>
  <c r="D110" i="4"/>
  <c r="D974" i="4"/>
  <c r="D766" i="4"/>
  <c r="D81" i="4"/>
  <c r="D435" i="4"/>
  <c r="D303" i="4"/>
  <c r="D487" i="4"/>
  <c r="D488" i="4"/>
  <c r="D709" i="4"/>
  <c r="D490" i="4"/>
  <c r="D491" i="4"/>
  <c r="D138" i="4"/>
  <c r="D793" i="4"/>
  <c r="D494" i="4"/>
  <c r="D495" i="4"/>
  <c r="D457" i="4"/>
  <c r="D106" i="4"/>
  <c r="D493" i="4"/>
  <c r="D832" i="4"/>
  <c r="D235" i="4"/>
  <c r="D492" i="4"/>
  <c r="D706" i="4"/>
  <c r="D486" i="4"/>
  <c r="D767" i="4"/>
  <c r="D469" i="4"/>
  <c r="D782" i="4"/>
  <c r="D467" i="4"/>
  <c r="D199" i="4"/>
  <c r="D739" i="4"/>
  <c r="D539" i="4"/>
  <c r="D733" i="4"/>
  <c r="D512" i="4"/>
  <c r="D950" i="4"/>
  <c r="D888" i="4"/>
  <c r="D515" i="4"/>
  <c r="D164" i="4"/>
  <c r="D145" i="4"/>
  <c r="D226" i="4"/>
  <c r="D221" i="4"/>
  <c r="D980" i="4"/>
  <c r="D537" i="4"/>
  <c r="D174" i="4"/>
  <c r="D610" i="4"/>
  <c r="D524" i="4"/>
  <c r="D525" i="4"/>
  <c r="D618" i="4"/>
  <c r="D688" i="4"/>
  <c r="D966" i="4"/>
  <c r="D649" i="4"/>
  <c r="D530" i="4"/>
  <c r="D531" i="4"/>
  <c r="D532" i="4"/>
  <c r="D701" i="4"/>
  <c r="D523" i="4"/>
  <c r="D897" i="4"/>
  <c r="D536" i="4"/>
  <c r="D34" i="4"/>
  <c r="D538" i="4"/>
  <c r="D175" i="4"/>
  <c r="D754" i="4"/>
  <c r="D918" i="4"/>
  <c r="D142" i="4"/>
  <c r="D865" i="4"/>
  <c r="D544" i="4"/>
  <c r="D260" i="4"/>
  <c r="D546" i="4"/>
  <c r="D547" i="4"/>
  <c r="D681" i="4"/>
  <c r="D46" i="4"/>
  <c r="D418" i="4"/>
  <c r="D326" i="4"/>
  <c r="D429" i="4"/>
  <c r="D553" i="4"/>
  <c r="D10" i="4"/>
  <c r="D555" i="4"/>
  <c r="D425" i="4"/>
  <c r="D564" i="4"/>
  <c r="D970" i="4"/>
  <c r="D339" i="4"/>
  <c r="D822" i="4"/>
  <c r="D973" i="4"/>
  <c r="D592" i="4"/>
  <c r="D348" i="4"/>
  <c r="D139" i="4"/>
  <c r="D356" i="4"/>
  <c r="D566" i="4"/>
  <c r="D103" i="4"/>
  <c r="D639" i="4"/>
  <c r="D140" i="4"/>
  <c r="D570" i="4"/>
  <c r="D571" i="4"/>
  <c r="D511" i="4"/>
  <c r="D573" i="4"/>
  <c r="D406" i="4"/>
  <c r="D577" i="4"/>
  <c r="D576" i="4"/>
  <c r="D455" i="4"/>
  <c r="D936" i="4"/>
  <c r="D579" i="4"/>
  <c r="D292" i="4"/>
  <c r="D795" i="4"/>
  <c r="D622" i="4"/>
  <c r="D383" i="4"/>
  <c r="D775" i="4"/>
  <c r="D585" i="4"/>
  <c r="D586" i="4"/>
  <c r="D167" i="4"/>
  <c r="D658" i="4"/>
  <c r="D111" i="4"/>
  <c r="D590" i="4"/>
  <c r="D409" i="4"/>
  <c r="D57" i="4"/>
  <c r="D593" i="4"/>
  <c r="D236" i="4"/>
  <c r="D595" i="4"/>
  <c r="D596" i="4"/>
  <c r="D49" i="4"/>
  <c r="D6" i="4"/>
  <c r="D915" i="4"/>
  <c r="D600" i="4"/>
  <c r="D597" i="4"/>
  <c r="D602" i="4"/>
  <c r="D843" i="4"/>
  <c r="D98" i="4"/>
  <c r="D786" i="4"/>
  <c r="D818" i="4"/>
  <c r="D982" i="4"/>
  <c r="D112" i="4"/>
  <c r="D386" i="4"/>
  <c r="D698" i="4"/>
  <c r="D541" i="4"/>
  <c r="D529" i="4"/>
  <c r="D368" i="4"/>
  <c r="D240" i="4"/>
  <c r="D513" i="4"/>
  <c r="D426" i="4"/>
  <c r="D757" i="4"/>
  <c r="D345" i="4"/>
  <c r="D680" i="4"/>
  <c r="D227" i="4"/>
  <c r="D163" i="4"/>
  <c r="D70" i="4"/>
  <c r="D462" i="4"/>
  <c r="D42" i="4"/>
  <c r="D400" i="4"/>
  <c r="D657" i="4"/>
  <c r="D143" i="4"/>
  <c r="D169" i="4"/>
  <c r="D629" i="4"/>
  <c r="D630" i="4"/>
  <c r="D542" i="4"/>
  <c r="D29" i="4"/>
  <c r="D433" i="4"/>
  <c r="D928" i="4"/>
  <c r="D417" i="4"/>
  <c r="D939" i="4"/>
  <c r="D716" i="4"/>
  <c r="D768" i="4"/>
  <c r="D930" i="4"/>
  <c r="D58" i="4"/>
  <c r="D714" i="4"/>
  <c r="D809" i="4"/>
  <c r="D503" i="4"/>
  <c r="D410" i="4"/>
  <c r="D604" i="4"/>
  <c r="D502" i="4"/>
  <c r="D647" i="4"/>
  <c r="D648" i="4"/>
  <c r="D238" i="4"/>
  <c r="D650" i="4"/>
  <c r="D651" i="4"/>
  <c r="D780" i="4"/>
  <c r="D719" i="4"/>
  <c r="D482" i="4"/>
  <c r="D373" i="4"/>
  <c r="D904" i="4"/>
  <c r="D917" i="4"/>
  <c r="D219" i="4"/>
  <c r="D369" i="4"/>
  <c r="D239" i="4"/>
  <c r="D104" i="4"/>
  <c r="D662" i="4"/>
  <c r="D663" i="4"/>
  <c r="D56" i="4"/>
  <c r="D760" i="4"/>
  <c r="D330" i="4"/>
  <c r="D421" i="4"/>
  <c r="D478" i="4"/>
  <c r="D269" i="4"/>
  <c r="D543" i="4"/>
  <c r="D806" i="4"/>
  <c r="D645" i="4"/>
  <c r="D652" i="4"/>
  <c r="D673" i="4"/>
  <c r="D675" i="4"/>
  <c r="D206" i="4"/>
  <c r="D677" i="4"/>
  <c r="D678" i="4"/>
  <c r="D52" i="4"/>
  <c r="D312" i="4"/>
  <c r="D996" i="4"/>
  <c r="D682" i="4"/>
  <c r="D683" i="4"/>
  <c r="D684" i="4"/>
  <c r="D685" i="4"/>
  <c r="D686" i="4"/>
  <c r="D41" i="4"/>
  <c r="D535" i="4"/>
  <c r="D2" i="4"/>
  <c r="D690" i="4"/>
  <c r="D691" i="4"/>
  <c r="D194" i="4"/>
  <c r="D581" i="4"/>
  <c r="D854" i="4"/>
  <c r="D695" i="4"/>
  <c r="D696" i="4"/>
  <c r="D721" i="4"/>
  <c r="D253" i="4"/>
  <c r="D877" i="4"/>
  <c r="D824" i="4"/>
  <c r="D943" i="4"/>
  <c r="D808" i="4"/>
  <c r="D764" i="4"/>
  <c r="D704" i="4"/>
  <c r="D310" i="4"/>
  <c r="D522" i="4"/>
  <c r="D774" i="4"/>
  <c r="D860" i="4"/>
  <c r="D736" i="4"/>
  <c r="D428" i="4"/>
  <c r="D300" i="4"/>
  <c r="D712" i="4"/>
  <c r="D375" i="4"/>
  <c r="D642" i="4"/>
  <c r="D857" i="4"/>
  <c r="D83" i="4"/>
  <c r="D717" i="4"/>
  <c r="D718" i="4"/>
  <c r="D812" i="4"/>
  <c r="D819" i="4"/>
  <c r="D665" i="4"/>
  <c r="D63" i="4"/>
  <c r="D385" i="4"/>
  <c r="D792" i="4"/>
  <c r="D903" i="4"/>
  <c r="D505" i="4"/>
  <c r="D727" i="4"/>
  <c r="D823" i="4"/>
  <c r="D729" i="4"/>
  <c r="D730" i="4"/>
  <c r="D655" i="4"/>
  <c r="D242" i="4"/>
  <c r="D864" i="4"/>
  <c r="D734" i="4"/>
  <c r="D735" i="4"/>
  <c r="D248" i="4"/>
  <c r="D201" i="4"/>
  <c r="D738" i="4"/>
  <c r="D905" i="4"/>
  <c r="D722" i="4"/>
  <c r="D867" i="4"/>
  <c r="D627" i="4"/>
  <c r="D959" i="4"/>
  <c r="D878" i="4"/>
  <c r="D53" i="4"/>
  <c r="D679" i="4"/>
  <c r="D668" i="4"/>
  <c r="D191" i="4"/>
  <c r="D769" i="4"/>
  <c r="D910" i="4"/>
  <c r="D751" i="4"/>
  <c r="D752" i="4"/>
  <c r="D135" i="4"/>
  <c r="D606" i="4"/>
  <c r="D195" i="4"/>
  <c r="D620" i="4"/>
  <c r="D616" i="4"/>
  <c r="D517" i="4"/>
  <c r="D759" i="4"/>
  <c r="D886" i="4"/>
  <c r="D507" i="4"/>
  <c r="D660" i="4"/>
  <c r="D763" i="4"/>
  <c r="D278" i="4"/>
  <c r="D150" i="4"/>
  <c r="D737" i="4"/>
  <c r="D353" i="4"/>
  <c r="D659" i="4"/>
  <c r="D834" i="4"/>
  <c r="D5" i="4"/>
  <c r="D758" i="4"/>
  <c r="D726" i="4"/>
  <c r="D749" i="4"/>
  <c r="D99" i="4"/>
  <c r="D750" i="4"/>
  <c r="D776" i="4"/>
  <c r="D82" i="4"/>
  <c r="D778" i="4"/>
  <c r="D779" i="4"/>
  <c r="D412" i="4"/>
  <c r="D476" i="4"/>
  <c r="D387" i="4"/>
  <c r="D338" i="4"/>
  <c r="D611" i="4"/>
  <c r="D772" i="4"/>
  <c r="D344" i="4"/>
  <c r="D147" i="4"/>
  <c r="D788" i="4"/>
  <c r="D789" i="4"/>
  <c r="D200" i="4"/>
  <c r="D948" i="4"/>
  <c r="D36" i="4"/>
  <c r="D466" i="4"/>
  <c r="D858" i="4"/>
  <c r="D594" i="4"/>
  <c r="D153" i="4"/>
  <c r="D797" i="4"/>
  <c r="D798" i="4"/>
  <c r="D640" i="4"/>
  <c r="D800" i="4"/>
  <c r="D499" i="4"/>
  <c r="D731" i="4"/>
  <c r="D725" i="4"/>
  <c r="D644" i="4"/>
  <c r="D805" i="4"/>
  <c r="D671" i="4"/>
  <c r="D807" i="4"/>
  <c r="D533" i="4"/>
  <c r="D613" i="4"/>
  <c r="D584" i="4"/>
  <c r="D447" i="4"/>
  <c r="D364" i="4"/>
  <c r="D831" i="4"/>
  <c r="D814" i="4"/>
  <c r="D968" i="4"/>
  <c r="D816" i="4"/>
  <c r="D591" i="4"/>
  <c r="D213" i="4"/>
  <c r="D742" i="4"/>
  <c r="D31" i="4"/>
  <c r="D746" i="4"/>
  <c r="D967" i="4"/>
  <c r="D971" i="4"/>
  <c r="D519" i="4"/>
  <c r="D825" i="4"/>
  <c r="D826" i="4"/>
  <c r="D319" i="4"/>
  <c r="D828" i="4"/>
  <c r="D634" i="4"/>
  <c r="D830" i="4"/>
  <c r="D450" i="4"/>
  <c r="D969" i="4"/>
  <c r="D833" i="4"/>
  <c r="D229" i="4"/>
  <c r="D745" i="4"/>
  <c r="D836" i="4"/>
  <c r="D481" i="4"/>
  <c r="D803" i="4"/>
  <c r="D920" i="4"/>
  <c r="D840" i="4"/>
  <c r="D756" i="4"/>
  <c r="D842" i="4"/>
  <c r="D407" i="4"/>
  <c r="D504" i="4"/>
  <c r="D845" i="4"/>
  <c r="D75" i="4"/>
  <c r="D563" i="4"/>
  <c r="D205" i="4"/>
  <c r="D113" i="4"/>
  <c r="D850" i="4"/>
  <c r="D461" i="4"/>
  <c r="D434" i="4"/>
  <c r="D853" i="4"/>
  <c r="D15" i="4"/>
  <c r="D855" i="4"/>
  <c r="D625" i="4"/>
  <c r="D815" i="4"/>
  <c r="D136" i="4"/>
  <c r="D202" i="4"/>
  <c r="D331" i="4"/>
  <c r="D177" i="4"/>
  <c r="D862" i="4"/>
  <c r="D863" i="4"/>
  <c r="D159" i="4"/>
  <c r="D215" i="4"/>
  <c r="D907" i="4"/>
  <c r="D963" i="4"/>
  <c r="D646" i="4"/>
  <c r="D451" i="4"/>
  <c r="D870" i="4"/>
  <c r="D871" i="4"/>
  <c r="D528" i="4"/>
  <c r="D873" i="4"/>
  <c r="D895" i="4"/>
  <c r="D408" i="4"/>
  <c r="D876" i="4"/>
  <c r="D50" i="4"/>
  <c r="D603" i="4"/>
  <c r="D777" i="4"/>
  <c r="D998" i="4"/>
  <c r="D881" i="4"/>
  <c r="D882" i="4"/>
  <c r="D986" i="4"/>
  <c r="D884" i="4"/>
  <c r="D44" i="4"/>
  <c r="D984" i="4"/>
  <c r="D887" i="4"/>
  <c r="D305" i="4"/>
  <c r="D9" i="4"/>
  <c r="D389" i="4"/>
  <c r="D626" i="4"/>
  <c r="D892" i="4"/>
  <c r="D893" i="4"/>
  <c r="D321" i="4"/>
  <c r="D178" i="4"/>
  <c r="D896" i="4"/>
  <c r="D352" i="4"/>
  <c r="D188" i="4"/>
  <c r="D183" i="4"/>
  <c r="D171" i="4"/>
  <c r="D105" i="4"/>
  <c r="D965" i="4"/>
  <c r="D672" i="4"/>
  <c r="D661" i="4"/>
  <c r="D141" i="4"/>
  <c r="D489" i="4"/>
  <c r="D27" i="4"/>
  <c r="D909" i="4"/>
  <c r="D977" i="4"/>
  <c r="D710" i="4"/>
  <c r="D911" i="4"/>
  <c r="D912" i="4"/>
  <c r="D913" i="4"/>
  <c r="D24" i="4"/>
  <c r="D343" i="4"/>
  <c r="D388" i="4"/>
  <c r="D230" i="4"/>
  <c r="D844" i="4"/>
  <c r="D919" i="4"/>
  <c r="D790" i="4"/>
  <c r="D921" i="4"/>
  <c r="D890" i="4"/>
  <c r="D923" i="4"/>
  <c r="D924" i="4"/>
  <c r="D443" i="4"/>
  <c r="D810" i="4"/>
  <c r="D926" i="4"/>
  <c r="D510" i="4"/>
  <c r="D384" i="4"/>
  <c r="D506" i="4"/>
  <c r="D349" i="4"/>
  <c r="D612" i="4"/>
  <c r="D933" i="4"/>
  <c r="D934" i="4"/>
  <c r="D981" i="4"/>
  <c r="D374" i="4"/>
  <c r="D702" i="4"/>
  <c r="D670" i="4"/>
  <c r="D902" i="4"/>
  <c r="D851" i="4"/>
  <c r="D941" i="4"/>
  <c r="D272" i="4"/>
  <c r="D636" i="4"/>
  <c r="D520" i="4"/>
  <c r="D700" i="4"/>
  <c r="D946" i="4"/>
  <c r="D947" i="4"/>
  <c r="D692" i="4"/>
  <c r="D945" i="4"/>
  <c r="D444" i="4"/>
  <c r="D951" i="4"/>
  <c r="D827" i="4"/>
  <c r="D953" i="4"/>
  <c r="D835" i="4"/>
  <c r="D376" i="4"/>
  <c r="D956" i="4"/>
  <c r="D957" i="4"/>
  <c r="D301" i="4"/>
  <c r="D641" i="4"/>
  <c r="D245" i="4"/>
  <c r="D468" i="4"/>
  <c r="D962" i="4"/>
  <c r="D47" i="4"/>
  <c r="D964" i="4"/>
  <c r="D674" i="4"/>
  <c r="D560" i="4"/>
  <c r="D76" i="4"/>
  <c r="D336" i="4"/>
  <c r="D173" i="4"/>
  <c r="D619" i="4"/>
  <c r="D190" i="4"/>
  <c r="D972" i="4"/>
  <c r="D149" i="4"/>
  <c r="D667" i="4"/>
  <c r="D273" i="4"/>
  <c r="D551" i="4"/>
  <c r="D403" i="4"/>
  <c r="D477" i="4"/>
  <c r="D439" i="4"/>
  <c r="D847" i="4"/>
  <c r="D765" i="4"/>
  <c r="D875" i="4"/>
  <c r="D599" i="4"/>
  <c r="D351" i="4"/>
  <c r="D985" i="4"/>
  <c r="D821" i="4"/>
  <c r="D987" i="4"/>
  <c r="D988" i="4"/>
  <c r="D989" i="4"/>
  <c r="D413" i="4"/>
  <c r="D991" i="4"/>
  <c r="D562" i="4"/>
  <c r="D993" i="4"/>
  <c r="D898" i="4"/>
  <c r="D995" i="4"/>
  <c r="D86" i="4"/>
  <c r="D787" i="4"/>
  <c r="D942" i="4"/>
  <c r="D689" i="4"/>
  <c r="D1000" i="4"/>
  <c r="D1001" i="4"/>
  <c r="E436" i="4"/>
  <c r="C362" i="4"/>
  <c r="D436" i="4"/>
  <c r="C436" i="4"/>
  <c r="B906" i="4"/>
  <c r="B4" i="4"/>
  <c r="B552" i="4"/>
  <c r="B125" i="4"/>
  <c r="B7" i="4"/>
  <c r="B846" i="4"/>
  <c r="B534" i="4"/>
  <c r="B362" i="4"/>
  <c r="B931" i="4"/>
  <c r="B12" i="4"/>
  <c r="B940" i="4"/>
  <c r="B59" i="4"/>
  <c r="B398" i="4"/>
  <c r="B16" i="4"/>
  <c r="B17" i="4"/>
  <c r="B277" i="4"/>
  <c r="B19" i="4"/>
  <c r="B20" i="4"/>
  <c r="B869" i="4"/>
  <c r="B879" i="4"/>
  <c r="B23" i="4"/>
  <c r="B129" i="4"/>
  <c r="B25" i="4"/>
  <c r="B26" i="4"/>
  <c r="B937" i="4"/>
  <c r="B359" i="4"/>
  <c r="B211" i="4"/>
  <c r="B276" i="4"/>
  <c r="B707" i="4"/>
  <c r="B32" i="4"/>
  <c r="B33" i="4"/>
  <c r="B302" i="4"/>
  <c r="B35" i="4"/>
  <c r="B785" i="4"/>
  <c r="B37" i="4"/>
  <c r="B275" i="4"/>
  <c r="B852" i="4"/>
  <c r="B914" i="4"/>
  <c r="B925" i="4"/>
  <c r="B377" i="4"/>
  <c r="B43" i="4"/>
  <c r="B51" i="4"/>
  <c r="B168" i="4"/>
  <c r="B582" i="4"/>
  <c r="B997" i="4"/>
  <c r="B48" i="4"/>
  <c r="B580" i="4"/>
  <c r="B521" i="4"/>
  <c r="B289" i="4"/>
  <c r="B669" i="4"/>
  <c r="B459" i="4"/>
  <c r="B54" i="4"/>
  <c r="B55" i="4"/>
  <c r="B848" i="4"/>
  <c r="B548" i="4"/>
  <c r="B60" i="4"/>
  <c r="B994" i="4"/>
  <c r="B87" i="4"/>
  <c r="B61" i="4"/>
  <c r="B62" i="4"/>
  <c r="B607" i="4"/>
  <c r="B64" i="4"/>
  <c r="B65" i="4"/>
  <c r="B66" i="4"/>
  <c r="B67" i="4"/>
  <c r="B68" i="4"/>
  <c r="B69" i="4"/>
  <c r="B192" i="4"/>
  <c r="B114" i="4"/>
  <c r="B186" i="4"/>
  <c r="B705" i="4"/>
  <c r="B74" i="4"/>
  <c r="B728" i="4"/>
  <c r="B170" i="4"/>
  <c r="B438" i="4"/>
  <c r="B78" i="4"/>
  <c r="B357" i="4"/>
  <c r="B137" i="4"/>
  <c r="B3" i="4"/>
  <c r="B307" i="4"/>
  <c r="B899" i="4"/>
  <c r="B84" i="4"/>
  <c r="B85" i="4"/>
  <c r="B207" i="4"/>
  <c r="B900" i="4"/>
  <c r="B88" i="4"/>
  <c r="B89" i="4"/>
  <c r="B166" i="4"/>
  <c r="B288" i="4"/>
  <c r="B92" i="4"/>
  <c r="B77" i="4"/>
  <c r="B94" i="4"/>
  <c r="B761" i="4"/>
  <c r="B296" i="4"/>
  <c r="B783" i="4"/>
  <c r="B223" i="4"/>
  <c r="B643" i="4"/>
  <c r="B117" i="4"/>
  <c r="B101" i="4"/>
  <c r="B102" i="4"/>
  <c r="B632" i="4"/>
  <c r="B185" i="4"/>
  <c r="B496" i="4"/>
  <c r="B802" i="4"/>
  <c r="B107" i="4"/>
  <c r="B697" i="4"/>
  <c r="B71" i="4"/>
  <c r="B623" i="4"/>
  <c r="B471" i="4"/>
  <c r="B567" i="4"/>
  <c r="B95" i="4"/>
  <c r="B402" i="4"/>
  <c r="B115" i="4"/>
  <c r="B116" i="4"/>
  <c r="B724" i="4"/>
  <c r="B960" i="4"/>
  <c r="B119" i="4"/>
  <c r="B120" i="4"/>
  <c r="B949" i="4"/>
  <c r="B122" i="4"/>
  <c r="B123" i="4"/>
  <c r="B861" i="4"/>
  <c r="B283" i="4"/>
  <c r="B755" i="4"/>
  <c r="B762" i="4"/>
  <c r="B128" i="4"/>
  <c r="B465" i="4"/>
  <c r="B545" i="4"/>
  <c r="B799" i="4"/>
  <c r="B132" i="4"/>
  <c r="B664" i="4"/>
  <c r="B134" i="4"/>
  <c r="B93" i="4"/>
  <c r="B694" i="4"/>
  <c r="B13" i="4"/>
  <c r="B237" i="4"/>
  <c r="B416" i="4"/>
  <c r="B559" i="4"/>
  <c r="B144" i="4"/>
  <c r="B346" i="4"/>
  <c r="B605" i="4"/>
  <c r="B18" i="4"/>
  <c r="B256" i="4"/>
  <c r="B146" i="4"/>
  <c r="B565" i="4"/>
  <c r="B148" i="4"/>
  <c r="B262" i="4"/>
  <c r="B79" i="4"/>
  <c r="B484" i="4"/>
  <c r="B45" i="4"/>
  <c r="B516" i="4"/>
  <c r="B154" i="4"/>
  <c r="B155" i="4"/>
  <c r="B156" i="4"/>
  <c r="B280" i="4"/>
  <c r="B838" i="4"/>
  <c r="B22" i="4"/>
  <c r="B160" i="4"/>
  <c r="B180" i="4"/>
  <c r="B162" i="4"/>
  <c r="B315" i="4"/>
  <c r="B427" i="4"/>
  <c r="B254" i="4"/>
  <c r="B880" i="4"/>
  <c r="B526" i="4"/>
  <c r="B572" i="4"/>
  <c r="B347" i="4"/>
  <c r="B176" i="4"/>
  <c r="B96" i="4"/>
  <c r="B172" i="4"/>
  <c r="B342" i="4"/>
  <c r="B849" i="4"/>
  <c r="B266" i="4"/>
  <c r="B624" i="4"/>
  <c r="B889" i="4"/>
  <c r="B687" i="4"/>
  <c r="B747" i="4"/>
  <c r="B874" i="4"/>
  <c r="B817" i="4"/>
  <c r="B182" i="4"/>
  <c r="B829" i="4"/>
  <c r="B558" i="4"/>
  <c r="B720" i="4"/>
  <c r="B952" i="4"/>
  <c r="B21" i="4"/>
  <c r="B955" i="4"/>
  <c r="B497" i="4"/>
  <c r="B978" i="4"/>
  <c r="B423" i="4"/>
  <c r="B578" i="4"/>
  <c r="B193" i="4"/>
  <c r="B841" i="4"/>
  <c r="B938" i="4"/>
  <c r="B196" i="4"/>
  <c r="B197" i="4"/>
  <c r="B198" i="4"/>
  <c r="B839" i="4"/>
  <c r="B365" i="4"/>
  <c r="B458" i="4"/>
  <c r="B121" i="4"/>
  <c r="B299" i="4"/>
  <c r="B204" i="4"/>
  <c r="B397" i="4"/>
  <c r="B14" i="4"/>
  <c r="B554" i="4"/>
  <c r="B208" i="4"/>
  <c r="B209" i="4"/>
  <c r="B210" i="4"/>
  <c r="B654" i="4"/>
  <c r="B445" i="4"/>
  <c r="B218" i="4"/>
  <c r="B954" i="4"/>
  <c r="B217" i="4"/>
  <c r="B216" i="4"/>
  <c r="B394" i="4"/>
  <c r="B379" i="4"/>
  <c r="B124" i="4"/>
  <c r="B203" i="4"/>
  <c r="B885" i="4"/>
  <c r="B382" i="4"/>
  <c r="B723" i="4"/>
  <c r="B224" i="4"/>
  <c r="B589" i="4"/>
  <c r="B556" i="4"/>
  <c r="B656" i="4"/>
  <c r="B228" i="4"/>
  <c r="B958" i="4"/>
  <c r="B127" i="4"/>
  <c r="B293" i="4"/>
  <c r="B232" i="4"/>
  <c r="B233" i="4"/>
  <c r="B932" i="4"/>
  <c r="B621" i="4"/>
  <c r="B118" i="4"/>
  <c r="B908" i="4"/>
  <c r="B813" i="4"/>
  <c r="B214" i="4"/>
  <c r="B743" i="4"/>
  <c r="B241" i="4"/>
  <c r="B894" i="4"/>
  <c r="B633" i="4"/>
  <c r="B244" i="4"/>
  <c r="B794" i="4"/>
  <c r="B328" i="4"/>
  <c r="B856" i="4"/>
  <c r="B614" i="4"/>
  <c r="B935" i="4"/>
  <c r="B390" i="4"/>
  <c r="B251" i="4"/>
  <c r="B252" i="4"/>
  <c r="B287" i="4"/>
  <c r="B354" i="4"/>
  <c r="B255" i="4"/>
  <c r="B97" i="4"/>
  <c r="B257" i="4"/>
  <c r="B258" i="4"/>
  <c r="B259" i="4"/>
  <c r="B234" i="4"/>
  <c r="B261" i="4"/>
  <c r="B975" i="4"/>
  <c r="B263" i="4"/>
  <c r="B508" i="4"/>
  <c r="B265" i="4"/>
  <c r="B247" i="4"/>
  <c r="B708" i="4"/>
  <c r="B268" i="4"/>
  <c r="B574" i="4"/>
  <c r="B990" i="4"/>
  <c r="B796" i="4"/>
  <c r="B784" i="4"/>
  <c r="B440" i="4"/>
  <c r="B294" i="4"/>
  <c r="B744" i="4"/>
  <c r="B329" i="4"/>
  <c r="B891" i="4"/>
  <c r="B983" i="4"/>
  <c r="B279" i="4"/>
  <c r="B883" i="4"/>
  <c r="B281" i="4"/>
  <c r="B282" i="4"/>
  <c r="B922" i="4"/>
  <c r="B801" i="4"/>
  <c r="B109" i="4"/>
  <c r="B8" i="4"/>
  <c r="B325" i="4"/>
  <c r="B527" i="4"/>
  <c r="B609" i="4"/>
  <c r="B295" i="4"/>
  <c r="B291" i="4"/>
  <c r="B514" i="4"/>
  <c r="B740" i="4"/>
  <c r="B929" i="4"/>
  <c r="B225" i="4"/>
  <c r="B483" i="4"/>
  <c r="B297" i="4"/>
  <c r="B298" i="4"/>
  <c r="B820" i="4"/>
  <c r="B575" i="4"/>
  <c r="B131" i="4"/>
  <c r="B249" i="4"/>
  <c r="B441" i="4"/>
  <c r="B498" i="4"/>
  <c r="B583" i="4"/>
  <c r="B306" i="4"/>
  <c r="B372" i="4"/>
  <c r="B308" i="4"/>
  <c r="B309" i="4"/>
  <c r="B617" i="4"/>
  <c r="B311" i="4"/>
  <c r="B961" i="4"/>
  <c r="B313" i="4"/>
  <c r="B314" i="4"/>
  <c r="B837" i="4"/>
  <c r="B316" i="4"/>
  <c r="B317" i="4"/>
  <c r="B318" i="4"/>
  <c r="B323" i="4"/>
  <c r="B320" i="4"/>
  <c r="B231" i="4"/>
  <c r="B568" i="4"/>
  <c r="B90" i="4"/>
  <c r="B324" i="4"/>
  <c r="B557" i="4"/>
  <c r="B628" i="4"/>
  <c r="B327" i="4"/>
  <c r="B126" i="4"/>
  <c r="B540" i="4"/>
  <c r="B944" i="4"/>
  <c r="B500" i="4"/>
  <c r="B332" i="4"/>
  <c r="B333" i="4"/>
  <c r="B334" i="4"/>
  <c r="B335" i="4"/>
  <c r="B158" i="4"/>
  <c r="B337" i="4"/>
  <c r="B165" i="4"/>
  <c r="B741" i="4"/>
  <c r="B868" i="4"/>
  <c r="B341" i="4"/>
  <c r="B703" i="4"/>
  <c r="B638" i="4"/>
  <c r="B286" i="4"/>
  <c r="B130" i="4"/>
  <c r="B391" i="4"/>
  <c r="B693" i="4"/>
  <c r="B290" i="4"/>
  <c r="B340" i="4"/>
  <c r="B350" i="4"/>
  <c r="B791" i="4"/>
  <c r="B631" i="4"/>
  <c r="B285" i="4"/>
  <c r="B246" i="4"/>
  <c r="B355" i="4"/>
  <c r="B184" i="4"/>
  <c r="B771" i="4"/>
  <c r="B358" i="4"/>
  <c r="B587" i="4"/>
  <c r="B360" i="4"/>
  <c r="B361" i="4"/>
  <c r="B601" i="4"/>
  <c r="B363" i="4"/>
  <c r="B927" i="4"/>
  <c r="B480" i="4"/>
  <c r="B366" i="4"/>
  <c r="B91" i="4"/>
  <c r="B267" i="4"/>
  <c r="B73" i="4"/>
  <c r="B370" i="4"/>
  <c r="B371" i="4"/>
  <c r="B399" i="4"/>
  <c r="B866" i="4"/>
  <c r="B181" i="4"/>
  <c r="B666" i="4"/>
  <c r="B452" i="4"/>
  <c r="B133" i="4"/>
  <c r="B30" i="4"/>
  <c r="B976" i="4"/>
  <c r="B380" i="4"/>
  <c r="B381" i="4"/>
  <c r="B271" i="4"/>
  <c r="B485" i="4"/>
  <c r="B999" i="4"/>
  <c r="B304" i="4"/>
  <c r="B39" i="4"/>
  <c r="B479" i="4"/>
  <c r="B464" i="4"/>
  <c r="B549" i="4"/>
  <c r="B187" i="4"/>
  <c r="B979" i="4"/>
  <c r="B392" i="4"/>
  <c r="B393" i="4"/>
  <c r="B781" i="4"/>
  <c r="B395" i="4"/>
  <c r="B396" i="4"/>
  <c r="B274" i="4"/>
  <c r="B449" i="4"/>
  <c r="B72" i="4"/>
  <c r="B179" i="4"/>
  <c r="B401" i="4"/>
  <c r="B635" i="4"/>
  <c r="B569" i="4"/>
  <c r="B404" i="4"/>
  <c r="B405" i="4"/>
  <c r="B653" i="4"/>
  <c r="B189" i="4"/>
  <c r="B773" i="4"/>
  <c r="B220" i="4"/>
  <c r="B598" i="4"/>
  <c r="B411" i="4"/>
  <c r="B414" i="4"/>
  <c r="B367" i="4"/>
  <c r="B804" i="4"/>
  <c r="B415" i="4"/>
  <c r="B38" i="4"/>
  <c r="B550" i="4"/>
  <c r="B732" i="4"/>
  <c r="B419" i="4"/>
  <c r="B40" i="4"/>
  <c r="B157" i="4"/>
  <c r="B422" i="4"/>
  <c r="B243" i="4"/>
  <c r="B424" i="4"/>
  <c r="B11" i="4"/>
  <c r="B212" i="4"/>
  <c r="B859" i="4"/>
  <c r="B588" i="4"/>
  <c r="B901" i="4"/>
  <c r="B430" i="4"/>
  <c r="B431" i="4"/>
  <c r="B432" i="4"/>
  <c r="B264" i="4"/>
  <c r="B442" i="4"/>
  <c r="B28" i="4"/>
  <c r="B152" i="4"/>
  <c r="B437" i="4"/>
  <c r="B284" i="4"/>
  <c r="B872" i="4"/>
  <c r="B992" i="4"/>
  <c r="B637" i="4"/>
  <c r="B161" i="4"/>
  <c r="B470" i="4"/>
  <c r="B748" i="4"/>
  <c r="B916" i="4"/>
  <c r="B446" i="4"/>
  <c r="B378" i="4"/>
  <c r="B448" i="4"/>
  <c r="B108" i="4"/>
  <c r="B100" i="4"/>
  <c r="B222" i="4"/>
  <c r="B715" i="4"/>
  <c r="B453" i="4"/>
  <c r="B454" i="4"/>
  <c r="B676" i="4"/>
  <c r="B456" i="4"/>
  <c r="B711" i="4"/>
  <c r="B713" i="4"/>
  <c r="B420" i="4"/>
  <c r="B460" i="4"/>
  <c r="B151" i="4"/>
  <c r="B699" i="4"/>
  <c r="B463" i="4"/>
  <c r="B615" i="4"/>
  <c r="B509" i="4"/>
  <c r="B501" i="4"/>
  <c r="B608" i="4"/>
  <c r="B270" i="4"/>
  <c r="B322" i="4"/>
  <c r="B770" i="4"/>
  <c r="B811" i="4"/>
  <c r="B472" i="4"/>
  <c r="B80" i="4"/>
  <c r="B474" i="4"/>
  <c r="B475" i="4"/>
  <c r="B753" i="4"/>
  <c r="B473" i="4"/>
  <c r="B518" i="4"/>
  <c r="B561" i="4"/>
  <c r="B250" i="4"/>
  <c r="B110" i="4"/>
  <c r="B974" i="4"/>
  <c r="B766" i="4"/>
  <c r="B81" i="4"/>
  <c r="B435" i="4"/>
  <c r="B303" i="4"/>
  <c r="B487" i="4"/>
  <c r="B488" i="4"/>
  <c r="B709" i="4"/>
  <c r="B490" i="4"/>
  <c r="B491" i="4"/>
  <c r="B138" i="4"/>
  <c r="B793" i="4"/>
  <c r="B494" i="4"/>
  <c r="B495" i="4"/>
  <c r="B457" i="4"/>
  <c r="B106" i="4"/>
  <c r="B493" i="4"/>
  <c r="B832" i="4"/>
  <c r="B235" i="4"/>
  <c r="B492" i="4"/>
  <c r="B706" i="4"/>
  <c r="B486" i="4"/>
  <c r="B767" i="4"/>
  <c r="B469" i="4"/>
  <c r="B782" i="4"/>
  <c r="B467" i="4"/>
  <c r="B199" i="4"/>
  <c r="B739" i="4"/>
  <c r="B539" i="4"/>
  <c r="B733" i="4"/>
  <c r="B512" i="4"/>
  <c r="B950" i="4"/>
  <c r="B888" i="4"/>
  <c r="B515" i="4"/>
  <c r="B164" i="4"/>
  <c r="B145" i="4"/>
  <c r="B226" i="4"/>
  <c r="B221" i="4"/>
  <c r="B980" i="4"/>
  <c r="B537" i="4"/>
  <c r="B174" i="4"/>
  <c r="B610" i="4"/>
  <c r="B524" i="4"/>
  <c r="B525" i="4"/>
  <c r="B618" i="4"/>
  <c r="B688" i="4"/>
  <c r="B966" i="4"/>
  <c r="B649" i="4"/>
  <c r="B530" i="4"/>
  <c r="B531" i="4"/>
  <c r="B532" i="4"/>
  <c r="B701" i="4"/>
  <c r="B523" i="4"/>
  <c r="B897" i="4"/>
  <c r="B536" i="4"/>
  <c r="B34" i="4"/>
  <c r="B538" i="4"/>
  <c r="B175" i="4"/>
  <c r="B754" i="4"/>
  <c r="B918" i="4"/>
  <c r="B142" i="4"/>
  <c r="B865" i="4"/>
  <c r="B544" i="4"/>
  <c r="B260" i="4"/>
  <c r="B546" i="4"/>
  <c r="B547" i="4"/>
  <c r="B681" i="4"/>
  <c r="B46" i="4"/>
  <c r="B418" i="4"/>
  <c r="B326" i="4"/>
  <c r="B429" i="4"/>
  <c r="B553" i="4"/>
  <c r="B10" i="4"/>
  <c r="B555" i="4"/>
  <c r="B425" i="4"/>
  <c r="B564" i="4"/>
  <c r="B970" i="4"/>
  <c r="B339" i="4"/>
  <c r="B822" i="4"/>
  <c r="B973" i="4"/>
  <c r="B592" i="4"/>
  <c r="B348" i="4"/>
  <c r="B139" i="4"/>
  <c r="B356" i="4"/>
  <c r="B566" i="4"/>
  <c r="B103" i="4"/>
  <c r="B639" i="4"/>
  <c r="B140" i="4"/>
  <c r="B570" i="4"/>
  <c r="B571" i="4"/>
  <c r="B511" i="4"/>
  <c r="B573" i="4"/>
  <c r="B406" i="4"/>
  <c r="B577" i="4"/>
  <c r="B576" i="4"/>
  <c r="B455" i="4"/>
  <c r="B936" i="4"/>
  <c r="B579" i="4"/>
  <c r="B292" i="4"/>
  <c r="B795" i="4"/>
  <c r="B622" i="4"/>
  <c r="B383" i="4"/>
  <c r="B775" i="4"/>
  <c r="B585" i="4"/>
  <c r="B586" i="4"/>
  <c r="B167" i="4"/>
  <c r="B658" i="4"/>
  <c r="B111" i="4"/>
  <c r="B590" i="4"/>
  <c r="B409" i="4"/>
  <c r="B57" i="4"/>
  <c r="B593" i="4"/>
  <c r="B236" i="4"/>
  <c r="B595" i="4"/>
  <c r="B596" i="4"/>
  <c r="B49" i="4"/>
  <c r="B6" i="4"/>
  <c r="B915" i="4"/>
  <c r="B600" i="4"/>
  <c r="B597" i="4"/>
  <c r="B602" i="4"/>
  <c r="B843" i="4"/>
  <c r="B98" i="4"/>
  <c r="B786" i="4"/>
  <c r="B818" i="4"/>
  <c r="B982" i="4"/>
  <c r="B112" i="4"/>
  <c r="B386" i="4"/>
  <c r="B698" i="4"/>
  <c r="B541" i="4"/>
  <c r="B529" i="4"/>
  <c r="B368" i="4"/>
  <c r="B240" i="4"/>
  <c r="B513" i="4"/>
  <c r="B426" i="4"/>
  <c r="B757" i="4"/>
  <c r="B345" i="4"/>
  <c r="B680" i="4"/>
  <c r="B227" i="4"/>
  <c r="B163" i="4"/>
  <c r="B70" i="4"/>
  <c r="B462" i="4"/>
  <c r="B42" i="4"/>
  <c r="B400" i="4"/>
  <c r="B657" i="4"/>
  <c r="B143" i="4"/>
  <c r="B169" i="4"/>
  <c r="B629" i="4"/>
  <c r="B630" i="4"/>
  <c r="B542" i="4"/>
  <c r="B29" i="4"/>
  <c r="B433" i="4"/>
  <c r="B928" i="4"/>
  <c r="B417" i="4"/>
  <c r="B939" i="4"/>
  <c r="B716" i="4"/>
  <c r="B768" i="4"/>
  <c r="B930" i="4"/>
  <c r="B58" i="4"/>
  <c r="B714" i="4"/>
  <c r="B809" i="4"/>
  <c r="B503" i="4"/>
  <c r="B410" i="4"/>
  <c r="B604" i="4"/>
  <c r="B502" i="4"/>
  <c r="B647" i="4"/>
  <c r="B648" i="4"/>
  <c r="B238" i="4"/>
  <c r="B650" i="4"/>
  <c r="B651" i="4"/>
  <c r="B780" i="4"/>
  <c r="B719" i="4"/>
  <c r="B482" i="4"/>
  <c r="B373" i="4"/>
  <c r="B904" i="4"/>
  <c r="B917" i="4"/>
  <c r="B219" i="4"/>
  <c r="B369" i="4"/>
  <c r="B239" i="4"/>
  <c r="B104" i="4"/>
  <c r="B662" i="4"/>
  <c r="B663" i="4"/>
  <c r="B56" i="4"/>
  <c r="B760" i="4"/>
  <c r="B330" i="4"/>
  <c r="B421" i="4"/>
  <c r="B478" i="4"/>
  <c r="B269" i="4"/>
  <c r="B543" i="4"/>
  <c r="B806" i="4"/>
  <c r="B645" i="4"/>
  <c r="B652" i="4"/>
  <c r="B673" i="4"/>
  <c r="B675" i="4"/>
  <c r="B206" i="4"/>
  <c r="B677" i="4"/>
  <c r="B678" i="4"/>
  <c r="B52" i="4"/>
  <c r="B312" i="4"/>
  <c r="B996" i="4"/>
  <c r="B682" i="4"/>
  <c r="B683" i="4"/>
  <c r="B684" i="4"/>
  <c r="B685" i="4"/>
  <c r="B686" i="4"/>
  <c r="B41" i="4"/>
  <c r="B535" i="4"/>
  <c r="B2" i="4"/>
  <c r="B690" i="4"/>
  <c r="B691" i="4"/>
  <c r="B194" i="4"/>
  <c r="B581" i="4"/>
  <c r="B854" i="4"/>
  <c r="B695" i="4"/>
  <c r="B696" i="4"/>
  <c r="B721" i="4"/>
  <c r="B253" i="4"/>
  <c r="B877" i="4"/>
  <c r="B824" i="4"/>
  <c r="B943" i="4"/>
  <c r="B808" i="4"/>
  <c r="B764" i="4"/>
  <c r="B704" i="4"/>
  <c r="B310" i="4"/>
  <c r="B522" i="4"/>
  <c r="B774" i="4"/>
  <c r="B860" i="4"/>
  <c r="B736" i="4"/>
  <c r="B428" i="4"/>
  <c r="B300" i="4"/>
  <c r="B712" i="4"/>
  <c r="B375" i="4"/>
  <c r="B642" i="4"/>
  <c r="B857" i="4"/>
  <c r="B83" i="4"/>
  <c r="B717" i="4"/>
  <c r="B718" i="4"/>
  <c r="B812" i="4"/>
  <c r="B819" i="4"/>
  <c r="B665" i="4"/>
  <c r="B63" i="4"/>
  <c r="B385" i="4"/>
  <c r="B792" i="4"/>
  <c r="B903" i="4"/>
  <c r="B505" i="4"/>
  <c r="B727" i="4"/>
  <c r="B823" i="4"/>
  <c r="B729" i="4"/>
  <c r="B730" i="4"/>
  <c r="B655" i="4"/>
  <c r="B242" i="4"/>
  <c r="B864" i="4"/>
  <c r="B734" i="4"/>
  <c r="B735" i="4"/>
  <c r="B248" i="4"/>
  <c r="B201" i="4"/>
  <c r="B738" i="4"/>
  <c r="B905" i="4"/>
  <c r="B722" i="4"/>
  <c r="B867" i="4"/>
  <c r="B627" i="4"/>
  <c r="B959" i="4"/>
  <c r="B878" i="4"/>
  <c r="B53" i="4"/>
  <c r="B679" i="4"/>
  <c r="B668" i="4"/>
  <c r="B191" i="4"/>
  <c r="B769" i="4"/>
  <c r="B910" i="4"/>
  <c r="B751" i="4"/>
  <c r="B752" i="4"/>
  <c r="B135" i="4"/>
  <c r="B606" i="4"/>
  <c r="B195" i="4"/>
  <c r="B620" i="4"/>
  <c r="B616" i="4"/>
  <c r="B517" i="4"/>
  <c r="B759" i="4"/>
  <c r="B886" i="4"/>
  <c r="B507" i="4"/>
  <c r="B660" i="4"/>
  <c r="B763" i="4"/>
  <c r="B278" i="4"/>
  <c r="B150" i="4"/>
  <c r="B737" i="4"/>
  <c r="B353" i="4"/>
  <c r="B659" i="4"/>
  <c r="B834" i="4"/>
  <c r="B5" i="4"/>
  <c r="B758" i="4"/>
  <c r="B726" i="4"/>
  <c r="B749" i="4"/>
  <c r="B99" i="4"/>
  <c r="B750" i="4"/>
  <c r="B776" i="4"/>
  <c r="B82" i="4"/>
  <c r="B778" i="4"/>
  <c r="B779" i="4"/>
  <c r="B412" i="4"/>
  <c r="B476" i="4"/>
  <c r="B387" i="4"/>
  <c r="B338" i="4"/>
  <c r="B611" i="4"/>
  <c r="B772" i="4"/>
  <c r="B344" i="4"/>
  <c r="B147" i="4"/>
  <c r="B788" i="4"/>
  <c r="B789" i="4"/>
  <c r="B200" i="4"/>
  <c r="B948" i="4"/>
  <c r="B36" i="4"/>
  <c r="B466" i="4"/>
  <c r="B858" i="4"/>
  <c r="B594" i="4"/>
  <c r="B153" i="4"/>
  <c r="B797" i="4"/>
  <c r="B798" i="4"/>
  <c r="B640" i="4"/>
  <c r="B800" i="4"/>
  <c r="B499" i="4"/>
  <c r="B731" i="4"/>
  <c r="B725" i="4"/>
  <c r="B644" i="4"/>
  <c r="B805" i="4"/>
  <c r="B671" i="4"/>
  <c r="B807" i="4"/>
  <c r="B533" i="4"/>
  <c r="B613" i="4"/>
  <c r="B584" i="4"/>
  <c r="B447" i="4"/>
  <c r="B364" i="4"/>
  <c r="B831" i="4"/>
  <c r="B814" i="4"/>
  <c r="B968" i="4"/>
  <c r="B816" i="4"/>
  <c r="B591" i="4"/>
  <c r="B213" i="4"/>
  <c r="B742" i="4"/>
  <c r="B31" i="4"/>
  <c r="B746" i="4"/>
  <c r="B967" i="4"/>
  <c r="B971" i="4"/>
  <c r="B519" i="4"/>
  <c r="B825" i="4"/>
  <c r="B826" i="4"/>
  <c r="B319" i="4"/>
  <c r="B828" i="4"/>
  <c r="B634" i="4"/>
  <c r="B830" i="4"/>
  <c r="B450" i="4"/>
  <c r="B969" i="4"/>
  <c r="B833" i="4"/>
  <c r="B229" i="4"/>
  <c r="B745" i="4"/>
  <c r="B836" i="4"/>
  <c r="B481" i="4"/>
  <c r="B803" i="4"/>
  <c r="B920" i="4"/>
  <c r="B840" i="4"/>
  <c r="B756" i="4"/>
  <c r="B842" i="4"/>
  <c r="B407" i="4"/>
  <c r="B504" i="4"/>
  <c r="B845" i="4"/>
  <c r="B75" i="4"/>
  <c r="B563" i="4"/>
  <c r="B205" i="4"/>
  <c r="B113" i="4"/>
  <c r="B850" i="4"/>
  <c r="B461" i="4"/>
  <c r="B434" i="4"/>
  <c r="B853" i="4"/>
  <c r="B15" i="4"/>
  <c r="B855" i="4"/>
  <c r="B625" i="4"/>
  <c r="B815" i="4"/>
  <c r="B136" i="4"/>
  <c r="B202" i="4"/>
  <c r="B331" i="4"/>
  <c r="B177" i="4"/>
  <c r="B862" i="4"/>
  <c r="B863" i="4"/>
  <c r="B159" i="4"/>
  <c r="B215" i="4"/>
  <c r="B907" i="4"/>
  <c r="B963" i="4"/>
  <c r="B646" i="4"/>
  <c r="B451" i="4"/>
  <c r="B870" i="4"/>
  <c r="B871" i="4"/>
  <c r="B528" i="4"/>
  <c r="B873" i="4"/>
  <c r="B895" i="4"/>
  <c r="B408" i="4"/>
  <c r="B876" i="4"/>
  <c r="B50" i="4"/>
  <c r="B603" i="4"/>
  <c r="B777" i="4"/>
  <c r="B998" i="4"/>
  <c r="B881" i="4"/>
  <c r="B882" i="4"/>
  <c r="B986" i="4"/>
  <c r="B884" i="4"/>
  <c r="B44" i="4"/>
  <c r="B984" i="4"/>
  <c r="B887" i="4"/>
  <c r="B305" i="4"/>
  <c r="B9" i="4"/>
  <c r="B389" i="4"/>
  <c r="B626" i="4"/>
  <c r="B892" i="4"/>
  <c r="B893" i="4"/>
  <c r="B321" i="4"/>
  <c r="B178" i="4"/>
  <c r="B896" i="4"/>
  <c r="B352" i="4"/>
  <c r="B188" i="4"/>
  <c r="B183" i="4"/>
  <c r="B171" i="4"/>
  <c r="B105" i="4"/>
  <c r="B965" i="4"/>
  <c r="B672" i="4"/>
  <c r="B661" i="4"/>
  <c r="B141" i="4"/>
  <c r="B489" i="4"/>
  <c r="B27" i="4"/>
  <c r="B909" i="4"/>
  <c r="B977" i="4"/>
  <c r="B710" i="4"/>
  <c r="B911" i="4"/>
  <c r="B912" i="4"/>
  <c r="B913" i="4"/>
  <c r="B24" i="4"/>
  <c r="B343" i="4"/>
  <c r="B388" i="4"/>
  <c r="B230" i="4"/>
  <c r="B844" i="4"/>
  <c r="B919" i="4"/>
  <c r="B790" i="4"/>
  <c r="B921" i="4"/>
  <c r="B890" i="4"/>
  <c r="B923" i="4"/>
  <c r="B924" i="4"/>
  <c r="B443" i="4"/>
  <c r="B810" i="4"/>
  <c r="B926" i="4"/>
  <c r="B510" i="4"/>
  <c r="B384" i="4"/>
  <c r="B506" i="4"/>
  <c r="B349" i="4"/>
  <c r="B612" i="4"/>
  <c r="B933" i="4"/>
  <c r="B934" i="4"/>
  <c r="B981" i="4"/>
  <c r="B374" i="4"/>
  <c r="B702" i="4"/>
  <c r="B670" i="4"/>
  <c r="B902" i="4"/>
  <c r="B851" i="4"/>
  <c r="B941" i="4"/>
  <c r="B272" i="4"/>
  <c r="B636" i="4"/>
  <c r="B520" i="4"/>
  <c r="B700" i="4"/>
  <c r="B946" i="4"/>
  <c r="B947" i="4"/>
  <c r="B692" i="4"/>
  <c r="B945" i="4"/>
  <c r="B444" i="4"/>
  <c r="B951" i="4"/>
  <c r="B827" i="4"/>
  <c r="B953" i="4"/>
  <c r="B835" i="4"/>
  <c r="B376" i="4"/>
  <c r="B956" i="4"/>
  <c r="B957" i="4"/>
  <c r="B301" i="4"/>
  <c r="B641" i="4"/>
  <c r="B245" i="4"/>
  <c r="B468" i="4"/>
  <c r="B962" i="4"/>
  <c r="B47" i="4"/>
  <c r="B964" i="4"/>
  <c r="B674" i="4"/>
  <c r="B560" i="4"/>
  <c r="B76" i="4"/>
  <c r="B336" i="4"/>
  <c r="B173" i="4"/>
  <c r="B619" i="4"/>
  <c r="B190" i="4"/>
  <c r="B972" i="4"/>
  <c r="B149" i="4"/>
  <c r="B667" i="4"/>
  <c r="B273" i="4"/>
  <c r="B551" i="4"/>
  <c r="B403" i="4"/>
  <c r="B477" i="4"/>
  <c r="B439" i="4"/>
  <c r="B847" i="4"/>
  <c r="B765" i="4"/>
  <c r="B875" i="4"/>
  <c r="B599" i="4"/>
  <c r="B351" i="4"/>
  <c r="B985" i="4"/>
  <c r="B821" i="4"/>
  <c r="B987" i="4"/>
  <c r="B988" i="4"/>
  <c r="B989" i="4"/>
  <c r="B413" i="4"/>
  <c r="B991" i="4"/>
  <c r="B562" i="4"/>
  <c r="B993" i="4"/>
  <c r="B898" i="4"/>
  <c r="B995" i="4"/>
  <c r="B86" i="4"/>
  <c r="B787" i="4"/>
  <c r="B942" i="4"/>
  <c r="B689" i="4"/>
  <c r="B1000" i="4"/>
  <c r="B1001" i="4"/>
  <c r="B436" i="4"/>
  <c r="C715" i="4"/>
  <c r="C453" i="4"/>
  <c r="C454" i="4"/>
  <c r="C676" i="4"/>
  <c r="C456" i="4"/>
  <c r="C711" i="4"/>
  <c r="C713" i="4"/>
  <c r="C420" i="4"/>
  <c r="C460" i="4"/>
  <c r="C151" i="4"/>
  <c r="C699" i="4"/>
  <c r="C463" i="4"/>
  <c r="C615" i="4"/>
  <c r="C509" i="4"/>
  <c r="C501" i="4"/>
  <c r="C608" i="4"/>
  <c r="C270" i="4"/>
  <c r="C322" i="4"/>
  <c r="C770" i="4"/>
  <c r="C811" i="4"/>
  <c r="C472" i="4"/>
  <c r="C80" i="4"/>
  <c r="C474" i="4"/>
  <c r="C475" i="4"/>
  <c r="C753" i="4"/>
  <c r="C473" i="4"/>
  <c r="C518" i="4"/>
  <c r="C561" i="4"/>
  <c r="C250" i="4"/>
  <c r="C110" i="4"/>
  <c r="C974" i="4"/>
  <c r="C766" i="4"/>
  <c r="C81" i="4"/>
  <c r="C435" i="4"/>
  <c r="C303" i="4"/>
  <c r="C487" i="4"/>
  <c r="C488" i="4"/>
  <c r="C709" i="4"/>
  <c r="C490" i="4"/>
  <c r="C491" i="4"/>
  <c r="C138" i="4"/>
  <c r="C793" i="4"/>
  <c r="C494" i="4"/>
  <c r="C495" i="4"/>
  <c r="C457" i="4"/>
  <c r="C106" i="4"/>
  <c r="C493" i="4"/>
  <c r="C832" i="4"/>
  <c r="C235" i="4"/>
  <c r="C492" i="4"/>
  <c r="C706" i="4"/>
  <c r="C486" i="4"/>
  <c r="C767" i="4"/>
  <c r="C469" i="4"/>
  <c r="C782" i="4"/>
  <c r="C467" i="4"/>
  <c r="C199" i="4"/>
  <c r="C739" i="4"/>
  <c r="C539" i="4"/>
  <c r="C733" i="4"/>
  <c r="C512" i="4"/>
  <c r="C950" i="4"/>
  <c r="C888" i="4"/>
  <c r="C515" i="4"/>
  <c r="C164" i="4"/>
  <c r="C145" i="4"/>
  <c r="C226" i="4"/>
  <c r="C221" i="4"/>
  <c r="C980" i="4"/>
  <c r="C537" i="4"/>
  <c r="C174" i="4"/>
  <c r="C610" i="4"/>
  <c r="C524" i="4"/>
  <c r="C525" i="4"/>
  <c r="C618" i="4"/>
  <c r="C688" i="4"/>
  <c r="C966" i="4"/>
  <c r="C649" i="4"/>
  <c r="C530" i="4"/>
  <c r="C531" i="4"/>
  <c r="C532" i="4"/>
  <c r="C701" i="4"/>
  <c r="C523" i="4"/>
  <c r="C897" i="4"/>
  <c r="C536" i="4"/>
  <c r="C34" i="4"/>
  <c r="C538" i="4"/>
  <c r="C175" i="4"/>
  <c r="C754" i="4"/>
  <c r="C918" i="4"/>
  <c r="C142" i="4"/>
  <c r="C865" i="4"/>
  <c r="C544" i="4"/>
  <c r="C260" i="4"/>
  <c r="C546" i="4"/>
  <c r="C547" i="4"/>
  <c r="C681" i="4"/>
  <c r="C46" i="4"/>
  <c r="C418" i="4"/>
  <c r="C326" i="4"/>
  <c r="C429" i="4"/>
  <c r="C553" i="4"/>
  <c r="C10" i="4"/>
  <c r="C555" i="4"/>
  <c r="C425" i="4"/>
  <c r="C564" i="4"/>
  <c r="C970" i="4"/>
  <c r="C339" i="4"/>
  <c r="C822" i="4"/>
  <c r="C973" i="4"/>
  <c r="C592" i="4"/>
  <c r="C348" i="4"/>
  <c r="C139" i="4"/>
  <c r="C356" i="4"/>
  <c r="C566" i="4"/>
  <c r="C103" i="4"/>
  <c r="C639" i="4"/>
  <c r="C140" i="4"/>
  <c r="C570" i="4"/>
  <c r="C571" i="4"/>
  <c r="C511" i="4"/>
  <c r="C573" i="4"/>
  <c r="C406" i="4"/>
  <c r="C577" i="4"/>
  <c r="C576" i="4"/>
  <c r="C455" i="4"/>
  <c r="C936" i="4"/>
  <c r="C579" i="4"/>
  <c r="C292" i="4"/>
  <c r="C795" i="4"/>
  <c r="C622" i="4"/>
  <c r="C383" i="4"/>
  <c r="C775" i="4"/>
  <c r="C585" i="4"/>
  <c r="C586" i="4"/>
  <c r="C167" i="4"/>
  <c r="C658" i="4"/>
  <c r="C111" i="4"/>
  <c r="C590" i="4"/>
  <c r="C409" i="4"/>
  <c r="C57" i="4"/>
  <c r="C593" i="4"/>
  <c r="C236" i="4"/>
  <c r="C595" i="4"/>
  <c r="C596" i="4"/>
  <c r="C49" i="4"/>
  <c r="C6" i="4"/>
  <c r="C915" i="4"/>
  <c r="C600" i="4"/>
  <c r="C597" i="4"/>
  <c r="C602" i="4"/>
  <c r="C843" i="4"/>
  <c r="C98" i="4"/>
  <c r="C786" i="4"/>
  <c r="C818" i="4"/>
  <c r="C982" i="4"/>
  <c r="C112" i="4"/>
  <c r="C386" i="4"/>
  <c r="C698" i="4"/>
  <c r="C541" i="4"/>
  <c r="C529" i="4"/>
  <c r="C368" i="4"/>
  <c r="C240" i="4"/>
  <c r="C513" i="4"/>
  <c r="C426" i="4"/>
  <c r="C757" i="4"/>
  <c r="C345" i="4"/>
  <c r="C680" i="4"/>
  <c r="C227" i="4"/>
  <c r="C163" i="4"/>
  <c r="C70" i="4"/>
  <c r="C462" i="4"/>
  <c r="C42" i="4"/>
  <c r="C400" i="4"/>
  <c r="C657" i="4"/>
  <c r="C143" i="4"/>
  <c r="C169" i="4"/>
  <c r="C629" i="4"/>
  <c r="C630" i="4"/>
  <c r="C542" i="4"/>
  <c r="C29" i="4"/>
  <c r="C433" i="4"/>
  <c r="C928" i="4"/>
  <c r="C417" i="4"/>
  <c r="C939" i="4"/>
  <c r="C716" i="4"/>
  <c r="C768" i="4"/>
  <c r="C930" i="4"/>
  <c r="C58" i="4"/>
  <c r="C714" i="4"/>
  <c r="C809" i="4"/>
  <c r="C503" i="4"/>
  <c r="C410" i="4"/>
  <c r="C604" i="4"/>
  <c r="C502" i="4"/>
  <c r="C647" i="4"/>
  <c r="C648" i="4"/>
  <c r="C238" i="4"/>
  <c r="C650" i="4"/>
  <c r="C651" i="4"/>
  <c r="C780" i="4"/>
  <c r="C719" i="4"/>
  <c r="C482" i="4"/>
  <c r="C373" i="4"/>
  <c r="C904" i="4"/>
  <c r="C917" i="4"/>
  <c r="C219" i="4"/>
  <c r="C369" i="4"/>
  <c r="C239" i="4"/>
  <c r="C104" i="4"/>
  <c r="C662" i="4"/>
  <c r="C663" i="4"/>
  <c r="C56" i="4"/>
  <c r="C760" i="4"/>
  <c r="C330" i="4"/>
  <c r="C421" i="4"/>
  <c r="C478" i="4"/>
  <c r="C269" i="4"/>
  <c r="C543" i="4"/>
  <c r="C806" i="4"/>
  <c r="C645" i="4"/>
  <c r="C652" i="4"/>
  <c r="C673" i="4"/>
  <c r="C675" i="4"/>
  <c r="C206" i="4"/>
  <c r="C677" i="4"/>
  <c r="C678" i="4"/>
  <c r="C52" i="4"/>
  <c r="C312" i="4"/>
  <c r="C996" i="4"/>
  <c r="C682" i="4"/>
  <c r="C683" i="4"/>
  <c r="C684" i="4"/>
  <c r="C685" i="4"/>
  <c r="C686" i="4"/>
  <c r="C41" i="4"/>
  <c r="C535" i="4"/>
  <c r="C2" i="4"/>
  <c r="C690" i="4"/>
  <c r="C691" i="4"/>
  <c r="C194" i="4"/>
  <c r="C581" i="4"/>
  <c r="C854" i="4"/>
  <c r="C695" i="4"/>
  <c r="C696" i="4"/>
  <c r="C721" i="4"/>
  <c r="C253" i="4"/>
  <c r="C877" i="4"/>
  <c r="C824" i="4"/>
  <c r="C943" i="4"/>
  <c r="C808" i="4"/>
  <c r="C764" i="4"/>
  <c r="C704" i="4"/>
  <c r="C310" i="4"/>
  <c r="C522" i="4"/>
  <c r="C774" i="4"/>
  <c r="C860" i="4"/>
  <c r="C736" i="4"/>
  <c r="C428" i="4"/>
  <c r="C300" i="4"/>
  <c r="C712" i="4"/>
  <c r="C375" i="4"/>
  <c r="C642" i="4"/>
  <c r="C857" i="4"/>
  <c r="C83" i="4"/>
  <c r="C717" i="4"/>
  <c r="C718" i="4"/>
  <c r="C812" i="4"/>
  <c r="C819" i="4"/>
  <c r="C665" i="4"/>
  <c r="C63" i="4"/>
  <c r="C385" i="4"/>
  <c r="C792" i="4"/>
  <c r="C903" i="4"/>
  <c r="C505" i="4"/>
  <c r="C727" i="4"/>
  <c r="C823" i="4"/>
  <c r="C729" i="4"/>
  <c r="C730" i="4"/>
  <c r="C655" i="4"/>
  <c r="C242" i="4"/>
  <c r="C864" i="4"/>
  <c r="C734" i="4"/>
  <c r="C735" i="4"/>
  <c r="C248" i="4"/>
  <c r="C201" i="4"/>
  <c r="C738" i="4"/>
  <c r="C905" i="4"/>
  <c r="C722" i="4"/>
  <c r="C867" i="4"/>
  <c r="C627" i="4"/>
  <c r="C959" i="4"/>
  <c r="C878" i="4"/>
  <c r="C53" i="4"/>
  <c r="C679" i="4"/>
  <c r="C668" i="4"/>
  <c r="C191" i="4"/>
  <c r="C769" i="4"/>
  <c r="C910" i="4"/>
  <c r="C751" i="4"/>
  <c r="C752" i="4"/>
  <c r="C135" i="4"/>
  <c r="C606" i="4"/>
  <c r="C195" i="4"/>
  <c r="C620" i="4"/>
  <c r="C616" i="4"/>
  <c r="C517" i="4"/>
  <c r="C759" i="4"/>
  <c r="C886" i="4"/>
  <c r="C507" i="4"/>
  <c r="C660" i="4"/>
  <c r="C763" i="4"/>
  <c r="C278" i="4"/>
  <c r="C150" i="4"/>
  <c r="C737" i="4"/>
  <c r="C353" i="4"/>
  <c r="C659" i="4"/>
  <c r="C834" i="4"/>
  <c r="C5" i="4"/>
  <c r="C758" i="4"/>
  <c r="C726" i="4"/>
  <c r="C749" i="4"/>
  <c r="C99" i="4"/>
  <c r="C750" i="4"/>
  <c r="C776" i="4"/>
  <c r="C82" i="4"/>
  <c r="C778" i="4"/>
  <c r="C779" i="4"/>
  <c r="C412" i="4"/>
  <c r="C476" i="4"/>
  <c r="C387" i="4"/>
  <c r="C338" i="4"/>
  <c r="C611" i="4"/>
  <c r="C772" i="4"/>
  <c r="C344" i="4"/>
  <c r="C147" i="4"/>
  <c r="C788" i="4"/>
  <c r="C789" i="4"/>
  <c r="C200" i="4"/>
  <c r="C948" i="4"/>
  <c r="C36" i="4"/>
  <c r="C466" i="4"/>
  <c r="C858" i="4"/>
  <c r="C594" i="4"/>
  <c r="C153" i="4"/>
  <c r="C797" i="4"/>
  <c r="C798" i="4"/>
  <c r="C640" i="4"/>
  <c r="C800" i="4"/>
  <c r="C499" i="4"/>
  <c r="C731" i="4"/>
  <c r="C725" i="4"/>
  <c r="C644" i="4"/>
  <c r="C805" i="4"/>
  <c r="C671" i="4"/>
  <c r="C807" i="4"/>
  <c r="C533" i="4"/>
  <c r="C613" i="4"/>
  <c r="C584" i="4"/>
  <c r="C447" i="4"/>
  <c r="C364" i="4"/>
  <c r="C831" i="4"/>
  <c r="C814" i="4"/>
  <c r="C968" i="4"/>
  <c r="C816" i="4"/>
  <c r="C591" i="4"/>
  <c r="C213" i="4"/>
  <c r="C742" i="4"/>
  <c r="C31" i="4"/>
  <c r="C746" i="4"/>
  <c r="C967" i="4"/>
  <c r="C971" i="4"/>
  <c r="C519" i="4"/>
  <c r="C825" i="4"/>
  <c r="C826" i="4"/>
  <c r="C319" i="4"/>
  <c r="C828" i="4"/>
  <c r="C634" i="4"/>
  <c r="C830" i="4"/>
  <c r="C450" i="4"/>
  <c r="C969" i="4"/>
  <c r="C833" i="4"/>
  <c r="C229" i="4"/>
  <c r="C745" i="4"/>
  <c r="C836" i="4"/>
  <c r="C481" i="4"/>
  <c r="C803" i="4"/>
  <c r="C920" i="4"/>
  <c r="C840" i="4"/>
  <c r="C756" i="4"/>
  <c r="C842" i="4"/>
  <c r="C407" i="4"/>
  <c r="C504" i="4"/>
  <c r="C845" i="4"/>
  <c r="C75" i="4"/>
  <c r="C563" i="4"/>
  <c r="C205" i="4"/>
  <c r="C113" i="4"/>
  <c r="C850" i="4"/>
  <c r="C461" i="4"/>
  <c r="C434" i="4"/>
  <c r="C853" i="4"/>
  <c r="C15" i="4"/>
  <c r="C855" i="4"/>
  <c r="C625" i="4"/>
  <c r="C815" i="4"/>
  <c r="C136" i="4"/>
  <c r="C202" i="4"/>
  <c r="C331" i="4"/>
  <c r="C177" i="4"/>
  <c r="C862" i="4"/>
  <c r="C863" i="4"/>
  <c r="C159" i="4"/>
  <c r="C215" i="4"/>
  <c r="C907" i="4"/>
  <c r="C963" i="4"/>
  <c r="C646" i="4"/>
  <c r="C451" i="4"/>
  <c r="C870" i="4"/>
  <c r="C871" i="4"/>
  <c r="C528" i="4"/>
  <c r="C873" i="4"/>
  <c r="C895" i="4"/>
  <c r="C408" i="4"/>
  <c r="C876" i="4"/>
  <c r="C50" i="4"/>
  <c r="C603" i="4"/>
  <c r="C777" i="4"/>
  <c r="C998" i="4"/>
  <c r="C881" i="4"/>
  <c r="C882" i="4"/>
  <c r="C986" i="4"/>
  <c r="C884" i="4"/>
  <c r="C44" i="4"/>
  <c r="C984" i="4"/>
  <c r="C887" i="4"/>
  <c r="C305" i="4"/>
  <c r="C9" i="4"/>
  <c r="C389" i="4"/>
  <c r="C626" i="4"/>
  <c r="C892" i="4"/>
  <c r="C893" i="4"/>
  <c r="C321" i="4"/>
  <c r="C178" i="4"/>
  <c r="C896" i="4"/>
  <c r="C352" i="4"/>
  <c r="C188" i="4"/>
  <c r="C183" i="4"/>
  <c r="C171" i="4"/>
  <c r="C105" i="4"/>
  <c r="C965" i="4"/>
  <c r="C672" i="4"/>
  <c r="C661" i="4"/>
  <c r="C141" i="4"/>
  <c r="C489" i="4"/>
  <c r="C27" i="4"/>
  <c r="C909" i="4"/>
  <c r="C977" i="4"/>
  <c r="C710" i="4"/>
  <c r="C911" i="4"/>
  <c r="C912" i="4"/>
  <c r="C913" i="4"/>
  <c r="C24" i="4"/>
  <c r="C343" i="4"/>
  <c r="C388" i="4"/>
  <c r="C230" i="4"/>
  <c r="C844" i="4"/>
  <c r="C919" i="4"/>
  <c r="C790" i="4"/>
  <c r="C921" i="4"/>
  <c r="C890" i="4"/>
  <c r="C923" i="4"/>
  <c r="C924" i="4"/>
  <c r="C443" i="4"/>
  <c r="C810" i="4"/>
  <c r="C926" i="4"/>
  <c r="C510" i="4"/>
  <c r="C384" i="4"/>
  <c r="C506" i="4"/>
  <c r="C349" i="4"/>
  <c r="C612" i="4"/>
  <c r="C933" i="4"/>
  <c r="C934" i="4"/>
  <c r="C981" i="4"/>
  <c r="C374" i="4"/>
  <c r="C702" i="4"/>
  <c r="C670" i="4"/>
  <c r="C902" i="4"/>
  <c r="C851" i="4"/>
  <c r="C941" i="4"/>
  <c r="C272" i="4"/>
  <c r="C636" i="4"/>
  <c r="C520" i="4"/>
  <c r="C700" i="4"/>
  <c r="C946" i="4"/>
  <c r="C947" i="4"/>
  <c r="C692" i="4"/>
  <c r="C945" i="4"/>
  <c r="C444" i="4"/>
  <c r="C951" i="4"/>
  <c r="C827" i="4"/>
  <c r="C953" i="4"/>
  <c r="C835" i="4"/>
  <c r="C376" i="4"/>
  <c r="C956" i="4"/>
  <c r="C957" i="4"/>
  <c r="C301" i="4"/>
  <c r="C641" i="4"/>
  <c r="C245" i="4"/>
  <c r="C468" i="4"/>
  <c r="C962" i="4"/>
  <c r="C47" i="4"/>
  <c r="C964" i="4"/>
  <c r="C674" i="4"/>
  <c r="C560" i="4"/>
  <c r="C76" i="4"/>
  <c r="C336" i="4"/>
  <c r="C173" i="4"/>
  <c r="C619" i="4"/>
  <c r="C190" i="4"/>
  <c r="C972" i="4"/>
  <c r="C149" i="4"/>
  <c r="C667" i="4"/>
  <c r="C273" i="4"/>
  <c r="C551" i="4"/>
  <c r="C403" i="4"/>
  <c r="C477" i="4"/>
  <c r="C439" i="4"/>
  <c r="C847" i="4"/>
  <c r="C765" i="4"/>
  <c r="C875" i="4"/>
  <c r="C599" i="4"/>
  <c r="C351" i="4"/>
  <c r="C985" i="4"/>
  <c r="C821" i="4"/>
  <c r="C987" i="4"/>
  <c r="C988" i="4"/>
  <c r="C989" i="4"/>
  <c r="C413" i="4"/>
  <c r="C991" i="4"/>
  <c r="C562" i="4"/>
  <c r="C993" i="4"/>
  <c r="C898" i="4"/>
  <c r="C995" i="4"/>
  <c r="C86" i="4"/>
  <c r="C787" i="4"/>
  <c r="C942" i="4"/>
  <c r="C689" i="4"/>
  <c r="C1000" i="4"/>
  <c r="C1001" i="4"/>
  <c r="C906" i="4"/>
  <c r="C4" i="4"/>
  <c r="C552" i="4"/>
  <c r="C125" i="4"/>
  <c r="C7" i="4"/>
  <c r="C846" i="4"/>
  <c r="C534" i="4"/>
  <c r="C931" i="4"/>
  <c r="C12" i="4"/>
  <c r="C940" i="4"/>
  <c r="C59" i="4"/>
  <c r="C398" i="4"/>
  <c r="C16" i="4"/>
  <c r="C17" i="4"/>
  <c r="C277" i="4"/>
  <c r="C19" i="4"/>
  <c r="C20" i="4"/>
  <c r="C869" i="4"/>
  <c r="C879" i="4"/>
  <c r="C23" i="4"/>
  <c r="C129" i="4"/>
  <c r="C25" i="4"/>
  <c r="C26" i="4"/>
  <c r="C937" i="4"/>
  <c r="C359" i="4"/>
  <c r="C211" i="4"/>
  <c r="C276" i="4"/>
  <c r="C707" i="4"/>
  <c r="C32" i="4"/>
  <c r="C33" i="4"/>
  <c r="C302" i="4"/>
  <c r="C35" i="4"/>
  <c r="C785" i="4"/>
  <c r="C37" i="4"/>
  <c r="C275" i="4"/>
  <c r="C852" i="4"/>
  <c r="C914" i="4"/>
  <c r="C925" i="4"/>
  <c r="C377" i="4"/>
  <c r="C43" i="4"/>
  <c r="C51" i="4"/>
  <c r="C168" i="4"/>
  <c r="C582" i="4"/>
  <c r="C997" i="4"/>
  <c r="C48" i="4"/>
  <c r="C580" i="4"/>
  <c r="C521" i="4"/>
  <c r="C289" i="4"/>
  <c r="C669" i="4"/>
  <c r="C459" i="4"/>
  <c r="C54" i="4"/>
  <c r="C55" i="4"/>
  <c r="C848" i="4"/>
  <c r="C548" i="4"/>
  <c r="C60" i="4"/>
  <c r="C994" i="4"/>
  <c r="C87" i="4"/>
  <c r="C61" i="4"/>
  <c r="C62" i="4"/>
  <c r="C607" i="4"/>
  <c r="C64" i="4"/>
  <c r="C65" i="4"/>
  <c r="C66" i="4"/>
  <c r="C67" i="4"/>
  <c r="C68" i="4"/>
  <c r="C69" i="4"/>
  <c r="C192" i="4"/>
  <c r="C114" i="4"/>
  <c r="C186" i="4"/>
  <c r="C705" i="4"/>
  <c r="C74" i="4"/>
  <c r="C728" i="4"/>
  <c r="C170" i="4"/>
  <c r="C438" i="4"/>
  <c r="C78" i="4"/>
  <c r="C357" i="4"/>
  <c r="C137" i="4"/>
  <c r="C3" i="4"/>
  <c r="C307" i="4"/>
  <c r="C899" i="4"/>
  <c r="C84" i="4"/>
  <c r="C85" i="4"/>
  <c r="C207" i="4"/>
  <c r="C900" i="4"/>
  <c r="C88" i="4"/>
  <c r="C89" i="4"/>
  <c r="C166" i="4"/>
  <c r="C288" i="4"/>
  <c r="C92" i="4"/>
  <c r="C77" i="4"/>
  <c r="C94" i="4"/>
  <c r="C761" i="4"/>
  <c r="C296" i="4"/>
  <c r="C783" i="4"/>
  <c r="C223" i="4"/>
  <c r="C643" i="4"/>
  <c r="C117" i="4"/>
  <c r="C101" i="4"/>
  <c r="C102" i="4"/>
  <c r="C632" i="4"/>
  <c r="C185" i="4"/>
  <c r="C496" i="4"/>
  <c r="C802" i="4"/>
  <c r="C107" i="4"/>
  <c r="C697" i="4"/>
  <c r="C71" i="4"/>
  <c r="C623" i="4"/>
  <c r="C471" i="4"/>
  <c r="C567" i="4"/>
  <c r="C95" i="4"/>
  <c r="C402" i="4"/>
  <c r="C115" i="4"/>
  <c r="C116" i="4"/>
  <c r="C724" i="4"/>
  <c r="C960" i="4"/>
  <c r="C119" i="4"/>
  <c r="C120" i="4"/>
  <c r="C949" i="4"/>
  <c r="C122" i="4"/>
  <c r="C123" i="4"/>
  <c r="C861" i="4"/>
  <c r="C283" i="4"/>
  <c r="C755" i="4"/>
  <c r="C762" i="4"/>
  <c r="C128" i="4"/>
  <c r="C465" i="4"/>
  <c r="C545" i="4"/>
  <c r="C799" i="4"/>
  <c r="C132" i="4"/>
  <c r="C664" i="4"/>
  <c r="C134" i="4"/>
  <c r="C93" i="4"/>
  <c r="C694" i="4"/>
  <c r="C13" i="4"/>
  <c r="C237" i="4"/>
  <c r="C416" i="4"/>
  <c r="C559" i="4"/>
  <c r="C144" i="4"/>
  <c r="C346" i="4"/>
  <c r="C605" i="4"/>
  <c r="C18" i="4"/>
  <c r="C256" i="4"/>
  <c r="C146" i="4"/>
  <c r="C565" i="4"/>
  <c r="C148" i="4"/>
  <c r="C262" i="4"/>
  <c r="C79" i="4"/>
  <c r="C484" i="4"/>
  <c r="C45" i="4"/>
  <c r="C516" i="4"/>
  <c r="C154" i="4"/>
  <c r="C155" i="4"/>
  <c r="C156" i="4"/>
  <c r="C280" i="4"/>
  <c r="C838" i="4"/>
  <c r="C22" i="4"/>
  <c r="C160" i="4"/>
  <c r="C180" i="4"/>
  <c r="C162" i="4"/>
  <c r="C315" i="4"/>
  <c r="C427" i="4"/>
  <c r="C254" i="4"/>
  <c r="C880" i="4"/>
  <c r="C526" i="4"/>
  <c r="C572" i="4"/>
  <c r="C347" i="4"/>
  <c r="C176" i="4"/>
  <c r="C96" i="4"/>
  <c r="C172" i="4"/>
  <c r="C342" i="4"/>
  <c r="C849" i="4"/>
  <c r="C266" i="4"/>
  <c r="C624" i="4"/>
  <c r="C889" i="4"/>
  <c r="C687" i="4"/>
  <c r="C747" i="4"/>
  <c r="C874" i="4"/>
  <c r="C817" i="4"/>
  <c r="C182" i="4"/>
  <c r="C829" i="4"/>
  <c r="C558" i="4"/>
  <c r="C720" i="4"/>
  <c r="C952" i="4"/>
  <c r="C21" i="4"/>
  <c r="C955" i="4"/>
  <c r="C497" i="4"/>
  <c r="C978" i="4"/>
  <c r="C423" i="4"/>
  <c r="C578" i="4"/>
  <c r="C193" i="4"/>
  <c r="C841" i="4"/>
  <c r="C938" i="4"/>
  <c r="C196" i="4"/>
  <c r="C197" i="4"/>
  <c r="C198" i="4"/>
  <c r="C839" i="4"/>
  <c r="C365" i="4"/>
  <c r="C458" i="4"/>
  <c r="C121" i="4"/>
  <c r="C299" i="4"/>
  <c r="C204" i="4"/>
  <c r="C397" i="4"/>
  <c r="C14" i="4"/>
  <c r="C554" i="4"/>
  <c r="C208" i="4"/>
  <c r="C209" i="4"/>
  <c r="C210" i="4"/>
  <c r="C654" i="4"/>
  <c r="C445" i="4"/>
  <c r="C218" i="4"/>
  <c r="C954" i="4"/>
  <c r="C217" i="4"/>
  <c r="C216" i="4"/>
  <c r="C394" i="4"/>
  <c r="C379" i="4"/>
  <c r="C124" i="4"/>
  <c r="C203" i="4"/>
  <c r="C885" i="4"/>
  <c r="C382" i="4"/>
  <c r="C723" i="4"/>
  <c r="C224" i="4"/>
  <c r="C589" i="4"/>
  <c r="C556" i="4"/>
  <c r="C656" i="4"/>
  <c r="C228" i="4"/>
  <c r="C958" i="4"/>
  <c r="C127" i="4"/>
  <c r="C293" i="4"/>
  <c r="C232" i="4"/>
  <c r="C233" i="4"/>
  <c r="C932" i="4"/>
  <c r="C621" i="4"/>
  <c r="C118" i="4"/>
  <c r="C908" i="4"/>
  <c r="C813" i="4"/>
  <c r="C214" i="4"/>
  <c r="C743" i="4"/>
  <c r="C241" i="4"/>
  <c r="C894" i="4"/>
  <c r="C633" i="4"/>
  <c r="C244" i="4"/>
  <c r="C794" i="4"/>
  <c r="C328" i="4"/>
  <c r="C856" i="4"/>
  <c r="C614" i="4"/>
  <c r="C935" i="4"/>
  <c r="C390" i="4"/>
  <c r="C251" i="4"/>
  <c r="C252" i="4"/>
  <c r="C287" i="4"/>
  <c r="C354" i="4"/>
  <c r="C255" i="4"/>
  <c r="C97" i="4"/>
  <c r="C257" i="4"/>
  <c r="C258" i="4"/>
  <c r="C259" i="4"/>
  <c r="C234" i="4"/>
  <c r="C261" i="4"/>
  <c r="C975" i="4"/>
  <c r="C263" i="4"/>
  <c r="C508" i="4"/>
  <c r="C265" i="4"/>
  <c r="C247" i="4"/>
  <c r="C708" i="4"/>
  <c r="C268" i="4"/>
  <c r="C574" i="4"/>
  <c r="C990" i="4"/>
  <c r="C796" i="4"/>
  <c r="C784" i="4"/>
  <c r="C440" i="4"/>
  <c r="C294" i="4"/>
  <c r="C744" i="4"/>
  <c r="C329" i="4"/>
  <c r="C891" i="4"/>
  <c r="C983" i="4"/>
  <c r="C279" i="4"/>
  <c r="C883" i="4"/>
  <c r="C281" i="4"/>
  <c r="C282" i="4"/>
  <c r="C922" i="4"/>
  <c r="C801" i="4"/>
  <c r="C109" i="4"/>
  <c r="C8" i="4"/>
  <c r="C325" i="4"/>
  <c r="C527" i="4"/>
  <c r="C609" i="4"/>
  <c r="C295" i="4"/>
  <c r="C291" i="4"/>
  <c r="C514" i="4"/>
  <c r="C740" i="4"/>
  <c r="C929" i="4"/>
  <c r="C225" i="4"/>
  <c r="C483" i="4"/>
  <c r="C297" i="4"/>
  <c r="C298" i="4"/>
  <c r="C820" i="4"/>
  <c r="C575" i="4"/>
  <c r="C131" i="4"/>
  <c r="C249" i="4"/>
  <c r="C441" i="4"/>
  <c r="C498" i="4"/>
  <c r="C583" i="4"/>
  <c r="C306" i="4"/>
  <c r="C372" i="4"/>
  <c r="C308" i="4"/>
  <c r="C309" i="4"/>
  <c r="C617" i="4"/>
  <c r="C311" i="4"/>
  <c r="C961" i="4"/>
  <c r="C313" i="4"/>
  <c r="C314" i="4"/>
  <c r="C837" i="4"/>
  <c r="C316" i="4"/>
  <c r="C317" i="4"/>
  <c r="C318" i="4"/>
  <c r="C323" i="4"/>
  <c r="C320" i="4"/>
  <c r="C231" i="4"/>
  <c r="C568" i="4"/>
  <c r="C90" i="4"/>
  <c r="C324" i="4"/>
  <c r="C557" i="4"/>
  <c r="C628" i="4"/>
  <c r="C327" i="4"/>
  <c r="C126" i="4"/>
  <c r="C540" i="4"/>
  <c r="C944" i="4"/>
  <c r="C500" i="4"/>
  <c r="C332" i="4"/>
  <c r="C333" i="4"/>
  <c r="C334" i="4"/>
  <c r="C335" i="4"/>
  <c r="C158" i="4"/>
  <c r="C337" i="4"/>
  <c r="C165" i="4"/>
  <c r="C741" i="4"/>
  <c r="C868" i="4"/>
  <c r="C341" i="4"/>
  <c r="C703" i="4"/>
  <c r="C638" i="4"/>
  <c r="C286" i="4"/>
  <c r="C130" i="4"/>
  <c r="C391" i="4"/>
  <c r="C693" i="4"/>
  <c r="C290" i="4"/>
  <c r="C340" i="4"/>
  <c r="C350" i="4"/>
  <c r="C791" i="4"/>
  <c r="C631" i="4"/>
  <c r="C285" i="4"/>
  <c r="C246" i="4"/>
  <c r="C355" i="4"/>
  <c r="C184" i="4"/>
  <c r="C771" i="4"/>
  <c r="C358" i="4"/>
  <c r="C587" i="4"/>
  <c r="C360" i="4"/>
  <c r="C361" i="4"/>
  <c r="C601" i="4"/>
  <c r="C363" i="4"/>
  <c r="C927" i="4"/>
  <c r="C480" i="4"/>
  <c r="C366" i="4"/>
  <c r="C91" i="4"/>
  <c r="C267" i="4"/>
  <c r="C73" i="4"/>
  <c r="C370" i="4"/>
  <c r="C371" i="4"/>
  <c r="C399" i="4"/>
  <c r="C866" i="4"/>
  <c r="C181" i="4"/>
  <c r="C666" i="4"/>
  <c r="C452" i="4"/>
  <c r="C133" i="4"/>
  <c r="C30" i="4"/>
  <c r="C976" i="4"/>
  <c r="C380" i="4"/>
  <c r="C381" i="4"/>
  <c r="C271" i="4"/>
  <c r="C485" i="4"/>
  <c r="C999" i="4"/>
  <c r="C304" i="4"/>
  <c r="C39" i="4"/>
  <c r="C479" i="4"/>
  <c r="C464" i="4"/>
  <c r="C549" i="4"/>
  <c r="C187" i="4"/>
  <c r="C979" i="4"/>
  <c r="C392" i="4"/>
  <c r="C393" i="4"/>
  <c r="C781" i="4"/>
  <c r="C395" i="4"/>
  <c r="C396" i="4"/>
  <c r="C274" i="4"/>
  <c r="C449" i="4"/>
  <c r="C72" i="4"/>
  <c r="C179" i="4"/>
  <c r="C401" i="4"/>
  <c r="C635" i="4"/>
  <c r="C569" i="4"/>
  <c r="C404" i="4"/>
  <c r="C405" i="4"/>
  <c r="C653" i="4"/>
  <c r="C189" i="4"/>
  <c r="C773" i="4"/>
  <c r="C220" i="4"/>
  <c r="C598" i="4"/>
  <c r="C411" i="4"/>
  <c r="C414" i="4"/>
  <c r="C367" i="4"/>
  <c r="C804" i="4"/>
  <c r="C415" i="4"/>
  <c r="C38" i="4"/>
  <c r="C550" i="4"/>
  <c r="C732" i="4"/>
  <c r="C419" i="4"/>
  <c r="C40" i="4"/>
  <c r="C157" i="4"/>
  <c r="C422" i="4"/>
  <c r="C243" i="4"/>
  <c r="C424" i="4"/>
  <c r="C11" i="4"/>
  <c r="C212" i="4"/>
  <c r="C859" i="4"/>
  <c r="C588" i="4"/>
  <c r="C901" i="4"/>
  <c r="C430" i="4"/>
  <c r="C431" i="4"/>
  <c r="C432" i="4"/>
  <c r="C264" i="4"/>
  <c r="C442" i="4"/>
  <c r="C28" i="4"/>
  <c r="C152" i="4"/>
  <c r="C437" i="4"/>
  <c r="C284" i="4"/>
  <c r="C872" i="4"/>
  <c r="C992" i="4"/>
  <c r="C637" i="4"/>
  <c r="C161" i="4"/>
  <c r="C470" i="4"/>
  <c r="C748" i="4"/>
  <c r="C916" i="4"/>
  <c r="C446" i="4"/>
  <c r="C378" i="4"/>
  <c r="C448" i="4"/>
  <c r="C108" i="4"/>
  <c r="C100" i="4"/>
  <c r="C222" i="4"/>
</calcChain>
</file>

<file path=xl/sharedStrings.xml><?xml version="1.0" encoding="utf-8"?>
<sst xmlns="http://schemas.openxmlformats.org/spreadsheetml/2006/main" count="11162" uniqueCount="1063">
  <si>
    <t>Employee_ID</t>
  </si>
  <si>
    <t>Name</t>
  </si>
  <si>
    <t>Department</t>
  </si>
  <si>
    <t>Age</t>
  </si>
  <si>
    <t>Gender</t>
  </si>
  <si>
    <t>Experience</t>
  </si>
  <si>
    <t>Salary</t>
  </si>
  <si>
    <t>Projects_Completed</t>
  </si>
  <si>
    <t>Working_Hours</t>
  </si>
  <si>
    <t>Performance_Rating</t>
  </si>
  <si>
    <t>Attendance</t>
  </si>
  <si>
    <t>City</t>
  </si>
  <si>
    <t>E0001</t>
  </si>
  <si>
    <t>Manoj</t>
  </si>
  <si>
    <t>Sales</t>
  </si>
  <si>
    <t>Male</t>
  </si>
  <si>
    <t>Bangalore</t>
  </si>
  <si>
    <t>E0002</t>
  </si>
  <si>
    <t>Deepa</t>
  </si>
  <si>
    <t>Female</t>
  </si>
  <si>
    <t>E0003</t>
  </si>
  <si>
    <t>Nisha</t>
  </si>
  <si>
    <t>IT</t>
  </si>
  <si>
    <t>Delhi</t>
  </si>
  <si>
    <t>E0004</t>
  </si>
  <si>
    <t>Finance</t>
  </si>
  <si>
    <t>Hyderabad</t>
  </si>
  <si>
    <t>E0005</t>
  </si>
  <si>
    <t>Sanjay</t>
  </si>
  <si>
    <t>HR</t>
  </si>
  <si>
    <t>E0006</t>
  </si>
  <si>
    <t>Rekha</t>
  </si>
  <si>
    <t>Chennai</t>
  </si>
  <si>
    <t>E0007</t>
  </si>
  <si>
    <t>Sneha</t>
  </si>
  <si>
    <t>E0008</t>
  </si>
  <si>
    <t>Ravi</t>
  </si>
  <si>
    <t>Mumbai</t>
  </si>
  <si>
    <t>E0009</t>
  </si>
  <si>
    <t>E0010</t>
  </si>
  <si>
    <t>Anitha</t>
  </si>
  <si>
    <t>E0011</t>
  </si>
  <si>
    <t>E0012</t>
  </si>
  <si>
    <t>Ramesh</t>
  </si>
  <si>
    <t>E0013</t>
  </si>
  <si>
    <t>Kavya</t>
  </si>
  <si>
    <t>E0014</t>
  </si>
  <si>
    <t>E0015</t>
  </si>
  <si>
    <t>E0016</t>
  </si>
  <si>
    <t>E0017</t>
  </si>
  <si>
    <t>E0018</t>
  </si>
  <si>
    <t>Pune</t>
  </si>
  <si>
    <t>E0019</t>
  </si>
  <si>
    <t>Karthik</t>
  </si>
  <si>
    <t>E0020</t>
  </si>
  <si>
    <t>E0021</t>
  </si>
  <si>
    <t>E0022</t>
  </si>
  <si>
    <t>E0023</t>
  </si>
  <si>
    <t>E0024</t>
  </si>
  <si>
    <t>E0025</t>
  </si>
  <si>
    <t>E0026</t>
  </si>
  <si>
    <t>E0027</t>
  </si>
  <si>
    <t>E0028</t>
  </si>
  <si>
    <t>Lakshmi</t>
  </si>
  <si>
    <t>E0029</t>
  </si>
  <si>
    <t>Vijay</t>
  </si>
  <si>
    <t>E0030</t>
  </si>
  <si>
    <t>E0031</t>
  </si>
  <si>
    <t>E0032</t>
  </si>
  <si>
    <t>E0033</t>
  </si>
  <si>
    <t>Ajay</t>
  </si>
  <si>
    <t>E0034</t>
  </si>
  <si>
    <t>E0035</t>
  </si>
  <si>
    <t>E0036</t>
  </si>
  <si>
    <t>E0037</t>
  </si>
  <si>
    <t>Arun</t>
  </si>
  <si>
    <t>E0038</t>
  </si>
  <si>
    <t>Priya</t>
  </si>
  <si>
    <t>E0039</t>
  </si>
  <si>
    <t>E0040</t>
  </si>
  <si>
    <t>E0041</t>
  </si>
  <si>
    <t>Hari</t>
  </si>
  <si>
    <t>E0042</t>
  </si>
  <si>
    <t>Divya</t>
  </si>
  <si>
    <t>E0043</t>
  </si>
  <si>
    <t>E0044</t>
  </si>
  <si>
    <t>E0045</t>
  </si>
  <si>
    <t>E0046</t>
  </si>
  <si>
    <t>E0047</t>
  </si>
  <si>
    <t>Meena</t>
  </si>
  <si>
    <t>E0048</t>
  </si>
  <si>
    <t>E0049</t>
  </si>
  <si>
    <t>E0050</t>
  </si>
  <si>
    <t>E0051</t>
  </si>
  <si>
    <t>Suresh</t>
  </si>
  <si>
    <t>E0052</t>
  </si>
  <si>
    <t>E0053</t>
  </si>
  <si>
    <t>E0054</t>
  </si>
  <si>
    <t>E0055</t>
  </si>
  <si>
    <t>E0056</t>
  </si>
  <si>
    <t>E0057</t>
  </si>
  <si>
    <t>E0058</t>
  </si>
  <si>
    <t>E0059</t>
  </si>
  <si>
    <t>E0060</t>
  </si>
  <si>
    <t>E0061</t>
  </si>
  <si>
    <t>E0062</t>
  </si>
  <si>
    <t>E0063</t>
  </si>
  <si>
    <t>E0064</t>
  </si>
  <si>
    <t>E0065</t>
  </si>
  <si>
    <t>E0066</t>
  </si>
  <si>
    <t>E0067</t>
  </si>
  <si>
    <t>E0068</t>
  </si>
  <si>
    <t>E0069</t>
  </si>
  <si>
    <t>E0070</t>
  </si>
  <si>
    <t>E0071</t>
  </si>
  <si>
    <t>E0072</t>
  </si>
  <si>
    <t>E0073</t>
  </si>
  <si>
    <t>E0074</t>
  </si>
  <si>
    <t>E0075</t>
  </si>
  <si>
    <t>E0076</t>
  </si>
  <si>
    <t>E0077</t>
  </si>
  <si>
    <t>E0078</t>
  </si>
  <si>
    <t>E0079</t>
  </si>
  <si>
    <t>E0080</t>
  </si>
  <si>
    <t>E0081</t>
  </si>
  <si>
    <t>E0082</t>
  </si>
  <si>
    <t>E0083</t>
  </si>
  <si>
    <t>E0084</t>
  </si>
  <si>
    <t>E0085</t>
  </si>
  <si>
    <t>E0086</t>
  </si>
  <si>
    <t>E0087</t>
  </si>
  <si>
    <t>E0088</t>
  </si>
  <si>
    <t>E0089</t>
  </si>
  <si>
    <t>E0090</t>
  </si>
  <si>
    <t>E0091</t>
  </si>
  <si>
    <t>E0092</t>
  </si>
  <si>
    <t>E0093</t>
  </si>
  <si>
    <t>E0094</t>
  </si>
  <si>
    <t>E0095</t>
  </si>
  <si>
    <t>E0096</t>
  </si>
  <si>
    <t>E0097</t>
  </si>
  <si>
    <t>E0098</t>
  </si>
  <si>
    <t>E0099</t>
  </si>
  <si>
    <t>E0100</t>
  </si>
  <si>
    <t>E0101</t>
  </si>
  <si>
    <t>E0102</t>
  </si>
  <si>
    <t>E0103</t>
  </si>
  <si>
    <t>E0104</t>
  </si>
  <si>
    <t>E0105</t>
  </si>
  <si>
    <t>E0106</t>
  </si>
  <si>
    <t>E0107</t>
  </si>
  <si>
    <t>E0108</t>
  </si>
  <si>
    <t>E0109</t>
  </si>
  <si>
    <t>E0110</t>
  </si>
  <si>
    <t>E0111</t>
  </si>
  <si>
    <t>E0112</t>
  </si>
  <si>
    <t>E0113</t>
  </si>
  <si>
    <t>E0114</t>
  </si>
  <si>
    <t>E0115</t>
  </si>
  <si>
    <t>E0116</t>
  </si>
  <si>
    <t>E0117</t>
  </si>
  <si>
    <t>E0118</t>
  </si>
  <si>
    <t>E0119</t>
  </si>
  <si>
    <t>E0120</t>
  </si>
  <si>
    <t>E0121</t>
  </si>
  <si>
    <t>E0122</t>
  </si>
  <si>
    <t>E0123</t>
  </si>
  <si>
    <t>E0124</t>
  </si>
  <si>
    <t>E0125</t>
  </si>
  <si>
    <t>E0126</t>
  </si>
  <si>
    <t>E0127</t>
  </si>
  <si>
    <t>E0128</t>
  </si>
  <si>
    <t>E0129</t>
  </si>
  <si>
    <t>E0130</t>
  </si>
  <si>
    <t>E0131</t>
  </si>
  <si>
    <t>E0132</t>
  </si>
  <si>
    <t>E0133</t>
  </si>
  <si>
    <t>E0134</t>
  </si>
  <si>
    <t>E0135</t>
  </si>
  <si>
    <t>E0136</t>
  </si>
  <si>
    <t>E0137</t>
  </si>
  <si>
    <t>E0138</t>
  </si>
  <si>
    <t>E0139</t>
  </si>
  <si>
    <t>E0140</t>
  </si>
  <si>
    <t>E0141</t>
  </si>
  <si>
    <t>E0142</t>
  </si>
  <si>
    <t>E0143</t>
  </si>
  <si>
    <t>E0144</t>
  </si>
  <si>
    <t>E0145</t>
  </si>
  <si>
    <t>E0146</t>
  </si>
  <si>
    <t>E0147</t>
  </si>
  <si>
    <t>E0148</t>
  </si>
  <si>
    <t>E0149</t>
  </si>
  <si>
    <t>E0150</t>
  </si>
  <si>
    <t>E0151</t>
  </si>
  <si>
    <t>E0152</t>
  </si>
  <si>
    <t>E0153</t>
  </si>
  <si>
    <t>E0154</t>
  </si>
  <si>
    <t>E0155</t>
  </si>
  <si>
    <t>E0156</t>
  </si>
  <si>
    <t>E0157</t>
  </si>
  <si>
    <t>E0158</t>
  </si>
  <si>
    <t>E0159</t>
  </si>
  <si>
    <t>E0160</t>
  </si>
  <si>
    <t>E0161</t>
  </si>
  <si>
    <t>E0162</t>
  </si>
  <si>
    <t>E0163</t>
  </si>
  <si>
    <t>E0164</t>
  </si>
  <si>
    <t>E0165</t>
  </si>
  <si>
    <t>E0166</t>
  </si>
  <si>
    <t>E0167</t>
  </si>
  <si>
    <t>E0168</t>
  </si>
  <si>
    <t>E0169</t>
  </si>
  <si>
    <t>E0170</t>
  </si>
  <si>
    <t>E0171</t>
  </si>
  <si>
    <t>E0172</t>
  </si>
  <si>
    <t>E0173</t>
  </si>
  <si>
    <t>E0174</t>
  </si>
  <si>
    <t>E0175</t>
  </si>
  <si>
    <t>E0176</t>
  </si>
  <si>
    <t>E0177</t>
  </si>
  <si>
    <t>E0178</t>
  </si>
  <si>
    <t>E0179</t>
  </si>
  <si>
    <t>E0180</t>
  </si>
  <si>
    <t>E0181</t>
  </si>
  <si>
    <t>E0182</t>
  </si>
  <si>
    <t>E0183</t>
  </si>
  <si>
    <t>E0184</t>
  </si>
  <si>
    <t>E0185</t>
  </si>
  <si>
    <t>E0186</t>
  </si>
  <si>
    <t>E0187</t>
  </si>
  <si>
    <t>E0188</t>
  </si>
  <si>
    <t>E0189</t>
  </si>
  <si>
    <t>E0190</t>
  </si>
  <si>
    <t>E0191</t>
  </si>
  <si>
    <t>E0192</t>
  </si>
  <si>
    <t>E0193</t>
  </si>
  <si>
    <t>E0194</t>
  </si>
  <si>
    <t>E0195</t>
  </si>
  <si>
    <t>E0196</t>
  </si>
  <si>
    <t>E0197</t>
  </si>
  <si>
    <t>E0198</t>
  </si>
  <si>
    <t>E0199</t>
  </si>
  <si>
    <t>E0200</t>
  </si>
  <si>
    <t>E0201</t>
  </si>
  <si>
    <t>E0202</t>
  </si>
  <si>
    <t>E0203</t>
  </si>
  <si>
    <t>E0204</t>
  </si>
  <si>
    <t>E0205</t>
  </si>
  <si>
    <t>E0206</t>
  </si>
  <si>
    <t>E0207</t>
  </si>
  <si>
    <t>E0208</t>
  </si>
  <si>
    <t>E0209</t>
  </si>
  <si>
    <t>E0210</t>
  </si>
  <si>
    <t>E0211</t>
  </si>
  <si>
    <t>E0212</t>
  </si>
  <si>
    <t>E0213</t>
  </si>
  <si>
    <t>E0214</t>
  </si>
  <si>
    <t>E0215</t>
  </si>
  <si>
    <t>E0216</t>
  </si>
  <si>
    <t>E0217</t>
  </si>
  <si>
    <t>E0218</t>
  </si>
  <si>
    <t>E0219</t>
  </si>
  <si>
    <t>E0220</t>
  </si>
  <si>
    <t>E0221</t>
  </si>
  <si>
    <t>E0222</t>
  </si>
  <si>
    <t>E0223</t>
  </si>
  <si>
    <t>E0224</t>
  </si>
  <si>
    <t>E0225</t>
  </si>
  <si>
    <t>E0226</t>
  </si>
  <si>
    <t>E0227</t>
  </si>
  <si>
    <t>E0228</t>
  </si>
  <si>
    <t>E0229</t>
  </si>
  <si>
    <t>E0230</t>
  </si>
  <si>
    <t>E0231</t>
  </si>
  <si>
    <t>E0232</t>
  </si>
  <si>
    <t>E0233</t>
  </si>
  <si>
    <t>E0234</t>
  </si>
  <si>
    <t>E0235</t>
  </si>
  <si>
    <t>E0236</t>
  </si>
  <si>
    <t>E0237</t>
  </si>
  <si>
    <t>E0238</t>
  </si>
  <si>
    <t>E0239</t>
  </si>
  <si>
    <t>E0240</t>
  </si>
  <si>
    <t>E0241</t>
  </si>
  <si>
    <t>E0242</t>
  </si>
  <si>
    <t>E0243</t>
  </si>
  <si>
    <t>E0244</t>
  </si>
  <si>
    <t>E0245</t>
  </si>
  <si>
    <t>E0246</t>
  </si>
  <si>
    <t>E0247</t>
  </si>
  <si>
    <t>E0248</t>
  </si>
  <si>
    <t>E0249</t>
  </si>
  <si>
    <t>E0250</t>
  </si>
  <si>
    <t>E0251</t>
  </si>
  <si>
    <t>E0252</t>
  </si>
  <si>
    <t>E0253</t>
  </si>
  <si>
    <t>E0254</t>
  </si>
  <si>
    <t>E0255</t>
  </si>
  <si>
    <t>E0256</t>
  </si>
  <si>
    <t>E0257</t>
  </si>
  <si>
    <t>E0258</t>
  </si>
  <si>
    <t>E0259</t>
  </si>
  <si>
    <t>E0260</t>
  </si>
  <si>
    <t>E0261</t>
  </si>
  <si>
    <t>E0262</t>
  </si>
  <si>
    <t>E0263</t>
  </si>
  <si>
    <t>E0264</t>
  </si>
  <si>
    <t>E0265</t>
  </si>
  <si>
    <t>E0266</t>
  </si>
  <si>
    <t>E0267</t>
  </si>
  <si>
    <t>E0268</t>
  </si>
  <si>
    <t>E0269</t>
  </si>
  <si>
    <t>E0270</t>
  </si>
  <si>
    <t>E0271</t>
  </si>
  <si>
    <t>E0272</t>
  </si>
  <si>
    <t>E0273</t>
  </si>
  <si>
    <t>E0274</t>
  </si>
  <si>
    <t>E0275</t>
  </si>
  <si>
    <t>E0276</t>
  </si>
  <si>
    <t>E0277</t>
  </si>
  <si>
    <t>E0278</t>
  </si>
  <si>
    <t>E0279</t>
  </si>
  <si>
    <t>E0280</t>
  </si>
  <si>
    <t>E0281</t>
  </si>
  <si>
    <t>E0282</t>
  </si>
  <si>
    <t>E0283</t>
  </si>
  <si>
    <t>E0284</t>
  </si>
  <si>
    <t>E0285</t>
  </si>
  <si>
    <t>E0286</t>
  </si>
  <si>
    <t>E0287</t>
  </si>
  <si>
    <t>E0288</t>
  </si>
  <si>
    <t>E0289</t>
  </si>
  <si>
    <t>E0290</t>
  </si>
  <si>
    <t>E0291</t>
  </si>
  <si>
    <t>E0292</t>
  </si>
  <si>
    <t>E0293</t>
  </si>
  <si>
    <t>E0294</t>
  </si>
  <si>
    <t>E0295</t>
  </si>
  <si>
    <t>E0296</t>
  </si>
  <si>
    <t>E0297</t>
  </si>
  <si>
    <t>E0298</t>
  </si>
  <si>
    <t>E0299</t>
  </si>
  <si>
    <t>E0300</t>
  </si>
  <si>
    <t>E0301</t>
  </si>
  <si>
    <t>E0302</t>
  </si>
  <si>
    <t>E0303</t>
  </si>
  <si>
    <t>E0304</t>
  </si>
  <si>
    <t>E0305</t>
  </si>
  <si>
    <t>E0306</t>
  </si>
  <si>
    <t>E0307</t>
  </si>
  <si>
    <t>E0308</t>
  </si>
  <si>
    <t>E0309</t>
  </si>
  <si>
    <t>E0310</t>
  </si>
  <si>
    <t>E0311</t>
  </si>
  <si>
    <t>E0312</t>
  </si>
  <si>
    <t>E0313</t>
  </si>
  <si>
    <t>E0314</t>
  </si>
  <si>
    <t>E0315</t>
  </si>
  <si>
    <t>E0316</t>
  </si>
  <si>
    <t>E0317</t>
  </si>
  <si>
    <t>E0318</t>
  </si>
  <si>
    <t>E0319</t>
  </si>
  <si>
    <t>E0320</t>
  </si>
  <si>
    <t>E0321</t>
  </si>
  <si>
    <t>E0322</t>
  </si>
  <si>
    <t>E0323</t>
  </si>
  <si>
    <t>E0324</t>
  </si>
  <si>
    <t>E0325</t>
  </si>
  <si>
    <t>E0326</t>
  </si>
  <si>
    <t>E0327</t>
  </si>
  <si>
    <t>E0328</t>
  </si>
  <si>
    <t>E0329</t>
  </si>
  <si>
    <t>E0330</t>
  </si>
  <si>
    <t>E0331</t>
  </si>
  <si>
    <t>E0332</t>
  </si>
  <si>
    <t>E0333</t>
  </si>
  <si>
    <t>E0334</t>
  </si>
  <si>
    <t>E0335</t>
  </si>
  <si>
    <t>E0336</t>
  </si>
  <si>
    <t>E0337</t>
  </si>
  <si>
    <t>E0338</t>
  </si>
  <si>
    <t>E0339</t>
  </si>
  <si>
    <t>E0340</t>
  </si>
  <si>
    <t>E0341</t>
  </si>
  <si>
    <t>E0342</t>
  </si>
  <si>
    <t>E0343</t>
  </si>
  <si>
    <t>E0344</t>
  </si>
  <si>
    <t>E0345</t>
  </si>
  <si>
    <t>E0346</t>
  </si>
  <si>
    <t>E0347</t>
  </si>
  <si>
    <t>E0348</t>
  </si>
  <si>
    <t>E0349</t>
  </si>
  <si>
    <t>E0350</t>
  </si>
  <si>
    <t>E0351</t>
  </si>
  <si>
    <t>E0352</t>
  </si>
  <si>
    <t>E0353</t>
  </si>
  <si>
    <t>E0354</t>
  </si>
  <si>
    <t>E0355</t>
  </si>
  <si>
    <t>E0356</t>
  </si>
  <si>
    <t>E0357</t>
  </si>
  <si>
    <t>E0358</t>
  </si>
  <si>
    <t>E0359</t>
  </si>
  <si>
    <t>E0360</t>
  </si>
  <si>
    <t>E0361</t>
  </si>
  <si>
    <t>E0362</t>
  </si>
  <si>
    <t>E0363</t>
  </si>
  <si>
    <t>E0364</t>
  </si>
  <si>
    <t>E0365</t>
  </si>
  <si>
    <t>E0366</t>
  </si>
  <si>
    <t>E0367</t>
  </si>
  <si>
    <t>E0368</t>
  </si>
  <si>
    <t>E0369</t>
  </si>
  <si>
    <t>E0370</t>
  </si>
  <si>
    <t>E0371</t>
  </si>
  <si>
    <t>E0372</t>
  </si>
  <si>
    <t>E0373</t>
  </si>
  <si>
    <t>E0374</t>
  </si>
  <si>
    <t>E0375</t>
  </si>
  <si>
    <t>E0376</t>
  </si>
  <si>
    <t>E0377</t>
  </si>
  <si>
    <t>E0378</t>
  </si>
  <si>
    <t>E0379</t>
  </si>
  <si>
    <t>E0380</t>
  </si>
  <si>
    <t>E0381</t>
  </si>
  <si>
    <t>E0382</t>
  </si>
  <si>
    <t>E0383</t>
  </si>
  <si>
    <t>E0384</t>
  </si>
  <si>
    <t>E0385</t>
  </si>
  <si>
    <t>E0386</t>
  </si>
  <si>
    <t>E0387</t>
  </si>
  <si>
    <t>E0388</t>
  </si>
  <si>
    <t>E0389</t>
  </si>
  <si>
    <t>E0390</t>
  </si>
  <si>
    <t>E0391</t>
  </si>
  <si>
    <t>E0392</t>
  </si>
  <si>
    <t>E0393</t>
  </si>
  <si>
    <t>E0394</t>
  </si>
  <si>
    <t>E0395</t>
  </si>
  <si>
    <t>E0396</t>
  </si>
  <si>
    <t>E0397</t>
  </si>
  <si>
    <t>E0398</t>
  </si>
  <si>
    <t>E0399</t>
  </si>
  <si>
    <t>E0400</t>
  </si>
  <si>
    <t>E0401</t>
  </si>
  <si>
    <t>E0402</t>
  </si>
  <si>
    <t>E0403</t>
  </si>
  <si>
    <t>E0404</t>
  </si>
  <si>
    <t>E0405</t>
  </si>
  <si>
    <t>E0406</t>
  </si>
  <si>
    <t>E0407</t>
  </si>
  <si>
    <t>E0408</t>
  </si>
  <si>
    <t>E0409</t>
  </si>
  <si>
    <t>E0410</t>
  </si>
  <si>
    <t>E0411</t>
  </si>
  <si>
    <t>E0412</t>
  </si>
  <si>
    <t>E0413</t>
  </si>
  <si>
    <t>E0414</t>
  </si>
  <si>
    <t>E0415</t>
  </si>
  <si>
    <t>E0416</t>
  </si>
  <si>
    <t>E0417</t>
  </si>
  <si>
    <t>E0418</t>
  </si>
  <si>
    <t>E0419</t>
  </si>
  <si>
    <t>E0420</t>
  </si>
  <si>
    <t>E0421</t>
  </si>
  <si>
    <t>E0422</t>
  </si>
  <si>
    <t>E0423</t>
  </si>
  <si>
    <t>E0424</t>
  </si>
  <si>
    <t>E0425</t>
  </si>
  <si>
    <t>E0426</t>
  </si>
  <si>
    <t>E0427</t>
  </si>
  <si>
    <t>E0428</t>
  </si>
  <si>
    <t>E0429</t>
  </si>
  <si>
    <t>E0430</t>
  </si>
  <si>
    <t>E0431</t>
  </si>
  <si>
    <t>E0432</t>
  </si>
  <si>
    <t>E0433</t>
  </si>
  <si>
    <t>E0434</t>
  </si>
  <si>
    <t>E0435</t>
  </si>
  <si>
    <t>E0436</t>
  </si>
  <si>
    <t>E0437</t>
  </si>
  <si>
    <t>E0438</t>
  </si>
  <si>
    <t>E0439</t>
  </si>
  <si>
    <t>E0440</t>
  </si>
  <si>
    <t>E0441</t>
  </si>
  <si>
    <t>E0442</t>
  </si>
  <si>
    <t>E0443</t>
  </si>
  <si>
    <t>E0444</t>
  </si>
  <si>
    <t>E0445</t>
  </si>
  <si>
    <t>E0446</t>
  </si>
  <si>
    <t>E0447</t>
  </si>
  <si>
    <t>E0448</t>
  </si>
  <si>
    <t>E0449</t>
  </si>
  <si>
    <t>E0450</t>
  </si>
  <si>
    <t>E0451</t>
  </si>
  <si>
    <t>E0452</t>
  </si>
  <si>
    <t>E0453</t>
  </si>
  <si>
    <t>E0454</t>
  </si>
  <si>
    <t>E0455</t>
  </si>
  <si>
    <t>E0456</t>
  </si>
  <si>
    <t>E0457</t>
  </si>
  <si>
    <t>E0458</t>
  </si>
  <si>
    <t>E0459</t>
  </si>
  <si>
    <t>E0460</t>
  </si>
  <si>
    <t>E0461</t>
  </si>
  <si>
    <t>E0462</t>
  </si>
  <si>
    <t>E0463</t>
  </si>
  <si>
    <t>E0464</t>
  </si>
  <si>
    <t>E0465</t>
  </si>
  <si>
    <t>E0466</t>
  </si>
  <si>
    <t>E0467</t>
  </si>
  <si>
    <t>E0468</t>
  </si>
  <si>
    <t>E0469</t>
  </si>
  <si>
    <t>E0470</t>
  </si>
  <si>
    <t>E0471</t>
  </si>
  <si>
    <t>E0472</t>
  </si>
  <si>
    <t>E0473</t>
  </si>
  <si>
    <t>E0474</t>
  </si>
  <si>
    <t>E0475</t>
  </si>
  <si>
    <t>E0476</t>
  </si>
  <si>
    <t>E0477</t>
  </si>
  <si>
    <t>E0478</t>
  </si>
  <si>
    <t>E0479</t>
  </si>
  <si>
    <t>E0480</t>
  </si>
  <si>
    <t>E0481</t>
  </si>
  <si>
    <t>E0482</t>
  </si>
  <si>
    <t>E0483</t>
  </si>
  <si>
    <t>E0484</t>
  </si>
  <si>
    <t>E0485</t>
  </si>
  <si>
    <t>E0486</t>
  </si>
  <si>
    <t>E0487</t>
  </si>
  <si>
    <t>E0488</t>
  </si>
  <si>
    <t>E0489</t>
  </si>
  <si>
    <t>E0490</t>
  </si>
  <si>
    <t>E0491</t>
  </si>
  <si>
    <t>E0492</t>
  </si>
  <si>
    <t>E0493</t>
  </si>
  <si>
    <t>E0494</t>
  </si>
  <si>
    <t>E0495</t>
  </si>
  <si>
    <t>E0496</t>
  </si>
  <si>
    <t>E0497</t>
  </si>
  <si>
    <t>E0498</t>
  </si>
  <si>
    <t>E0499</t>
  </si>
  <si>
    <t>E0500</t>
  </si>
  <si>
    <t>E0501</t>
  </si>
  <si>
    <t>E0502</t>
  </si>
  <si>
    <t>E0503</t>
  </si>
  <si>
    <t>E0504</t>
  </si>
  <si>
    <t>E0505</t>
  </si>
  <si>
    <t>E0506</t>
  </si>
  <si>
    <t>E0507</t>
  </si>
  <si>
    <t>E0508</t>
  </si>
  <si>
    <t>E0509</t>
  </si>
  <si>
    <t>E0510</t>
  </si>
  <si>
    <t>E0511</t>
  </si>
  <si>
    <t>E0512</t>
  </si>
  <si>
    <t>E0513</t>
  </si>
  <si>
    <t>E0514</t>
  </si>
  <si>
    <t>E0515</t>
  </si>
  <si>
    <t>E0516</t>
  </si>
  <si>
    <t>E0517</t>
  </si>
  <si>
    <t>E0518</t>
  </si>
  <si>
    <t>E0519</t>
  </si>
  <si>
    <t>E0520</t>
  </si>
  <si>
    <t>E0521</t>
  </si>
  <si>
    <t>E0522</t>
  </si>
  <si>
    <t>E0523</t>
  </si>
  <si>
    <t>E0524</t>
  </si>
  <si>
    <t>E0525</t>
  </si>
  <si>
    <t>E0526</t>
  </si>
  <si>
    <t>E0527</t>
  </si>
  <si>
    <t>E0528</t>
  </si>
  <si>
    <t>E0529</t>
  </si>
  <si>
    <t>E0530</t>
  </si>
  <si>
    <t>E0531</t>
  </si>
  <si>
    <t>E0532</t>
  </si>
  <si>
    <t>E0533</t>
  </si>
  <si>
    <t>E0534</t>
  </si>
  <si>
    <t>E0535</t>
  </si>
  <si>
    <t>E0536</t>
  </si>
  <si>
    <t>E0537</t>
  </si>
  <si>
    <t>E0538</t>
  </si>
  <si>
    <t>E0539</t>
  </si>
  <si>
    <t>E0540</t>
  </si>
  <si>
    <t>E0541</t>
  </si>
  <si>
    <t>E0542</t>
  </si>
  <si>
    <t>E0543</t>
  </si>
  <si>
    <t>E0544</t>
  </si>
  <si>
    <t>E0545</t>
  </si>
  <si>
    <t>E0546</t>
  </si>
  <si>
    <t>E0547</t>
  </si>
  <si>
    <t>E0548</t>
  </si>
  <si>
    <t>E0549</t>
  </si>
  <si>
    <t>E0550</t>
  </si>
  <si>
    <t>E0551</t>
  </si>
  <si>
    <t>E0552</t>
  </si>
  <si>
    <t>E0553</t>
  </si>
  <si>
    <t>E0554</t>
  </si>
  <si>
    <t>E0555</t>
  </si>
  <si>
    <t>E0556</t>
  </si>
  <si>
    <t>E0557</t>
  </si>
  <si>
    <t>E0558</t>
  </si>
  <si>
    <t>E0559</t>
  </si>
  <si>
    <t>E0560</t>
  </si>
  <si>
    <t>E0561</t>
  </si>
  <si>
    <t>E0562</t>
  </si>
  <si>
    <t>E0563</t>
  </si>
  <si>
    <t>E0564</t>
  </si>
  <si>
    <t>E0565</t>
  </si>
  <si>
    <t>E0566</t>
  </si>
  <si>
    <t>E0567</t>
  </si>
  <si>
    <t>E0568</t>
  </si>
  <si>
    <t>E0569</t>
  </si>
  <si>
    <t>E0570</t>
  </si>
  <si>
    <t>E0571</t>
  </si>
  <si>
    <t>E0572</t>
  </si>
  <si>
    <t>E0573</t>
  </si>
  <si>
    <t>E0574</t>
  </si>
  <si>
    <t>E0575</t>
  </si>
  <si>
    <t>E0576</t>
  </si>
  <si>
    <t>E0577</t>
  </si>
  <si>
    <t>E0578</t>
  </si>
  <si>
    <t>E0579</t>
  </si>
  <si>
    <t>E0580</t>
  </si>
  <si>
    <t>E0581</t>
  </si>
  <si>
    <t>E0582</t>
  </si>
  <si>
    <t>E0583</t>
  </si>
  <si>
    <t>E0584</t>
  </si>
  <si>
    <t>E0585</t>
  </si>
  <si>
    <t>E0586</t>
  </si>
  <si>
    <t>E0587</t>
  </si>
  <si>
    <t>E0588</t>
  </si>
  <si>
    <t>E0589</t>
  </si>
  <si>
    <t>E0590</t>
  </si>
  <si>
    <t>E0591</t>
  </si>
  <si>
    <t>E0592</t>
  </si>
  <si>
    <t>E0593</t>
  </si>
  <si>
    <t>E0594</t>
  </si>
  <si>
    <t>E0595</t>
  </si>
  <si>
    <t>E0596</t>
  </si>
  <si>
    <t>E0597</t>
  </si>
  <si>
    <t>E0598</t>
  </si>
  <si>
    <t>E0599</t>
  </si>
  <si>
    <t>E0600</t>
  </si>
  <si>
    <t>E0601</t>
  </si>
  <si>
    <t>E0602</t>
  </si>
  <si>
    <t>E0603</t>
  </si>
  <si>
    <t>E0604</t>
  </si>
  <si>
    <t>E0605</t>
  </si>
  <si>
    <t>E0606</t>
  </si>
  <si>
    <t>E0607</t>
  </si>
  <si>
    <t>E0608</t>
  </si>
  <si>
    <t>E0609</t>
  </si>
  <si>
    <t>E0610</t>
  </si>
  <si>
    <t>E0611</t>
  </si>
  <si>
    <t>E0612</t>
  </si>
  <si>
    <t>E0613</t>
  </si>
  <si>
    <t>E0614</t>
  </si>
  <si>
    <t>E0615</t>
  </si>
  <si>
    <t>E0616</t>
  </si>
  <si>
    <t>E0617</t>
  </si>
  <si>
    <t>E0618</t>
  </si>
  <si>
    <t>E0619</t>
  </si>
  <si>
    <t>E0620</t>
  </si>
  <si>
    <t>E0621</t>
  </si>
  <si>
    <t>E0622</t>
  </si>
  <si>
    <t>E0623</t>
  </si>
  <si>
    <t>E0624</t>
  </si>
  <si>
    <t>E0625</t>
  </si>
  <si>
    <t>E0626</t>
  </si>
  <si>
    <t>E0627</t>
  </si>
  <si>
    <t>E0628</t>
  </si>
  <si>
    <t>E0629</t>
  </si>
  <si>
    <t>E0630</t>
  </si>
  <si>
    <t>E0631</t>
  </si>
  <si>
    <t>E0632</t>
  </si>
  <si>
    <t>E0633</t>
  </si>
  <si>
    <t>E0634</t>
  </si>
  <si>
    <t>E0635</t>
  </si>
  <si>
    <t>E0636</t>
  </si>
  <si>
    <t>E0637</t>
  </si>
  <si>
    <t>E0638</t>
  </si>
  <si>
    <t>E0639</t>
  </si>
  <si>
    <t>E0640</t>
  </si>
  <si>
    <t>E0641</t>
  </si>
  <si>
    <t>E0642</t>
  </si>
  <si>
    <t>E0643</t>
  </si>
  <si>
    <t>E0644</t>
  </si>
  <si>
    <t>E0645</t>
  </si>
  <si>
    <t>E0646</t>
  </si>
  <si>
    <t>E0647</t>
  </si>
  <si>
    <t>E0648</t>
  </si>
  <si>
    <t>E0649</t>
  </si>
  <si>
    <t>E0650</t>
  </si>
  <si>
    <t>E0651</t>
  </si>
  <si>
    <t>E0652</t>
  </si>
  <si>
    <t>E0653</t>
  </si>
  <si>
    <t>E0654</t>
  </si>
  <si>
    <t>E0655</t>
  </si>
  <si>
    <t>E0656</t>
  </si>
  <si>
    <t>E0657</t>
  </si>
  <si>
    <t>E0658</t>
  </si>
  <si>
    <t>E0659</t>
  </si>
  <si>
    <t>E0660</t>
  </si>
  <si>
    <t>E0661</t>
  </si>
  <si>
    <t>E0662</t>
  </si>
  <si>
    <t>E0663</t>
  </si>
  <si>
    <t>E0664</t>
  </si>
  <si>
    <t>E0665</t>
  </si>
  <si>
    <t>E0666</t>
  </si>
  <si>
    <t>E0667</t>
  </si>
  <si>
    <t>E0668</t>
  </si>
  <si>
    <t>E0669</t>
  </si>
  <si>
    <t>E0670</t>
  </si>
  <si>
    <t>E0671</t>
  </si>
  <si>
    <t>E0672</t>
  </si>
  <si>
    <t>E0673</t>
  </si>
  <si>
    <t>E0674</t>
  </si>
  <si>
    <t>E0675</t>
  </si>
  <si>
    <t>E0676</t>
  </si>
  <si>
    <t>E0677</t>
  </si>
  <si>
    <t>E0678</t>
  </si>
  <si>
    <t>E0679</t>
  </si>
  <si>
    <t>E0680</t>
  </si>
  <si>
    <t>E0681</t>
  </si>
  <si>
    <t>E0682</t>
  </si>
  <si>
    <t>E0683</t>
  </si>
  <si>
    <t>E0684</t>
  </si>
  <si>
    <t>E0685</t>
  </si>
  <si>
    <t>E0686</t>
  </si>
  <si>
    <t>E0687</t>
  </si>
  <si>
    <t>E0688</t>
  </si>
  <si>
    <t>E0689</t>
  </si>
  <si>
    <t>E0690</t>
  </si>
  <si>
    <t>E0691</t>
  </si>
  <si>
    <t>E0692</t>
  </si>
  <si>
    <t>E0693</t>
  </si>
  <si>
    <t>E0694</t>
  </si>
  <si>
    <t>E0695</t>
  </si>
  <si>
    <t>E0696</t>
  </si>
  <si>
    <t>E0697</t>
  </si>
  <si>
    <t>E0698</t>
  </si>
  <si>
    <t>E0699</t>
  </si>
  <si>
    <t>E0700</t>
  </si>
  <si>
    <t>E0701</t>
  </si>
  <si>
    <t>E0702</t>
  </si>
  <si>
    <t>E0703</t>
  </si>
  <si>
    <t>E0704</t>
  </si>
  <si>
    <t>E0705</t>
  </si>
  <si>
    <t>E0706</t>
  </si>
  <si>
    <t>E0707</t>
  </si>
  <si>
    <t>E0708</t>
  </si>
  <si>
    <t>E0709</t>
  </si>
  <si>
    <t>E0710</t>
  </si>
  <si>
    <t>E0711</t>
  </si>
  <si>
    <t>E0712</t>
  </si>
  <si>
    <t>E0713</t>
  </si>
  <si>
    <t>E0714</t>
  </si>
  <si>
    <t>E0715</t>
  </si>
  <si>
    <t>E0716</t>
  </si>
  <si>
    <t>E0717</t>
  </si>
  <si>
    <t>E0718</t>
  </si>
  <si>
    <t>E0719</t>
  </si>
  <si>
    <t>E0720</t>
  </si>
  <si>
    <t>E0721</t>
  </si>
  <si>
    <t>E0722</t>
  </si>
  <si>
    <t>E0723</t>
  </si>
  <si>
    <t>E0724</t>
  </si>
  <si>
    <t>E0725</t>
  </si>
  <si>
    <t>E0726</t>
  </si>
  <si>
    <t>E0727</t>
  </si>
  <si>
    <t>E0728</t>
  </si>
  <si>
    <t>E0729</t>
  </si>
  <si>
    <t>E0730</t>
  </si>
  <si>
    <t>E0731</t>
  </si>
  <si>
    <t>E0732</t>
  </si>
  <si>
    <t>E0733</t>
  </si>
  <si>
    <t>E0734</t>
  </si>
  <si>
    <t>E0735</t>
  </si>
  <si>
    <t>E0736</t>
  </si>
  <si>
    <t>E0737</t>
  </si>
  <si>
    <t>E0738</t>
  </si>
  <si>
    <t>E0739</t>
  </si>
  <si>
    <t>E0740</t>
  </si>
  <si>
    <t>E0741</t>
  </si>
  <si>
    <t>E0742</t>
  </si>
  <si>
    <t>E0743</t>
  </si>
  <si>
    <t>E0744</t>
  </si>
  <si>
    <t>E0745</t>
  </si>
  <si>
    <t>E0746</t>
  </si>
  <si>
    <t>E0747</t>
  </si>
  <si>
    <t>E0748</t>
  </si>
  <si>
    <t>E0749</t>
  </si>
  <si>
    <t>E0750</t>
  </si>
  <si>
    <t>E0751</t>
  </si>
  <si>
    <t>E0752</t>
  </si>
  <si>
    <t>E0753</t>
  </si>
  <si>
    <t>E0754</t>
  </si>
  <si>
    <t>E0755</t>
  </si>
  <si>
    <t>E0756</t>
  </si>
  <si>
    <t>E0757</t>
  </si>
  <si>
    <t>E0758</t>
  </si>
  <si>
    <t>E0759</t>
  </si>
  <si>
    <t>E0760</t>
  </si>
  <si>
    <t>E0761</t>
  </si>
  <si>
    <t>E0762</t>
  </si>
  <si>
    <t>E0763</t>
  </si>
  <si>
    <t>E0764</t>
  </si>
  <si>
    <t>E0765</t>
  </si>
  <si>
    <t>E0766</t>
  </si>
  <si>
    <t>E0767</t>
  </si>
  <si>
    <t>E0768</t>
  </si>
  <si>
    <t>E0769</t>
  </si>
  <si>
    <t>E0770</t>
  </si>
  <si>
    <t>E0771</t>
  </si>
  <si>
    <t>E0772</t>
  </si>
  <si>
    <t>E0773</t>
  </si>
  <si>
    <t>E0774</t>
  </si>
  <si>
    <t>E0775</t>
  </si>
  <si>
    <t>E0776</t>
  </si>
  <si>
    <t>E0777</t>
  </si>
  <si>
    <t>E0778</t>
  </si>
  <si>
    <t>E0779</t>
  </si>
  <si>
    <t>E0780</t>
  </si>
  <si>
    <t>E0781</t>
  </si>
  <si>
    <t>E0782</t>
  </si>
  <si>
    <t>E0783</t>
  </si>
  <si>
    <t>E0784</t>
  </si>
  <si>
    <t>E0785</t>
  </si>
  <si>
    <t>E0786</t>
  </si>
  <si>
    <t>E0787</t>
  </si>
  <si>
    <t>E0788</t>
  </si>
  <si>
    <t>E0789</t>
  </si>
  <si>
    <t>E0790</t>
  </si>
  <si>
    <t>E0791</t>
  </si>
  <si>
    <t>E0792</t>
  </si>
  <si>
    <t>E0793</t>
  </si>
  <si>
    <t>E0794</t>
  </si>
  <si>
    <t>E0795</t>
  </si>
  <si>
    <t>E0796</t>
  </si>
  <si>
    <t>E0797</t>
  </si>
  <si>
    <t>E0798</t>
  </si>
  <si>
    <t>E0799</t>
  </si>
  <si>
    <t>E0800</t>
  </si>
  <si>
    <t>E0801</t>
  </si>
  <si>
    <t>E0802</t>
  </si>
  <si>
    <t>E0803</t>
  </si>
  <si>
    <t>E0804</t>
  </si>
  <si>
    <t>E0805</t>
  </si>
  <si>
    <t>E0806</t>
  </si>
  <si>
    <t>E0807</t>
  </si>
  <si>
    <t>E0808</t>
  </si>
  <si>
    <t>E0809</t>
  </si>
  <si>
    <t>E0810</t>
  </si>
  <si>
    <t>E0811</t>
  </si>
  <si>
    <t>E0812</t>
  </si>
  <si>
    <t>E0813</t>
  </si>
  <si>
    <t>E0814</t>
  </si>
  <si>
    <t>E0815</t>
  </si>
  <si>
    <t>E0816</t>
  </si>
  <si>
    <t>E0817</t>
  </si>
  <si>
    <t>E0818</t>
  </si>
  <si>
    <t>E0819</t>
  </si>
  <si>
    <t>E0820</t>
  </si>
  <si>
    <t>E0821</t>
  </si>
  <si>
    <t>E0822</t>
  </si>
  <si>
    <t>E0823</t>
  </si>
  <si>
    <t>E0824</t>
  </si>
  <si>
    <t>E0825</t>
  </si>
  <si>
    <t>E0826</t>
  </si>
  <si>
    <t>E0827</t>
  </si>
  <si>
    <t>E0828</t>
  </si>
  <si>
    <t>E0829</t>
  </si>
  <si>
    <t>E0830</t>
  </si>
  <si>
    <t>E0831</t>
  </si>
  <si>
    <t>E0832</t>
  </si>
  <si>
    <t>E0833</t>
  </si>
  <si>
    <t>E0834</t>
  </si>
  <si>
    <t>E0835</t>
  </si>
  <si>
    <t>E0836</t>
  </si>
  <si>
    <t>E0837</t>
  </si>
  <si>
    <t>E0838</t>
  </si>
  <si>
    <t>E0839</t>
  </si>
  <si>
    <t>E0840</t>
  </si>
  <si>
    <t>E0841</t>
  </si>
  <si>
    <t>E0842</t>
  </si>
  <si>
    <t>E0843</t>
  </si>
  <si>
    <t>E0844</t>
  </si>
  <si>
    <t>E0845</t>
  </si>
  <si>
    <t>E0846</t>
  </si>
  <si>
    <t>E0847</t>
  </si>
  <si>
    <t>E0848</t>
  </si>
  <si>
    <t>E0849</t>
  </si>
  <si>
    <t>E0850</t>
  </si>
  <si>
    <t>E0851</t>
  </si>
  <si>
    <t>E0852</t>
  </si>
  <si>
    <t>E0853</t>
  </si>
  <si>
    <t>E0854</t>
  </si>
  <si>
    <t>E0855</t>
  </si>
  <si>
    <t>E0856</t>
  </si>
  <si>
    <t>E0857</t>
  </si>
  <si>
    <t>E0858</t>
  </si>
  <si>
    <t>E0859</t>
  </si>
  <si>
    <t>E0860</t>
  </si>
  <si>
    <t>E0861</t>
  </si>
  <si>
    <t>E0862</t>
  </si>
  <si>
    <t>E0863</t>
  </si>
  <si>
    <t>E0864</t>
  </si>
  <si>
    <t>E0865</t>
  </si>
  <si>
    <t>E0866</t>
  </si>
  <si>
    <t>E0867</t>
  </si>
  <si>
    <t>E0868</t>
  </si>
  <si>
    <t>E0869</t>
  </si>
  <si>
    <t>E0870</t>
  </si>
  <si>
    <t>E0871</t>
  </si>
  <si>
    <t>E0872</t>
  </si>
  <si>
    <t>E0873</t>
  </si>
  <si>
    <t>E0874</t>
  </si>
  <si>
    <t>E0875</t>
  </si>
  <si>
    <t>E0876</t>
  </si>
  <si>
    <t>E0877</t>
  </si>
  <si>
    <t>E0878</t>
  </si>
  <si>
    <t>E0879</t>
  </si>
  <si>
    <t>E0880</t>
  </si>
  <si>
    <t>E0881</t>
  </si>
  <si>
    <t>E0882</t>
  </si>
  <si>
    <t>E0883</t>
  </si>
  <si>
    <t>E0884</t>
  </si>
  <si>
    <t>E0885</t>
  </si>
  <si>
    <t>E0886</t>
  </si>
  <si>
    <t>E0887</t>
  </si>
  <si>
    <t>E0888</t>
  </si>
  <si>
    <t>E0889</t>
  </si>
  <si>
    <t>E0890</t>
  </si>
  <si>
    <t>E0891</t>
  </si>
  <si>
    <t>E0892</t>
  </si>
  <si>
    <t>E0893</t>
  </si>
  <si>
    <t>E0894</t>
  </si>
  <si>
    <t>E0895</t>
  </si>
  <si>
    <t>E0896</t>
  </si>
  <si>
    <t>E0897</t>
  </si>
  <si>
    <t>E0898</t>
  </si>
  <si>
    <t>E0899</t>
  </si>
  <si>
    <t>E0900</t>
  </si>
  <si>
    <t>E0901</t>
  </si>
  <si>
    <t>E0902</t>
  </si>
  <si>
    <t>E0903</t>
  </si>
  <si>
    <t>E0904</t>
  </si>
  <si>
    <t>E0905</t>
  </si>
  <si>
    <t>E0906</t>
  </si>
  <si>
    <t>E0907</t>
  </si>
  <si>
    <t>E0908</t>
  </si>
  <si>
    <t>E0909</t>
  </si>
  <si>
    <t>E0910</t>
  </si>
  <si>
    <t>E0911</t>
  </si>
  <si>
    <t>E0912</t>
  </si>
  <si>
    <t>E0913</t>
  </si>
  <si>
    <t>E0914</t>
  </si>
  <si>
    <t>E0915</t>
  </si>
  <si>
    <t>E0916</t>
  </si>
  <si>
    <t>E0917</t>
  </si>
  <si>
    <t>E0918</t>
  </si>
  <si>
    <t>E0919</t>
  </si>
  <si>
    <t>E0920</t>
  </si>
  <si>
    <t>E0921</t>
  </si>
  <si>
    <t>E0922</t>
  </si>
  <si>
    <t>E0923</t>
  </si>
  <si>
    <t>E0924</t>
  </si>
  <si>
    <t>E0925</t>
  </si>
  <si>
    <t>E0926</t>
  </si>
  <si>
    <t>E0927</t>
  </si>
  <si>
    <t>E0928</t>
  </si>
  <si>
    <t>E0929</t>
  </si>
  <si>
    <t>E0930</t>
  </si>
  <si>
    <t>E0931</t>
  </si>
  <si>
    <t>E0932</t>
  </si>
  <si>
    <t>E0933</t>
  </si>
  <si>
    <t>E0934</t>
  </si>
  <si>
    <t>E0935</t>
  </si>
  <si>
    <t>E0936</t>
  </si>
  <si>
    <t>E0937</t>
  </si>
  <si>
    <t>E0938</t>
  </si>
  <si>
    <t>E0939</t>
  </si>
  <si>
    <t>E0940</t>
  </si>
  <si>
    <t>E0941</t>
  </si>
  <si>
    <t>E0942</t>
  </si>
  <si>
    <t>E0943</t>
  </si>
  <si>
    <t>E0944</t>
  </si>
  <si>
    <t>E0945</t>
  </si>
  <si>
    <t>E0946</t>
  </si>
  <si>
    <t>E0947</t>
  </si>
  <si>
    <t>E0948</t>
  </si>
  <si>
    <t>E0949</t>
  </si>
  <si>
    <t>E0950</t>
  </si>
  <si>
    <t>E0951</t>
  </si>
  <si>
    <t>E0952</t>
  </si>
  <si>
    <t>E0953</t>
  </si>
  <si>
    <t>E0954</t>
  </si>
  <si>
    <t>E0955</t>
  </si>
  <si>
    <t>E0956</t>
  </si>
  <si>
    <t>E0957</t>
  </si>
  <si>
    <t>E0958</t>
  </si>
  <si>
    <t>E0959</t>
  </si>
  <si>
    <t>E0960</t>
  </si>
  <si>
    <t>E0961</t>
  </si>
  <si>
    <t>E0962</t>
  </si>
  <si>
    <t>E0963</t>
  </si>
  <si>
    <t>E0964</t>
  </si>
  <si>
    <t>E0965</t>
  </si>
  <si>
    <t>E0966</t>
  </si>
  <si>
    <t>E0967</t>
  </si>
  <si>
    <t>E0968</t>
  </si>
  <si>
    <t>E0969</t>
  </si>
  <si>
    <t>E0970</t>
  </si>
  <si>
    <t>E0971</t>
  </si>
  <si>
    <t>E0972</t>
  </si>
  <si>
    <t>E0973</t>
  </si>
  <si>
    <t>E0974</t>
  </si>
  <si>
    <t>E0975</t>
  </si>
  <si>
    <t>E0976</t>
  </si>
  <si>
    <t>E0977</t>
  </si>
  <si>
    <t>E0978</t>
  </si>
  <si>
    <t>E0979</t>
  </si>
  <si>
    <t>E0980</t>
  </si>
  <si>
    <t>E0981</t>
  </si>
  <si>
    <t>E0982</t>
  </si>
  <si>
    <t>E0983</t>
  </si>
  <si>
    <t>E0984</t>
  </si>
  <si>
    <t>E0985</t>
  </si>
  <si>
    <t>E0986</t>
  </si>
  <si>
    <t>E0987</t>
  </si>
  <si>
    <t>E0988</t>
  </si>
  <si>
    <t>E0989</t>
  </si>
  <si>
    <t>E0990</t>
  </si>
  <si>
    <t>E0991</t>
  </si>
  <si>
    <t>E0992</t>
  </si>
  <si>
    <t>E0993</t>
  </si>
  <si>
    <t>E0994</t>
  </si>
  <si>
    <t>E0995</t>
  </si>
  <si>
    <t>E0996</t>
  </si>
  <si>
    <t>E0997</t>
  </si>
  <si>
    <t>E0998</t>
  </si>
  <si>
    <t>E0999</t>
  </si>
  <si>
    <t>E1000</t>
  </si>
  <si>
    <t xml:space="preserve"> Working Eligibility</t>
  </si>
  <si>
    <t>Sum of Salary</t>
  </si>
  <si>
    <t>Ajay Total</t>
  </si>
  <si>
    <t>Anitha Total</t>
  </si>
  <si>
    <t>Arun Total</t>
  </si>
  <si>
    <t>Deepa Total</t>
  </si>
  <si>
    <t>Divya Total</t>
  </si>
  <si>
    <t>Hari Total</t>
  </si>
  <si>
    <t>Karthik Total</t>
  </si>
  <si>
    <t>Kavya Total</t>
  </si>
  <si>
    <t>Lakshmi Total</t>
  </si>
  <si>
    <t>Manoj Total</t>
  </si>
  <si>
    <t>Meena Total</t>
  </si>
  <si>
    <t>Grand Total</t>
  </si>
  <si>
    <t>Sum of Experience</t>
  </si>
  <si>
    <t>Sum of Performance_Rating</t>
  </si>
  <si>
    <t>Sum of Working_Hours</t>
  </si>
  <si>
    <t>Sum of Projects_Completed</t>
  </si>
  <si>
    <t>Sum of Attendance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</si>
</sst>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b/>
      <sz val="11"/>
      <color theme="1"/>
      <name val="Times New Roman"/>
      <family val="1"/>
    </font>
  </fonts>
  <fills count="6">
    <fill>
      <patternFill patternType="none"/>
    </fill>
    <fill>
      <patternFill patternType="gray125"/>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0"/>
        <bgColor indexed="64"/>
      </patternFill>
    </fill>
    <fill>
      <patternFill patternType="solid">
        <fgColor theme="1" tint="4.9989318521683403E-2"/>
        <bgColor indexed="64"/>
      </patternFill>
    </fill>
  </fills>
  <borders count="4">
    <border>
      <left/>
      <right/>
      <top/>
      <bottom/>
      <diagonal/>
    </border>
    <border>
      <left/>
      <right style="thin">
        <color theme="7" tint="0.39997558519241921"/>
      </right>
      <top style="thin">
        <color theme="7" tint="0.39997558519241921"/>
      </top>
      <bottom style="thin">
        <color theme="7" tint="0.39997558519241921"/>
      </bottom>
      <diagonal/>
    </border>
    <border>
      <left style="thin">
        <color theme="7" tint="0.39997558519241921"/>
      </left>
      <right style="thin">
        <color theme="7" tint="0.39997558519241921"/>
      </right>
      <top/>
      <bottom style="thin">
        <color theme="7" tint="0.39997558519241921"/>
      </bottom>
      <diagonal/>
    </border>
    <border>
      <left/>
      <right style="thin">
        <color theme="7" tint="0.39997558519241921"/>
      </right>
      <top/>
      <bottom style="thin">
        <color theme="7" tint="0.39997558519241921"/>
      </bottom>
      <diagonal/>
    </border>
  </borders>
  <cellStyleXfs count="1">
    <xf numFmtId="0" fontId="0" fillId="0" borderId="0"/>
  </cellStyleXfs>
  <cellXfs count="11">
    <xf numFmtId="0" fontId="0" fillId="0" borderId="0" xfId="0"/>
    <xf numFmtId="0" fontId="0" fillId="0" borderId="0" xfId="0" applyAlignment="1">
      <alignment horizontal="center"/>
    </xf>
    <xf numFmtId="0" fontId="1" fillId="0" borderId="0" xfId="0" applyFont="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0" fillId="0" borderId="0" xfId="0" pivotButton="1"/>
    <xf numFmtId="0" fontId="0" fillId="4" borderId="0" xfId="0" applyFill="1"/>
    <xf numFmtId="0" fontId="0" fillId="5" borderId="0" xfId="0" applyFill="1"/>
    <xf numFmtId="0" fontId="0" fillId="0" borderId="0" xfId="0" applyNumberFormat="1"/>
  </cellXfs>
  <cellStyles count="1">
    <cellStyle name="Normal" xfId="0" builtinId="0"/>
  </cellStyles>
  <dxfs count="64">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color rgb="FF9C0006"/>
      </font>
      <fill>
        <patternFill>
          <bgColor rgb="FFFFC7CE"/>
        </patternFill>
      </fill>
    </dxf>
    <dxf>
      <font>
        <color rgb="FF9C0006"/>
      </font>
      <fill>
        <patternFill>
          <bgColor rgb="FFFFC7CE"/>
        </patternFill>
      </fill>
    </dxf>
    <dxf>
      <fill>
        <patternFill patternType="solid">
          <fgColor indexed="64"/>
          <bgColor theme="0"/>
        </patternFill>
      </fill>
    </dxf>
    <dxf>
      <font>
        <strike val="0"/>
        <outline val="0"/>
        <shadow val="0"/>
        <u val="none"/>
        <vertAlign val="baseline"/>
        <sz val="11"/>
        <color theme="1"/>
        <name val="Times New Roman"/>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strike val="0"/>
        <outline val="0"/>
        <shadow val="0"/>
        <u val="none"/>
        <vertAlign val="baseline"/>
        <sz val="11"/>
        <color theme="1"/>
        <name val="Times New Roman"/>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scheme val="none"/>
      </font>
      <fill>
        <patternFill patternType="solid">
          <fgColor theme="7" tint="0.79998168889431442"/>
          <bgColor theme="7" tint="0.79998168889431442"/>
        </patternFill>
      </fill>
      <alignment horizontal="center" vertical="bottom" textRotation="0" wrapText="0" indent="0" justifyLastLine="0" shrinkToFit="0" readingOrder="0"/>
      <border diagonalUp="0" diagonalDown="0" outline="0">
        <left/>
        <right style="thin">
          <color theme="7" tint="0.39997558519241921"/>
        </right>
        <top style="thin">
          <color theme="7" tint="0.39997558519241921"/>
        </top>
        <bottom style="thin">
          <color theme="7" tint="0.39997558519241921"/>
        </bottom>
      </border>
    </dxf>
    <dxf>
      <border outline="0">
        <left style="thin">
          <color theme="7" tint="0.39997558519241921"/>
        </left>
        <top style="thin">
          <color theme="7" tint="0.39997558519241921"/>
        </top>
      </border>
    </dxf>
    <dxf>
      <font>
        <strike val="0"/>
        <outline val="0"/>
        <shadow val="0"/>
        <u val="none"/>
        <vertAlign val="baseline"/>
        <sz val="11"/>
        <color theme="1"/>
        <name val="Times New Roman"/>
        <scheme val="none"/>
      </font>
      <alignment horizontal="center" vertical="bottom" textRotation="0" wrapText="0" indent="0" justifyLastLine="0" shrinkToFit="0" readingOrder="0"/>
    </dxf>
    <dxf>
      <border outline="0">
        <bottom style="thin">
          <color theme="7" tint="0.39997558519241921"/>
        </bottom>
      </border>
    </dxf>
    <dxf>
      <font>
        <b/>
        <i val="0"/>
        <strike val="0"/>
        <condense val="0"/>
        <extend val="0"/>
        <outline val="0"/>
        <shadow val="0"/>
        <u val="none"/>
        <vertAlign val="baseline"/>
        <sz val="11"/>
        <color theme="1"/>
        <name val="Times New Roman"/>
        <scheme val="none"/>
      </font>
      <fill>
        <patternFill patternType="solid">
          <fgColor theme="7" tint="0.79998168889431442"/>
          <bgColor theme="7" tint="0.79998168889431442"/>
        </patternFill>
      </fill>
      <alignment horizontal="center" vertical="bottom" textRotation="0" wrapText="0" indent="0" justifyLastLine="0" shrinkToFit="0" readingOrder="0"/>
      <border diagonalUp="0" diagonalDown="0" outline="0">
        <left style="thin">
          <color theme="7" tint="0.39997558519241921"/>
        </left>
        <right style="thin">
          <color theme="7" tint="0.3999755851924192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'example 1'!$C$3</c:f>
              <c:strCache>
                <c:ptCount val="1"/>
                <c:pt idx="0">
                  <c:v>Total</c:v>
                </c:pt>
              </c:strCache>
            </c:strRef>
          </c:tx>
          <c:spPr>
            <a:solidFill>
              <a:schemeClr val="accent1"/>
            </a:solidFill>
            <a:ln>
              <a:noFill/>
            </a:ln>
            <a:effectLst/>
          </c:spPr>
          <c:invertIfNegative val="0"/>
          <c:cat>
            <c:multiLvlStrRef>
              <c:f>'example 1'!$A$4:$B$37</c:f>
              <c:multiLvlStrCache>
                <c:ptCount val="22"/>
                <c:lvl>
                  <c:pt idx="0">
                    <c:v>Finance</c:v>
                  </c:pt>
                  <c:pt idx="1">
                    <c:v>HR</c:v>
                  </c:pt>
                  <c:pt idx="2">
                    <c:v>Finance</c:v>
                  </c:pt>
                  <c:pt idx="3">
                    <c:v>HR</c:v>
                  </c:pt>
                  <c:pt idx="4">
                    <c:v>Finance</c:v>
                  </c:pt>
                  <c:pt idx="5">
                    <c:v>HR</c:v>
                  </c:pt>
                  <c:pt idx="6">
                    <c:v>Finance</c:v>
                  </c:pt>
                  <c:pt idx="7">
                    <c:v>HR</c:v>
                  </c:pt>
                  <c:pt idx="8">
                    <c:v>Finance</c:v>
                  </c:pt>
                  <c:pt idx="9">
                    <c:v>HR</c:v>
                  </c:pt>
                  <c:pt idx="10">
                    <c:v>Finance</c:v>
                  </c:pt>
                  <c:pt idx="11">
                    <c:v>HR</c:v>
                  </c:pt>
                  <c:pt idx="12">
                    <c:v>Finance</c:v>
                  </c:pt>
                  <c:pt idx="13">
                    <c:v>HR</c:v>
                  </c:pt>
                  <c:pt idx="14">
                    <c:v>Finance</c:v>
                  </c:pt>
                  <c:pt idx="15">
                    <c:v>HR</c:v>
                  </c:pt>
                  <c:pt idx="16">
                    <c:v>Finance</c:v>
                  </c:pt>
                  <c:pt idx="17">
                    <c:v>HR</c:v>
                  </c:pt>
                  <c:pt idx="18">
                    <c:v>Finance</c:v>
                  </c:pt>
                  <c:pt idx="19">
                    <c:v>HR</c:v>
                  </c:pt>
                  <c:pt idx="20">
                    <c:v>Finance</c:v>
                  </c:pt>
                  <c:pt idx="21">
                    <c:v>HR</c:v>
                  </c:pt>
                </c:lvl>
                <c:lvl>
                  <c:pt idx="0">
                    <c:v>Ajay</c:v>
                  </c:pt>
                  <c:pt idx="2">
                    <c:v>Anitha</c:v>
                  </c:pt>
                  <c:pt idx="4">
                    <c:v>Arun</c:v>
                  </c:pt>
                  <c:pt idx="6">
                    <c:v>Deepa</c:v>
                  </c:pt>
                  <c:pt idx="8">
                    <c:v>Divya</c:v>
                  </c:pt>
                  <c:pt idx="10">
                    <c:v>Hari</c:v>
                  </c:pt>
                  <c:pt idx="12">
                    <c:v>Karthik</c:v>
                  </c:pt>
                  <c:pt idx="14">
                    <c:v>Kavya</c:v>
                  </c:pt>
                  <c:pt idx="16">
                    <c:v>Lakshmi</c:v>
                  </c:pt>
                  <c:pt idx="18">
                    <c:v>Manoj</c:v>
                  </c:pt>
                  <c:pt idx="20">
                    <c:v>Meena</c:v>
                  </c:pt>
                </c:lvl>
              </c:multiLvlStrCache>
            </c:multiLvlStrRef>
          </c:cat>
          <c:val>
            <c:numRef>
              <c:f>'example 1'!$C$4:$C$37</c:f>
              <c:numCache>
                <c:formatCode>General</c:formatCode>
                <c:ptCount val="22"/>
                <c:pt idx="0">
                  <c:v>725257</c:v>
                </c:pt>
                <c:pt idx="1">
                  <c:v>323731</c:v>
                </c:pt>
                <c:pt idx="2">
                  <c:v>1082834</c:v>
                </c:pt>
                <c:pt idx="3">
                  <c:v>311699</c:v>
                </c:pt>
                <c:pt idx="4">
                  <c:v>791036</c:v>
                </c:pt>
                <c:pt idx="5">
                  <c:v>960057</c:v>
                </c:pt>
                <c:pt idx="6">
                  <c:v>548280</c:v>
                </c:pt>
                <c:pt idx="7">
                  <c:v>670208</c:v>
                </c:pt>
                <c:pt idx="8">
                  <c:v>670511</c:v>
                </c:pt>
                <c:pt idx="9">
                  <c:v>613147</c:v>
                </c:pt>
                <c:pt idx="10">
                  <c:v>659202</c:v>
                </c:pt>
                <c:pt idx="11">
                  <c:v>574015</c:v>
                </c:pt>
                <c:pt idx="12">
                  <c:v>563730</c:v>
                </c:pt>
                <c:pt idx="13">
                  <c:v>705432</c:v>
                </c:pt>
                <c:pt idx="14">
                  <c:v>510458</c:v>
                </c:pt>
                <c:pt idx="15">
                  <c:v>1107752</c:v>
                </c:pt>
                <c:pt idx="16">
                  <c:v>720207</c:v>
                </c:pt>
                <c:pt idx="17">
                  <c:v>625500</c:v>
                </c:pt>
                <c:pt idx="18">
                  <c:v>1035877</c:v>
                </c:pt>
                <c:pt idx="19">
                  <c:v>838784</c:v>
                </c:pt>
                <c:pt idx="20">
                  <c:v>572885</c:v>
                </c:pt>
                <c:pt idx="21">
                  <c:v>579425</c:v>
                </c:pt>
              </c:numCache>
            </c:numRef>
          </c:val>
          <c:extLst>
            <c:ext xmlns:c16="http://schemas.microsoft.com/office/drawing/2014/chart" uri="{C3380CC4-5D6E-409C-BE32-E72D297353CC}">
              <c16:uniqueId val="{00000000-A0DE-441F-AD50-559F5342DEA9}"/>
            </c:ext>
          </c:extLst>
        </c:ser>
        <c:dLbls>
          <c:showLegendKey val="0"/>
          <c:showVal val="0"/>
          <c:showCatName val="0"/>
          <c:showSerName val="0"/>
          <c:showPercent val="0"/>
          <c:showBubbleSize val="0"/>
        </c:dLbls>
        <c:gapWidth val="219"/>
        <c:overlap val="-27"/>
        <c:axId val="1982812168"/>
        <c:axId val="1982814728"/>
      </c:barChart>
      <c:catAx>
        <c:axId val="1982812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814728"/>
        <c:crosses val="autoZero"/>
        <c:auto val="1"/>
        <c:lblAlgn val="ctr"/>
        <c:lblOffset val="100"/>
        <c:noMultiLvlLbl val="0"/>
      </c:catAx>
      <c:valAx>
        <c:axId val="198281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812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2!PivotTable6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and performance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'example 2'!$B$3</c:f>
              <c:strCache>
                <c:ptCount val="1"/>
                <c:pt idx="0">
                  <c:v>Sum of Experience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'example 2'!$A$4:$A$9</c:f>
              <c:strCache>
                <c:ptCount val="5"/>
                <c:pt idx="0">
                  <c:v>Ajay</c:v>
                </c:pt>
                <c:pt idx="1">
                  <c:v>Anitha</c:v>
                </c:pt>
                <c:pt idx="2">
                  <c:v>Arun</c:v>
                </c:pt>
                <c:pt idx="3">
                  <c:v>Deepa</c:v>
                </c:pt>
                <c:pt idx="4">
                  <c:v>Divya</c:v>
                </c:pt>
              </c:strCache>
            </c:strRef>
          </c:cat>
          <c:val>
            <c:numRef>
              <c:f>'example 2'!$B$4:$B$9</c:f>
              <c:numCache>
                <c:formatCode>General</c:formatCode>
                <c:ptCount val="5"/>
                <c:pt idx="0">
                  <c:v>437</c:v>
                </c:pt>
                <c:pt idx="1">
                  <c:v>279</c:v>
                </c:pt>
                <c:pt idx="2">
                  <c:v>526</c:v>
                </c:pt>
                <c:pt idx="3">
                  <c:v>321</c:v>
                </c:pt>
                <c:pt idx="4">
                  <c:v>373</c:v>
                </c:pt>
              </c:numCache>
            </c:numRef>
          </c:val>
          <c:smooth val="0"/>
          <c:extLst>
            <c:ext xmlns:c16="http://schemas.microsoft.com/office/drawing/2014/chart" uri="{C3380CC4-5D6E-409C-BE32-E72D297353CC}">
              <c16:uniqueId val="{00000000-FA2C-42C8-A172-FE56F350DBFA}"/>
            </c:ext>
          </c:extLst>
        </c:ser>
        <c:ser>
          <c:idx val="1"/>
          <c:order val="1"/>
          <c:tx>
            <c:strRef>
              <c:f>'example 2'!$C$3</c:f>
              <c:strCache>
                <c:ptCount val="1"/>
                <c:pt idx="0">
                  <c:v>Sum of 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'example 2'!$A$4:$A$9</c:f>
              <c:strCache>
                <c:ptCount val="5"/>
                <c:pt idx="0">
                  <c:v>Ajay</c:v>
                </c:pt>
                <c:pt idx="1">
                  <c:v>Anitha</c:v>
                </c:pt>
                <c:pt idx="2">
                  <c:v>Arun</c:v>
                </c:pt>
                <c:pt idx="3">
                  <c:v>Deepa</c:v>
                </c:pt>
                <c:pt idx="4">
                  <c:v>Divya</c:v>
                </c:pt>
              </c:strCache>
            </c:strRef>
          </c:cat>
          <c:val>
            <c:numRef>
              <c:f>'example 2'!$C$4:$C$9</c:f>
              <c:numCache>
                <c:formatCode>General</c:formatCode>
                <c:ptCount val="5"/>
                <c:pt idx="0">
                  <c:v>167</c:v>
                </c:pt>
                <c:pt idx="1">
                  <c:v>123</c:v>
                </c:pt>
                <c:pt idx="2">
                  <c:v>203</c:v>
                </c:pt>
                <c:pt idx="3">
                  <c:v>139</c:v>
                </c:pt>
                <c:pt idx="4">
                  <c:v>145</c:v>
                </c:pt>
              </c:numCache>
            </c:numRef>
          </c:val>
          <c:smooth val="0"/>
          <c:extLst>
            <c:ext xmlns:c16="http://schemas.microsoft.com/office/drawing/2014/chart" uri="{C3380CC4-5D6E-409C-BE32-E72D297353CC}">
              <c16:uniqueId val="{00000002-FA2C-42C8-A172-FE56F350DBFA}"/>
            </c:ext>
          </c:extLst>
        </c:ser>
        <c:dLbls>
          <c:showLegendKey val="0"/>
          <c:showVal val="0"/>
          <c:showCatName val="0"/>
          <c:showSerName val="0"/>
          <c:showPercent val="0"/>
          <c:showBubbleSize val="0"/>
        </c:dLbls>
        <c:marker val="1"/>
        <c:smooth val="0"/>
        <c:axId val="498241544"/>
        <c:axId val="498243592"/>
      </c:lineChart>
      <c:catAx>
        <c:axId val="49824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43592"/>
        <c:crosses val="autoZero"/>
        <c:auto val="1"/>
        <c:lblAlgn val="ctr"/>
        <c:lblOffset val="100"/>
        <c:noMultiLvlLbl val="0"/>
      </c:catAx>
      <c:valAx>
        <c:axId val="498243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4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working hours</a:t>
            </a:r>
          </a:p>
        </c:rich>
      </c:tx>
      <c:overlay val="0"/>
      <c:spPr>
        <a:noFill/>
        <a:ln>
          <a:solidFill>
            <a:srgbClr val="1F497D"/>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'example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B3-4972-B94F-0DDF481DEB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B3-4972-B94F-0DDF481DEB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B3-4972-B94F-0DDF481DEB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B3-4972-B94F-0DDF481DEB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B3-4972-B94F-0DDF481DEB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2B3-4972-B94F-0DDF481DEB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2B3-4972-B94F-0DDF481DEB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D2B3-4972-B94F-0DDF481DEB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D2B3-4972-B94F-0DDF481DEB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D2B3-4972-B94F-0DDF481DEB6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D2B3-4972-B94F-0DDF481DEB6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D2B3-4972-B94F-0DDF481DEB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'example 3'!$A$4:$A$16</c:f>
              <c:strCache>
                <c:ptCount val="12"/>
                <c:pt idx="0">
                  <c:v>Deepa</c:v>
                </c:pt>
                <c:pt idx="1">
                  <c:v>Divya</c:v>
                </c:pt>
                <c:pt idx="2">
                  <c:v>Hari</c:v>
                </c:pt>
                <c:pt idx="3">
                  <c:v>Karthik</c:v>
                </c:pt>
                <c:pt idx="4">
                  <c:v>Lakshmi</c:v>
                </c:pt>
                <c:pt idx="5">
                  <c:v>Meena</c:v>
                </c:pt>
                <c:pt idx="6">
                  <c:v>Ravi</c:v>
                </c:pt>
                <c:pt idx="7">
                  <c:v>Rekha</c:v>
                </c:pt>
                <c:pt idx="8">
                  <c:v>Sanjay</c:v>
                </c:pt>
                <c:pt idx="9">
                  <c:v>Sneha</c:v>
                </c:pt>
                <c:pt idx="10">
                  <c:v>Suresh</c:v>
                </c:pt>
                <c:pt idx="11">
                  <c:v>Vijay</c:v>
                </c:pt>
              </c:strCache>
            </c:strRef>
          </c:cat>
          <c:val>
            <c:numRef>
              <c:f>'example 3'!$B$4:$B$16</c:f>
              <c:numCache>
                <c:formatCode>General</c:formatCode>
                <c:ptCount val="12"/>
                <c:pt idx="0">
                  <c:v>1928</c:v>
                </c:pt>
                <c:pt idx="1">
                  <c:v>2115</c:v>
                </c:pt>
                <c:pt idx="2">
                  <c:v>1848</c:v>
                </c:pt>
                <c:pt idx="3">
                  <c:v>2491</c:v>
                </c:pt>
                <c:pt idx="4">
                  <c:v>2341</c:v>
                </c:pt>
                <c:pt idx="5">
                  <c:v>2273</c:v>
                </c:pt>
                <c:pt idx="6">
                  <c:v>1867</c:v>
                </c:pt>
                <c:pt idx="7">
                  <c:v>1964</c:v>
                </c:pt>
                <c:pt idx="8">
                  <c:v>1750</c:v>
                </c:pt>
                <c:pt idx="9">
                  <c:v>2126</c:v>
                </c:pt>
                <c:pt idx="10">
                  <c:v>1597</c:v>
                </c:pt>
                <c:pt idx="11">
                  <c:v>1964</c:v>
                </c:pt>
              </c:numCache>
            </c:numRef>
          </c:val>
          <c:extLst>
            <c:ext xmlns:c16="http://schemas.microsoft.com/office/drawing/2014/chart" uri="{C3380CC4-5D6E-409C-BE32-E72D297353CC}">
              <c16:uniqueId val="{00000000-34DB-44D8-8485-54C87B3BC836}"/>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4!PivotTable2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 completion and attendance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'example 4'!$B$3</c:f>
              <c:strCache>
                <c:ptCount val="1"/>
                <c:pt idx="0">
                  <c:v>Sum of Projects_Completed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'example 4'!$A$4:$A$14</c:f>
              <c:strCache>
                <c:ptCount val="10"/>
                <c:pt idx="0">
                  <c:v>E0001</c:v>
                </c:pt>
                <c:pt idx="1">
                  <c:v>E0002</c:v>
                </c:pt>
                <c:pt idx="2">
                  <c:v>E0003</c:v>
                </c:pt>
                <c:pt idx="3">
                  <c:v>E0004</c:v>
                </c:pt>
                <c:pt idx="4">
                  <c:v>E0005</c:v>
                </c:pt>
                <c:pt idx="5">
                  <c:v>E0006</c:v>
                </c:pt>
                <c:pt idx="6">
                  <c:v>E0007</c:v>
                </c:pt>
                <c:pt idx="7">
                  <c:v>E0008</c:v>
                </c:pt>
                <c:pt idx="8">
                  <c:v>E0009</c:v>
                </c:pt>
                <c:pt idx="9">
                  <c:v>E0010</c:v>
                </c:pt>
              </c:strCache>
            </c:strRef>
          </c:cat>
          <c:val>
            <c:numRef>
              <c:f>'example 4'!$B$4:$B$14</c:f>
              <c:numCache>
                <c:formatCode>General</c:formatCode>
                <c:ptCount val="10"/>
                <c:pt idx="0">
                  <c:v>10</c:v>
                </c:pt>
                <c:pt idx="1">
                  <c:v>15</c:v>
                </c:pt>
                <c:pt idx="2">
                  <c:v>8</c:v>
                </c:pt>
                <c:pt idx="3">
                  <c:v>5</c:v>
                </c:pt>
                <c:pt idx="4">
                  <c:v>8</c:v>
                </c:pt>
                <c:pt idx="5">
                  <c:v>9</c:v>
                </c:pt>
                <c:pt idx="6">
                  <c:v>13</c:v>
                </c:pt>
                <c:pt idx="7">
                  <c:v>9</c:v>
                </c:pt>
                <c:pt idx="8">
                  <c:v>8</c:v>
                </c:pt>
                <c:pt idx="9">
                  <c:v>10</c:v>
                </c:pt>
              </c:numCache>
            </c:numRef>
          </c:val>
          <c:extLst>
            <c:ext xmlns:c16="http://schemas.microsoft.com/office/drawing/2014/chart" uri="{C3380CC4-5D6E-409C-BE32-E72D297353CC}">
              <c16:uniqueId val="{00000000-6ABD-4722-9B7D-F6A4BFFE565E}"/>
            </c:ext>
          </c:extLst>
        </c:ser>
        <c:dLbls>
          <c:showLegendKey val="0"/>
          <c:showVal val="0"/>
          <c:showCatName val="0"/>
          <c:showSerName val="0"/>
          <c:showPercent val="0"/>
          <c:showBubbleSize val="0"/>
        </c:dLbls>
        <c:gapWidth val="150"/>
        <c:axId val="1175023111"/>
        <c:axId val="1175657479"/>
      </c:barChart>
      <c:lineChart>
        <c:grouping val="standard"/>
        <c:varyColors val="0"/>
        <c:ser>
          <c:idx val="1"/>
          <c:order val="1"/>
          <c:tx>
            <c:strRef>
              <c:f>'example 4'!$C$3</c:f>
              <c:strCache>
                <c:ptCount val="1"/>
                <c:pt idx="0">
                  <c:v>Sum of Attendance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'example 4'!$A$4:$A$14</c:f>
              <c:strCache>
                <c:ptCount val="10"/>
                <c:pt idx="0">
                  <c:v>E0001</c:v>
                </c:pt>
                <c:pt idx="1">
                  <c:v>E0002</c:v>
                </c:pt>
                <c:pt idx="2">
                  <c:v>E0003</c:v>
                </c:pt>
                <c:pt idx="3">
                  <c:v>E0004</c:v>
                </c:pt>
                <c:pt idx="4">
                  <c:v>E0005</c:v>
                </c:pt>
                <c:pt idx="5">
                  <c:v>E0006</c:v>
                </c:pt>
                <c:pt idx="6">
                  <c:v>E0007</c:v>
                </c:pt>
                <c:pt idx="7">
                  <c:v>E0008</c:v>
                </c:pt>
                <c:pt idx="8">
                  <c:v>E0009</c:v>
                </c:pt>
                <c:pt idx="9">
                  <c:v>E0010</c:v>
                </c:pt>
              </c:strCache>
            </c:strRef>
          </c:cat>
          <c:val>
            <c:numRef>
              <c:f>'example 4'!$C$4:$C$14</c:f>
              <c:numCache>
                <c:formatCode>General</c:formatCode>
                <c:ptCount val="10"/>
                <c:pt idx="0">
                  <c:v>90</c:v>
                </c:pt>
                <c:pt idx="1">
                  <c:v>91</c:v>
                </c:pt>
                <c:pt idx="2">
                  <c:v>96</c:v>
                </c:pt>
                <c:pt idx="3">
                  <c:v>85</c:v>
                </c:pt>
                <c:pt idx="4">
                  <c:v>87</c:v>
                </c:pt>
                <c:pt idx="5">
                  <c:v>89</c:v>
                </c:pt>
                <c:pt idx="6">
                  <c:v>96</c:v>
                </c:pt>
                <c:pt idx="7">
                  <c:v>93</c:v>
                </c:pt>
                <c:pt idx="8">
                  <c:v>99</c:v>
                </c:pt>
                <c:pt idx="9">
                  <c:v>92</c:v>
                </c:pt>
              </c:numCache>
            </c:numRef>
          </c:val>
          <c:smooth val="0"/>
          <c:extLst>
            <c:ext xmlns:c16="http://schemas.microsoft.com/office/drawing/2014/chart" uri="{C3380CC4-5D6E-409C-BE32-E72D297353CC}">
              <c16:uniqueId val="{00000002-6ABD-4722-9B7D-F6A4BFFE565E}"/>
            </c:ext>
          </c:extLst>
        </c:ser>
        <c:dLbls>
          <c:showLegendKey val="0"/>
          <c:showVal val="0"/>
          <c:showCatName val="0"/>
          <c:showSerName val="0"/>
          <c:showPercent val="0"/>
          <c:showBubbleSize val="0"/>
        </c:dLbls>
        <c:upDownBars>
          <c:gapWidth val="150"/>
          <c:upBars>
            <c: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a:effectLst/>
            </c:spPr>
          </c:upBars>
          <c:downBars>
            <c: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a:effectLst/>
            </c:spPr>
          </c:downBars>
        </c:upDownBars>
        <c:marker val="1"/>
        <c:smooth val="0"/>
        <c:axId val="1175023111"/>
        <c:axId val="1175657479"/>
      </c:lineChart>
      <c:catAx>
        <c:axId val="1175023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657479"/>
        <c:crosses val="autoZero"/>
        <c:auto val="1"/>
        <c:lblAlgn val="ctr"/>
        <c:lblOffset val="100"/>
        <c:noMultiLvlLbl val="0"/>
      </c:catAx>
      <c:valAx>
        <c:axId val="1175657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023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and working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'example 5'!$B$3</c:f>
              <c:strCache>
                <c:ptCount val="1"/>
                <c:pt idx="0">
                  <c:v>Sum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5'!$A$4:$A$14</c:f>
              <c:strCache>
                <c:ptCount val="10"/>
                <c:pt idx="0">
                  <c:v>Arun</c:v>
                </c:pt>
                <c:pt idx="1">
                  <c:v>Deepa</c:v>
                </c:pt>
                <c:pt idx="2">
                  <c:v>Kavya</c:v>
                </c:pt>
                <c:pt idx="3">
                  <c:v>Lakshmi</c:v>
                </c:pt>
                <c:pt idx="4">
                  <c:v>Nisha</c:v>
                </c:pt>
                <c:pt idx="5">
                  <c:v>Priya</c:v>
                </c:pt>
                <c:pt idx="6">
                  <c:v>Rekha</c:v>
                </c:pt>
                <c:pt idx="7">
                  <c:v>Sanjay</c:v>
                </c:pt>
                <c:pt idx="8">
                  <c:v>Suresh</c:v>
                </c:pt>
                <c:pt idx="9">
                  <c:v>Vijay</c:v>
                </c:pt>
              </c:strCache>
            </c:strRef>
          </c:cat>
          <c:val>
            <c:numRef>
              <c:f>'example 5'!$B$4:$B$14</c:f>
              <c:numCache>
                <c:formatCode>General</c:formatCode>
                <c:ptCount val="10"/>
                <c:pt idx="0">
                  <c:v>3044115</c:v>
                </c:pt>
                <c:pt idx="1">
                  <c:v>2547459</c:v>
                </c:pt>
                <c:pt idx="2">
                  <c:v>2870062</c:v>
                </c:pt>
                <c:pt idx="3">
                  <c:v>2775204</c:v>
                </c:pt>
                <c:pt idx="4">
                  <c:v>2609090</c:v>
                </c:pt>
                <c:pt idx="5">
                  <c:v>2965908</c:v>
                </c:pt>
                <c:pt idx="6">
                  <c:v>2372044</c:v>
                </c:pt>
                <c:pt idx="7">
                  <c:v>2072185</c:v>
                </c:pt>
                <c:pt idx="8">
                  <c:v>1944386</c:v>
                </c:pt>
                <c:pt idx="9">
                  <c:v>2348780</c:v>
                </c:pt>
              </c:numCache>
            </c:numRef>
          </c:val>
          <c:extLst>
            <c:ext xmlns:c16="http://schemas.microsoft.com/office/drawing/2014/chart" uri="{C3380CC4-5D6E-409C-BE32-E72D297353CC}">
              <c16:uniqueId val="{00000000-C2E1-468B-A6E1-8F35FCB5A624}"/>
            </c:ext>
          </c:extLst>
        </c:ser>
        <c:ser>
          <c:idx val="1"/>
          <c:order val="1"/>
          <c:tx>
            <c:strRef>
              <c:f>'example 5'!$C$3</c:f>
              <c:strCache>
                <c:ptCount val="1"/>
                <c:pt idx="0">
                  <c:v>Sum of Working_Hours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5'!$A$4:$A$14</c:f>
              <c:strCache>
                <c:ptCount val="10"/>
                <c:pt idx="0">
                  <c:v>Arun</c:v>
                </c:pt>
                <c:pt idx="1">
                  <c:v>Deepa</c:v>
                </c:pt>
                <c:pt idx="2">
                  <c:v>Kavya</c:v>
                </c:pt>
                <c:pt idx="3">
                  <c:v>Lakshmi</c:v>
                </c:pt>
                <c:pt idx="4">
                  <c:v>Nisha</c:v>
                </c:pt>
                <c:pt idx="5">
                  <c:v>Priya</c:v>
                </c:pt>
                <c:pt idx="6">
                  <c:v>Rekha</c:v>
                </c:pt>
                <c:pt idx="7">
                  <c:v>Sanjay</c:v>
                </c:pt>
                <c:pt idx="8">
                  <c:v>Suresh</c:v>
                </c:pt>
                <c:pt idx="9">
                  <c:v>Vijay</c:v>
                </c:pt>
              </c:strCache>
            </c:strRef>
          </c:cat>
          <c:val>
            <c:numRef>
              <c:f>'example 5'!$C$4:$C$14</c:f>
              <c:numCache>
                <c:formatCode>General</c:formatCode>
                <c:ptCount val="10"/>
                <c:pt idx="0">
                  <c:v>2692</c:v>
                </c:pt>
                <c:pt idx="1">
                  <c:v>1928</c:v>
                </c:pt>
                <c:pt idx="2">
                  <c:v>2236</c:v>
                </c:pt>
                <c:pt idx="3">
                  <c:v>2341</c:v>
                </c:pt>
                <c:pt idx="4">
                  <c:v>2146</c:v>
                </c:pt>
                <c:pt idx="5">
                  <c:v>2481</c:v>
                </c:pt>
                <c:pt idx="6">
                  <c:v>1964</c:v>
                </c:pt>
                <c:pt idx="7">
                  <c:v>1750</c:v>
                </c:pt>
                <c:pt idx="8">
                  <c:v>1597</c:v>
                </c:pt>
                <c:pt idx="9">
                  <c:v>1964</c:v>
                </c:pt>
              </c:numCache>
            </c:numRef>
          </c:val>
          <c:extLst>
            <c:ext xmlns:c16="http://schemas.microsoft.com/office/drawing/2014/chart" uri="{C3380CC4-5D6E-409C-BE32-E72D297353CC}">
              <c16:uniqueId val="{00000002-C2E1-468B-A6E1-8F35FCB5A624}"/>
            </c:ext>
          </c:extLst>
        </c:ser>
        <c:dLbls>
          <c:showLegendKey val="0"/>
          <c:showVal val="0"/>
          <c:showCatName val="0"/>
          <c:showSerName val="0"/>
          <c:showPercent val="0"/>
          <c:showBubbleSize val="0"/>
        </c:dLbls>
        <c:gapWidth val="150"/>
        <c:overlap val="100"/>
        <c:axId val="1175345159"/>
        <c:axId val="1175384071"/>
      </c:barChart>
      <c:catAx>
        <c:axId val="1175345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84071"/>
        <c:crosses val="autoZero"/>
        <c:auto val="1"/>
        <c:lblAlgn val="ctr"/>
        <c:lblOffset val="100"/>
        <c:noMultiLvlLbl val="0"/>
      </c:catAx>
      <c:valAx>
        <c:axId val="1175384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45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6!PivotTable5</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'example 6'!$B$3</c:f>
              <c:strCache>
                <c:ptCount val="1"/>
                <c:pt idx="0">
                  <c:v>Sum of Attendance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6'!$B$4:$B$24</c:f>
              <c:numCache>
                <c:formatCode>General</c:formatCode>
                <c:ptCount val="20"/>
                <c:pt idx="0">
                  <c:v>4575</c:v>
                </c:pt>
                <c:pt idx="1">
                  <c:v>3561</c:v>
                </c:pt>
                <c:pt idx="2">
                  <c:v>5824</c:v>
                </c:pt>
                <c:pt idx="3">
                  <c:v>4124</c:v>
                </c:pt>
                <c:pt idx="4">
                  <c:v>4415</c:v>
                </c:pt>
                <c:pt idx="5">
                  <c:v>4017</c:v>
                </c:pt>
                <c:pt idx="6">
                  <c:v>5343</c:v>
                </c:pt>
                <c:pt idx="7">
                  <c:v>4805</c:v>
                </c:pt>
                <c:pt idx="8">
                  <c:v>5119</c:v>
                </c:pt>
                <c:pt idx="9">
                  <c:v>6081</c:v>
                </c:pt>
                <c:pt idx="10">
                  <c:v>4938</c:v>
                </c:pt>
                <c:pt idx="11">
                  <c:v>4561</c:v>
                </c:pt>
                <c:pt idx="12">
                  <c:v>5330</c:v>
                </c:pt>
                <c:pt idx="13">
                  <c:v>4961</c:v>
                </c:pt>
                <c:pt idx="14">
                  <c:v>4064</c:v>
                </c:pt>
                <c:pt idx="15">
                  <c:v>4149</c:v>
                </c:pt>
                <c:pt idx="16">
                  <c:v>3797</c:v>
                </c:pt>
                <c:pt idx="17">
                  <c:v>4856</c:v>
                </c:pt>
                <c:pt idx="18">
                  <c:v>3533</c:v>
                </c:pt>
                <c:pt idx="19">
                  <c:v>4278</c:v>
                </c:pt>
              </c:numCache>
            </c:numRef>
          </c:val>
          <c:smooth val="0"/>
          <c:extLst>
            <c:ext xmlns:c16="http://schemas.microsoft.com/office/drawing/2014/chart" uri="{C3380CC4-5D6E-409C-BE32-E72D297353CC}">
              <c16:uniqueId val="{00000000-74FB-459A-B282-44C1ABEBE78E}"/>
            </c:ext>
          </c:extLst>
        </c:ser>
        <c:ser>
          <c:idx val="1"/>
          <c:order val="1"/>
          <c:tx>
            <c:strRef>
              <c:f>'example 6'!$C$3</c:f>
              <c:strCache>
                <c:ptCount val="1"/>
                <c:pt idx="0">
                  <c:v>Sum of Working_Hours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6'!$C$4:$C$24</c:f>
              <c:numCache>
                <c:formatCode>General</c:formatCode>
                <c:ptCount val="20"/>
                <c:pt idx="0">
                  <c:v>2161</c:v>
                </c:pt>
                <c:pt idx="1">
                  <c:v>1671</c:v>
                </c:pt>
                <c:pt idx="2">
                  <c:v>2692</c:v>
                </c:pt>
                <c:pt idx="3">
                  <c:v>1928</c:v>
                </c:pt>
                <c:pt idx="4">
                  <c:v>2115</c:v>
                </c:pt>
                <c:pt idx="5">
                  <c:v>1848</c:v>
                </c:pt>
                <c:pt idx="6">
                  <c:v>2491</c:v>
                </c:pt>
                <c:pt idx="7">
                  <c:v>2236</c:v>
                </c:pt>
                <c:pt idx="8">
                  <c:v>2341</c:v>
                </c:pt>
                <c:pt idx="9">
                  <c:v>2740</c:v>
                </c:pt>
                <c:pt idx="10">
                  <c:v>2273</c:v>
                </c:pt>
                <c:pt idx="11">
                  <c:v>2146</c:v>
                </c:pt>
                <c:pt idx="12">
                  <c:v>2481</c:v>
                </c:pt>
                <c:pt idx="13">
                  <c:v>2281</c:v>
                </c:pt>
                <c:pt idx="14">
                  <c:v>1867</c:v>
                </c:pt>
                <c:pt idx="15">
                  <c:v>1964</c:v>
                </c:pt>
                <c:pt idx="16">
                  <c:v>1750</c:v>
                </c:pt>
                <c:pt idx="17">
                  <c:v>2126</c:v>
                </c:pt>
                <c:pt idx="18">
                  <c:v>1597</c:v>
                </c:pt>
                <c:pt idx="19">
                  <c:v>1964</c:v>
                </c:pt>
              </c:numCache>
            </c:numRef>
          </c:val>
          <c:smooth val="0"/>
          <c:extLst>
            <c:ext xmlns:c16="http://schemas.microsoft.com/office/drawing/2014/chart" uri="{C3380CC4-5D6E-409C-BE32-E72D297353CC}">
              <c16:uniqueId val="{00000002-74FB-459A-B282-44C1ABEBE78E}"/>
            </c:ext>
          </c:extLst>
        </c:ser>
        <c:ser>
          <c:idx val="2"/>
          <c:order val="2"/>
          <c:tx>
            <c:strRef>
              <c:f>'example 6'!$D$3</c:f>
              <c:strCache>
                <c:ptCount val="1"/>
                <c:pt idx="0">
                  <c:v>Sum of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6'!$D$4:$D$24</c:f>
              <c:numCache>
                <c:formatCode>General</c:formatCode>
                <c:ptCount val="20"/>
                <c:pt idx="0">
                  <c:v>2587480</c:v>
                </c:pt>
                <c:pt idx="1">
                  <c:v>2223636</c:v>
                </c:pt>
                <c:pt idx="2">
                  <c:v>3044115</c:v>
                </c:pt>
                <c:pt idx="3">
                  <c:v>2547459</c:v>
                </c:pt>
                <c:pt idx="4">
                  <c:v>2395595</c:v>
                </c:pt>
                <c:pt idx="5">
                  <c:v>2287319</c:v>
                </c:pt>
                <c:pt idx="6">
                  <c:v>2912003</c:v>
                </c:pt>
                <c:pt idx="7">
                  <c:v>2870062</c:v>
                </c:pt>
                <c:pt idx="8">
                  <c:v>2775204</c:v>
                </c:pt>
                <c:pt idx="9">
                  <c:v>3449617</c:v>
                </c:pt>
                <c:pt idx="10">
                  <c:v>2664127</c:v>
                </c:pt>
                <c:pt idx="11">
                  <c:v>2609090</c:v>
                </c:pt>
                <c:pt idx="12">
                  <c:v>2965908</c:v>
                </c:pt>
                <c:pt idx="13">
                  <c:v>2803902</c:v>
                </c:pt>
                <c:pt idx="14">
                  <c:v>2279050</c:v>
                </c:pt>
                <c:pt idx="15">
                  <c:v>2372044</c:v>
                </c:pt>
                <c:pt idx="16">
                  <c:v>2072185</c:v>
                </c:pt>
                <c:pt idx="17">
                  <c:v>2912419</c:v>
                </c:pt>
                <c:pt idx="18">
                  <c:v>1944386</c:v>
                </c:pt>
                <c:pt idx="19">
                  <c:v>2348780</c:v>
                </c:pt>
              </c:numCache>
            </c:numRef>
          </c:val>
          <c:smooth val="0"/>
          <c:extLst>
            <c:ext xmlns:c16="http://schemas.microsoft.com/office/drawing/2014/chart" uri="{C3380CC4-5D6E-409C-BE32-E72D297353CC}">
              <c16:uniqueId val="{00000004-74FB-459A-B282-44C1ABEBE78E}"/>
            </c:ext>
          </c:extLst>
        </c:ser>
        <c:dLbls>
          <c:showLegendKey val="0"/>
          <c:showVal val="0"/>
          <c:showCatName val="0"/>
          <c:showSerName val="0"/>
          <c:showPercent val="0"/>
          <c:showBubbleSize val="0"/>
        </c:dLbls>
        <c:marker val="1"/>
        <c:smooth val="0"/>
        <c:axId val="1389009415"/>
        <c:axId val="1389016071"/>
      </c:lineChart>
      <c:catAx>
        <c:axId val="1389009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16071"/>
        <c:crosses val="autoZero"/>
        <c:auto val="1"/>
        <c:lblAlgn val="ctr"/>
        <c:lblOffset val="100"/>
        <c:noMultiLvlLbl val="0"/>
      </c:catAx>
      <c:valAx>
        <c:axId val="1389016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09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2!PivotTable6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experience and performance rating</a:t>
            </a:r>
          </a:p>
        </c:rich>
      </c:tx>
      <c:layout>
        <c:manualLayout>
          <c:xMode val="edge"/>
          <c:yMode val="edge"/>
          <c:x val="0.162904400947773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'example 2'!$B$3</c:f>
              <c:strCache>
                <c:ptCount val="1"/>
                <c:pt idx="0">
                  <c:v>Sum of Experience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'example 2'!$A$4:$A$9</c:f>
              <c:strCache>
                <c:ptCount val="5"/>
                <c:pt idx="0">
                  <c:v>Ajay</c:v>
                </c:pt>
                <c:pt idx="1">
                  <c:v>Anitha</c:v>
                </c:pt>
                <c:pt idx="2">
                  <c:v>Arun</c:v>
                </c:pt>
                <c:pt idx="3">
                  <c:v>Deepa</c:v>
                </c:pt>
                <c:pt idx="4">
                  <c:v>Divya</c:v>
                </c:pt>
              </c:strCache>
            </c:strRef>
          </c:cat>
          <c:val>
            <c:numRef>
              <c:f>'example 2'!$B$4:$B$9</c:f>
              <c:numCache>
                <c:formatCode>General</c:formatCode>
                <c:ptCount val="5"/>
                <c:pt idx="0">
                  <c:v>437</c:v>
                </c:pt>
                <c:pt idx="1">
                  <c:v>279</c:v>
                </c:pt>
                <c:pt idx="2">
                  <c:v>526</c:v>
                </c:pt>
                <c:pt idx="3">
                  <c:v>321</c:v>
                </c:pt>
                <c:pt idx="4">
                  <c:v>373</c:v>
                </c:pt>
              </c:numCache>
            </c:numRef>
          </c:val>
          <c:smooth val="0"/>
          <c:extLst>
            <c:ext xmlns:c16="http://schemas.microsoft.com/office/drawing/2014/chart" uri="{C3380CC4-5D6E-409C-BE32-E72D297353CC}">
              <c16:uniqueId val="{00000000-C65D-4A50-8FDF-F715D16C5510}"/>
            </c:ext>
          </c:extLst>
        </c:ser>
        <c:ser>
          <c:idx val="1"/>
          <c:order val="1"/>
          <c:tx>
            <c:strRef>
              <c:f>'example 2'!$C$3</c:f>
              <c:strCache>
                <c:ptCount val="1"/>
                <c:pt idx="0">
                  <c:v>Sum of Performance_Rating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'example 2'!$A$4:$A$9</c:f>
              <c:strCache>
                <c:ptCount val="5"/>
                <c:pt idx="0">
                  <c:v>Ajay</c:v>
                </c:pt>
                <c:pt idx="1">
                  <c:v>Anitha</c:v>
                </c:pt>
                <c:pt idx="2">
                  <c:v>Arun</c:v>
                </c:pt>
                <c:pt idx="3">
                  <c:v>Deepa</c:v>
                </c:pt>
                <c:pt idx="4">
                  <c:v>Divya</c:v>
                </c:pt>
              </c:strCache>
            </c:strRef>
          </c:cat>
          <c:val>
            <c:numRef>
              <c:f>'example 2'!$C$4:$C$9</c:f>
              <c:numCache>
                <c:formatCode>General</c:formatCode>
                <c:ptCount val="5"/>
                <c:pt idx="0">
                  <c:v>167</c:v>
                </c:pt>
                <c:pt idx="1">
                  <c:v>123</c:v>
                </c:pt>
                <c:pt idx="2">
                  <c:v>203</c:v>
                </c:pt>
                <c:pt idx="3">
                  <c:v>139</c:v>
                </c:pt>
                <c:pt idx="4">
                  <c:v>145</c:v>
                </c:pt>
              </c:numCache>
            </c:numRef>
          </c:val>
          <c:smooth val="0"/>
          <c:extLst>
            <c:ext xmlns:c16="http://schemas.microsoft.com/office/drawing/2014/chart" uri="{C3380CC4-5D6E-409C-BE32-E72D297353CC}">
              <c16:uniqueId val="{00000001-C65D-4A50-8FDF-F715D16C5510}"/>
            </c:ext>
          </c:extLst>
        </c:ser>
        <c:dLbls>
          <c:showLegendKey val="0"/>
          <c:showVal val="0"/>
          <c:showCatName val="0"/>
          <c:showSerName val="0"/>
          <c:showPercent val="0"/>
          <c:showBubbleSize val="0"/>
        </c:dLbls>
        <c:marker val="1"/>
        <c:smooth val="0"/>
        <c:axId val="498241544"/>
        <c:axId val="498243592"/>
      </c:lineChart>
      <c:catAx>
        <c:axId val="498241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43592"/>
        <c:crosses val="autoZero"/>
        <c:auto val="1"/>
        <c:lblAlgn val="ctr"/>
        <c:lblOffset val="100"/>
        <c:noMultiLvlLbl val="0"/>
      </c:catAx>
      <c:valAx>
        <c:axId val="498243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241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working hours</a:t>
            </a:r>
          </a:p>
        </c:rich>
      </c:tx>
      <c:overlay val="0"/>
      <c:spPr>
        <a:noFill/>
        <a:ln>
          <a:solidFill>
            <a:srgbClr val="1F497D"/>
          </a:solidFill>
          <a:prstDash val="solid"/>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'example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8B-4770-BFBA-BCFF6A77C3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8B-4770-BFBA-BCFF6A77C3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8B-4770-BFBA-BCFF6A77C3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78B-4770-BFBA-BCFF6A77C3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78B-4770-BFBA-BCFF6A77C3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78B-4770-BFBA-BCFF6A77C3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78B-4770-BFBA-BCFF6A77C3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78B-4770-BFBA-BCFF6A77C3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78B-4770-BFBA-BCFF6A77C3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78B-4770-BFBA-BCFF6A77C3E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378B-4770-BFBA-BCFF6A77C3E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378B-4770-BFBA-BCFF6A77C3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'example 3'!$A$4:$A$16</c:f>
              <c:strCache>
                <c:ptCount val="12"/>
                <c:pt idx="0">
                  <c:v>Deepa</c:v>
                </c:pt>
                <c:pt idx="1">
                  <c:v>Divya</c:v>
                </c:pt>
                <c:pt idx="2">
                  <c:v>Hari</c:v>
                </c:pt>
                <c:pt idx="3">
                  <c:v>Karthik</c:v>
                </c:pt>
                <c:pt idx="4">
                  <c:v>Lakshmi</c:v>
                </c:pt>
                <c:pt idx="5">
                  <c:v>Meena</c:v>
                </c:pt>
                <c:pt idx="6">
                  <c:v>Ravi</c:v>
                </c:pt>
                <c:pt idx="7">
                  <c:v>Rekha</c:v>
                </c:pt>
                <c:pt idx="8">
                  <c:v>Sanjay</c:v>
                </c:pt>
                <c:pt idx="9">
                  <c:v>Sneha</c:v>
                </c:pt>
                <c:pt idx="10">
                  <c:v>Suresh</c:v>
                </c:pt>
                <c:pt idx="11">
                  <c:v>Vijay</c:v>
                </c:pt>
              </c:strCache>
            </c:strRef>
          </c:cat>
          <c:val>
            <c:numRef>
              <c:f>'example 3'!$B$4:$B$16</c:f>
              <c:numCache>
                <c:formatCode>General</c:formatCode>
                <c:ptCount val="12"/>
                <c:pt idx="0">
                  <c:v>1928</c:v>
                </c:pt>
                <c:pt idx="1">
                  <c:v>2115</c:v>
                </c:pt>
                <c:pt idx="2">
                  <c:v>1848</c:v>
                </c:pt>
                <c:pt idx="3">
                  <c:v>2491</c:v>
                </c:pt>
                <c:pt idx="4">
                  <c:v>2341</c:v>
                </c:pt>
                <c:pt idx="5">
                  <c:v>2273</c:v>
                </c:pt>
                <c:pt idx="6">
                  <c:v>1867</c:v>
                </c:pt>
                <c:pt idx="7">
                  <c:v>1964</c:v>
                </c:pt>
                <c:pt idx="8">
                  <c:v>1750</c:v>
                </c:pt>
                <c:pt idx="9">
                  <c:v>2126</c:v>
                </c:pt>
                <c:pt idx="10">
                  <c:v>1597</c:v>
                </c:pt>
                <c:pt idx="11">
                  <c:v>1964</c:v>
                </c:pt>
              </c:numCache>
            </c:numRef>
          </c:val>
          <c:extLst>
            <c:ext xmlns:c16="http://schemas.microsoft.com/office/drawing/2014/chart" uri="{C3380CC4-5D6E-409C-BE32-E72D297353CC}">
              <c16:uniqueId val="{00000018-378B-4770-BFBA-BCFF6A77C3E7}"/>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4!PivotTable2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project completion and attendance</a:t>
            </a:r>
          </a:p>
        </c:rich>
      </c:tx>
      <c:layout>
        <c:manualLayout>
          <c:xMode val="edge"/>
          <c:yMode val="edge"/>
          <c:x val="0.2460818092360739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'example 4'!$B$3</c:f>
              <c:strCache>
                <c:ptCount val="1"/>
                <c:pt idx="0">
                  <c:v>Sum of Projects_Completed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'example 4'!$A$4:$A$14</c:f>
              <c:strCache>
                <c:ptCount val="10"/>
                <c:pt idx="0">
                  <c:v>E0001</c:v>
                </c:pt>
                <c:pt idx="1">
                  <c:v>E0002</c:v>
                </c:pt>
                <c:pt idx="2">
                  <c:v>E0003</c:v>
                </c:pt>
                <c:pt idx="3">
                  <c:v>E0004</c:v>
                </c:pt>
                <c:pt idx="4">
                  <c:v>E0005</c:v>
                </c:pt>
                <c:pt idx="5">
                  <c:v>E0006</c:v>
                </c:pt>
                <c:pt idx="6">
                  <c:v>E0007</c:v>
                </c:pt>
                <c:pt idx="7">
                  <c:v>E0008</c:v>
                </c:pt>
                <c:pt idx="8">
                  <c:v>E0009</c:v>
                </c:pt>
                <c:pt idx="9">
                  <c:v>E0010</c:v>
                </c:pt>
              </c:strCache>
            </c:strRef>
          </c:cat>
          <c:val>
            <c:numRef>
              <c:f>'example 4'!$B$4:$B$14</c:f>
              <c:numCache>
                <c:formatCode>General</c:formatCode>
                <c:ptCount val="10"/>
                <c:pt idx="0">
                  <c:v>10</c:v>
                </c:pt>
                <c:pt idx="1">
                  <c:v>15</c:v>
                </c:pt>
                <c:pt idx="2">
                  <c:v>8</c:v>
                </c:pt>
                <c:pt idx="3">
                  <c:v>5</c:v>
                </c:pt>
                <c:pt idx="4">
                  <c:v>8</c:v>
                </c:pt>
                <c:pt idx="5">
                  <c:v>9</c:v>
                </c:pt>
                <c:pt idx="6">
                  <c:v>13</c:v>
                </c:pt>
                <c:pt idx="7">
                  <c:v>9</c:v>
                </c:pt>
                <c:pt idx="8">
                  <c:v>8</c:v>
                </c:pt>
                <c:pt idx="9">
                  <c:v>10</c:v>
                </c:pt>
              </c:numCache>
            </c:numRef>
          </c:val>
          <c:extLst>
            <c:ext xmlns:c16="http://schemas.microsoft.com/office/drawing/2014/chart" uri="{C3380CC4-5D6E-409C-BE32-E72D297353CC}">
              <c16:uniqueId val="{00000000-BF46-40E8-B0F8-B3E52680DA42}"/>
            </c:ext>
          </c:extLst>
        </c:ser>
        <c:dLbls>
          <c:showLegendKey val="0"/>
          <c:showVal val="0"/>
          <c:showCatName val="0"/>
          <c:showSerName val="0"/>
          <c:showPercent val="0"/>
          <c:showBubbleSize val="0"/>
        </c:dLbls>
        <c:gapWidth val="150"/>
        <c:axId val="1175023111"/>
        <c:axId val="1175657479"/>
      </c:barChart>
      <c:lineChart>
        <c:grouping val="standard"/>
        <c:varyColors val="0"/>
        <c:ser>
          <c:idx val="1"/>
          <c:order val="1"/>
          <c:tx>
            <c:strRef>
              <c:f>'example 4'!$C$3</c:f>
              <c:strCache>
                <c:ptCount val="1"/>
                <c:pt idx="0">
                  <c:v>Sum of Attendance</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'example 4'!$A$4:$A$14</c:f>
              <c:strCache>
                <c:ptCount val="10"/>
                <c:pt idx="0">
                  <c:v>E0001</c:v>
                </c:pt>
                <c:pt idx="1">
                  <c:v>E0002</c:v>
                </c:pt>
                <c:pt idx="2">
                  <c:v>E0003</c:v>
                </c:pt>
                <c:pt idx="3">
                  <c:v>E0004</c:v>
                </c:pt>
                <c:pt idx="4">
                  <c:v>E0005</c:v>
                </c:pt>
                <c:pt idx="5">
                  <c:v>E0006</c:v>
                </c:pt>
                <c:pt idx="6">
                  <c:v>E0007</c:v>
                </c:pt>
                <c:pt idx="7">
                  <c:v>E0008</c:v>
                </c:pt>
                <c:pt idx="8">
                  <c:v>E0009</c:v>
                </c:pt>
                <c:pt idx="9">
                  <c:v>E0010</c:v>
                </c:pt>
              </c:strCache>
            </c:strRef>
          </c:cat>
          <c:val>
            <c:numRef>
              <c:f>'example 4'!$C$4:$C$14</c:f>
              <c:numCache>
                <c:formatCode>General</c:formatCode>
                <c:ptCount val="10"/>
                <c:pt idx="0">
                  <c:v>90</c:v>
                </c:pt>
                <c:pt idx="1">
                  <c:v>91</c:v>
                </c:pt>
                <c:pt idx="2">
                  <c:v>96</c:v>
                </c:pt>
                <c:pt idx="3">
                  <c:v>85</c:v>
                </c:pt>
                <c:pt idx="4">
                  <c:v>87</c:v>
                </c:pt>
                <c:pt idx="5">
                  <c:v>89</c:v>
                </c:pt>
                <c:pt idx="6">
                  <c:v>96</c:v>
                </c:pt>
                <c:pt idx="7">
                  <c:v>93</c:v>
                </c:pt>
                <c:pt idx="8">
                  <c:v>99</c:v>
                </c:pt>
                <c:pt idx="9">
                  <c:v>92</c:v>
                </c:pt>
              </c:numCache>
            </c:numRef>
          </c:val>
          <c:smooth val="0"/>
          <c:extLst>
            <c:ext xmlns:c16="http://schemas.microsoft.com/office/drawing/2014/chart" uri="{C3380CC4-5D6E-409C-BE32-E72D297353CC}">
              <c16:uniqueId val="{00000001-BF46-40E8-B0F8-B3E52680DA42}"/>
            </c:ext>
          </c:extLst>
        </c:ser>
        <c:dLbls>
          <c:showLegendKey val="0"/>
          <c:showVal val="0"/>
          <c:showCatName val="0"/>
          <c:showSerName val="0"/>
          <c:showPercent val="0"/>
          <c:showBubbleSize val="0"/>
        </c:dLbls>
        <c:upDownBars>
          <c:gapWidth val="150"/>
          <c:upBars>
            <c: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a:effectLst/>
            </c:spPr>
          </c:upBars>
          <c:downBars>
            <c: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a:effectLst/>
            </c:spPr>
          </c:downBars>
        </c:upDownBars>
        <c:marker val="1"/>
        <c:smooth val="0"/>
        <c:axId val="1175023111"/>
        <c:axId val="1175657479"/>
      </c:lineChart>
      <c:catAx>
        <c:axId val="11750231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657479"/>
        <c:crosses val="autoZero"/>
        <c:auto val="1"/>
        <c:lblAlgn val="ctr"/>
        <c:lblOffset val="100"/>
        <c:noMultiLvlLbl val="0"/>
      </c:catAx>
      <c:valAx>
        <c:axId val="1175657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5023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and working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'example 5'!$B$3</c:f>
              <c:strCache>
                <c:ptCount val="1"/>
                <c:pt idx="0">
                  <c:v>Sum of 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5'!$A$4:$A$14</c:f>
              <c:strCache>
                <c:ptCount val="10"/>
                <c:pt idx="0">
                  <c:v>Arun</c:v>
                </c:pt>
                <c:pt idx="1">
                  <c:v>Deepa</c:v>
                </c:pt>
                <c:pt idx="2">
                  <c:v>Kavya</c:v>
                </c:pt>
                <c:pt idx="3">
                  <c:v>Lakshmi</c:v>
                </c:pt>
                <c:pt idx="4">
                  <c:v>Nisha</c:v>
                </c:pt>
                <c:pt idx="5">
                  <c:v>Priya</c:v>
                </c:pt>
                <c:pt idx="6">
                  <c:v>Rekha</c:v>
                </c:pt>
                <c:pt idx="7">
                  <c:v>Sanjay</c:v>
                </c:pt>
                <c:pt idx="8">
                  <c:v>Suresh</c:v>
                </c:pt>
                <c:pt idx="9">
                  <c:v>Vijay</c:v>
                </c:pt>
              </c:strCache>
            </c:strRef>
          </c:cat>
          <c:val>
            <c:numRef>
              <c:f>'example 5'!$B$4:$B$14</c:f>
              <c:numCache>
                <c:formatCode>General</c:formatCode>
                <c:ptCount val="10"/>
                <c:pt idx="0">
                  <c:v>3044115</c:v>
                </c:pt>
                <c:pt idx="1">
                  <c:v>2547459</c:v>
                </c:pt>
                <c:pt idx="2">
                  <c:v>2870062</c:v>
                </c:pt>
                <c:pt idx="3">
                  <c:v>2775204</c:v>
                </c:pt>
                <c:pt idx="4">
                  <c:v>2609090</c:v>
                </c:pt>
                <c:pt idx="5">
                  <c:v>2965908</c:v>
                </c:pt>
                <c:pt idx="6">
                  <c:v>2372044</c:v>
                </c:pt>
                <c:pt idx="7">
                  <c:v>2072185</c:v>
                </c:pt>
                <c:pt idx="8">
                  <c:v>1944386</c:v>
                </c:pt>
                <c:pt idx="9">
                  <c:v>2348780</c:v>
                </c:pt>
              </c:numCache>
            </c:numRef>
          </c:val>
          <c:extLst>
            <c:ext xmlns:c16="http://schemas.microsoft.com/office/drawing/2014/chart" uri="{C3380CC4-5D6E-409C-BE32-E72D297353CC}">
              <c16:uniqueId val="{00000000-8926-4F87-A65A-619EDBB341DE}"/>
            </c:ext>
          </c:extLst>
        </c:ser>
        <c:ser>
          <c:idx val="1"/>
          <c:order val="1"/>
          <c:tx>
            <c:strRef>
              <c:f>'example 5'!$C$3</c:f>
              <c:strCache>
                <c:ptCount val="1"/>
                <c:pt idx="0">
                  <c:v>Sum of Working_Hours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5'!$A$4:$A$14</c:f>
              <c:strCache>
                <c:ptCount val="10"/>
                <c:pt idx="0">
                  <c:v>Arun</c:v>
                </c:pt>
                <c:pt idx="1">
                  <c:v>Deepa</c:v>
                </c:pt>
                <c:pt idx="2">
                  <c:v>Kavya</c:v>
                </c:pt>
                <c:pt idx="3">
                  <c:v>Lakshmi</c:v>
                </c:pt>
                <c:pt idx="4">
                  <c:v>Nisha</c:v>
                </c:pt>
                <c:pt idx="5">
                  <c:v>Priya</c:v>
                </c:pt>
                <c:pt idx="6">
                  <c:v>Rekha</c:v>
                </c:pt>
                <c:pt idx="7">
                  <c:v>Sanjay</c:v>
                </c:pt>
                <c:pt idx="8">
                  <c:v>Suresh</c:v>
                </c:pt>
                <c:pt idx="9">
                  <c:v>Vijay</c:v>
                </c:pt>
              </c:strCache>
            </c:strRef>
          </c:cat>
          <c:val>
            <c:numRef>
              <c:f>'example 5'!$C$4:$C$14</c:f>
              <c:numCache>
                <c:formatCode>General</c:formatCode>
                <c:ptCount val="10"/>
                <c:pt idx="0">
                  <c:v>2692</c:v>
                </c:pt>
                <c:pt idx="1">
                  <c:v>1928</c:v>
                </c:pt>
                <c:pt idx="2">
                  <c:v>2236</c:v>
                </c:pt>
                <c:pt idx="3">
                  <c:v>2341</c:v>
                </c:pt>
                <c:pt idx="4">
                  <c:v>2146</c:v>
                </c:pt>
                <c:pt idx="5">
                  <c:v>2481</c:v>
                </c:pt>
                <c:pt idx="6">
                  <c:v>1964</c:v>
                </c:pt>
                <c:pt idx="7">
                  <c:v>1750</c:v>
                </c:pt>
                <c:pt idx="8">
                  <c:v>1597</c:v>
                </c:pt>
                <c:pt idx="9">
                  <c:v>1964</c:v>
                </c:pt>
              </c:numCache>
            </c:numRef>
          </c:val>
          <c:extLst>
            <c:ext xmlns:c16="http://schemas.microsoft.com/office/drawing/2014/chart" uri="{C3380CC4-5D6E-409C-BE32-E72D297353CC}">
              <c16:uniqueId val="{00000001-8926-4F87-A65A-619EDBB341DE}"/>
            </c:ext>
          </c:extLst>
        </c:ser>
        <c:dLbls>
          <c:showLegendKey val="0"/>
          <c:showVal val="0"/>
          <c:showCatName val="0"/>
          <c:showSerName val="0"/>
          <c:showPercent val="0"/>
          <c:showBubbleSize val="0"/>
        </c:dLbls>
        <c:gapWidth val="150"/>
        <c:overlap val="100"/>
        <c:axId val="1175345159"/>
        <c:axId val="1175384071"/>
      </c:barChart>
      <c:catAx>
        <c:axId val="1175345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84071"/>
        <c:crosses val="autoZero"/>
        <c:auto val="1"/>
        <c:lblAlgn val="ctr"/>
        <c:lblOffset val="100"/>
        <c:noMultiLvlLbl val="0"/>
      </c:catAx>
      <c:valAx>
        <c:axId val="11753840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3451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6!PivotTable5</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'example 6'!$B$3</c:f>
              <c:strCache>
                <c:ptCount val="1"/>
                <c:pt idx="0">
                  <c:v>Sum of Attendance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6'!$B$4:$B$24</c:f>
              <c:numCache>
                <c:formatCode>General</c:formatCode>
                <c:ptCount val="20"/>
                <c:pt idx="0">
                  <c:v>4575</c:v>
                </c:pt>
                <c:pt idx="1">
                  <c:v>3561</c:v>
                </c:pt>
                <c:pt idx="2">
                  <c:v>5824</c:v>
                </c:pt>
                <c:pt idx="3">
                  <c:v>4124</c:v>
                </c:pt>
                <c:pt idx="4">
                  <c:v>4415</c:v>
                </c:pt>
                <c:pt idx="5">
                  <c:v>4017</c:v>
                </c:pt>
                <c:pt idx="6">
                  <c:v>5343</c:v>
                </c:pt>
                <c:pt idx="7">
                  <c:v>4805</c:v>
                </c:pt>
                <c:pt idx="8">
                  <c:v>5119</c:v>
                </c:pt>
                <c:pt idx="9">
                  <c:v>6081</c:v>
                </c:pt>
                <c:pt idx="10">
                  <c:v>4938</c:v>
                </c:pt>
                <c:pt idx="11">
                  <c:v>4561</c:v>
                </c:pt>
                <c:pt idx="12">
                  <c:v>5330</c:v>
                </c:pt>
                <c:pt idx="13">
                  <c:v>4961</c:v>
                </c:pt>
                <c:pt idx="14">
                  <c:v>4064</c:v>
                </c:pt>
                <c:pt idx="15">
                  <c:v>4149</c:v>
                </c:pt>
                <c:pt idx="16">
                  <c:v>3797</c:v>
                </c:pt>
                <c:pt idx="17">
                  <c:v>4856</c:v>
                </c:pt>
                <c:pt idx="18">
                  <c:v>3533</c:v>
                </c:pt>
                <c:pt idx="19">
                  <c:v>4278</c:v>
                </c:pt>
              </c:numCache>
            </c:numRef>
          </c:val>
          <c:smooth val="0"/>
          <c:extLst>
            <c:ext xmlns:c16="http://schemas.microsoft.com/office/drawing/2014/chart" uri="{C3380CC4-5D6E-409C-BE32-E72D297353CC}">
              <c16:uniqueId val="{00000000-0129-4B08-8BF2-292A7D62E741}"/>
            </c:ext>
          </c:extLst>
        </c:ser>
        <c:ser>
          <c:idx val="1"/>
          <c:order val="1"/>
          <c:tx>
            <c:strRef>
              <c:f>'example 6'!$C$3</c:f>
              <c:strCache>
                <c:ptCount val="1"/>
                <c:pt idx="0">
                  <c:v>Sum of Working_Hours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6'!$C$4:$C$24</c:f>
              <c:numCache>
                <c:formatCode>General</c:formatCode>
                <c:ptCount val="20"/>
                <c:pt idx="0">
                  <c:v>2161</c:v>
                </c:pt>
                <c:pt idx="1">
                  <c:v>1671</c:v>
                </c:pt>
                <c:pt idx="2">
                  <c:v>2692</c:v>
                </c:pt>
                <c:pt idx="3">
                  <c:v>1928</c:v>
                </c:pt>
                <c:pt idx="4">
                  <c:v>2115</c:v>
                </c:pt>
                <c:pt idx="5">
                  <c:v>1848</c:v>
                </c:pt>
                <c:pt idx="6">
                  <c:v>2491</c:v>
                </c:pt>
                <c:pt idx="7">
                  <c:v>2236</c:v>
                </c:pt>
                <c:pt idx="8">
                  <c:v>2341</c:v>
                </c:pt>
                <c:pt idx="9">
                  <c:v>2740</c:v>
                </c:pt>
                <c:pt idx="10">
                  <c:v>2273</c:v>
                </c:pt>
                <c:pt idx="11">
                  <c:v>2146</c:v>
                </c:pt>
                <c:pt idx="12">
                  <c:v>2481</c:v>
                </c:pt>
                <c:pt idx="13">
                  <c:v>2281</c:v>
                </c:pt>
                <c:pt idx="14">
                  <c:v>1867</c:v>
                </c:pt>
                <c:pt idx="15">
                  <c:v>1964</c:v>
                </c:pt>
                <c:pt idx="16">
                  <c:v>1750</c:v>
                </c:pt>
                <c:pt idx="17">
                  <c:v>2126</c:v>
                </c:pt>
                <c:pt idx="18">
                  <c:v>1597</c:v>
                </c:pt>
                <c:pt idx="19">
                  <c:v>1964</c:v>
                </c:pt>
              </c:numCache>
            </c:numRef>
          </c:val>
          <c:smooth val="0"/>
          <c:extLst>
            <c:ext xmlns:c16="http://schemas.microsoft.com/office/drawing/2014/chart" uri="{C3380CC4-5D6E-409C-BE32-E72D297353CC}">
              <c16:uniqueId val="{00000001-0129-4B08-8BF2-292A7D62E741}"/>
            </c:ext>
          </c:extLst>
        </c:ser>
        <c:ser>
          <c:idx val="2"/>
          <c:order val="2"/>
          <c:tx>
            <c:strRef>
              <c:f>'example 6'!$D$3</c:f>
              <c:strCache>
                <c:ptCount val="1"/>
                <c:pt idx="0">
                  <c:v>Sum of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'example 6'!$A$4:$A$24</c:f>
              <c:strCache>
                <c:ptCount val="20"/>
                <c:pt idx="0">
                  <c:v>Ajay</c:v>
                </c:pt>
                <c:pt idx="1">
                  <c:v>Anitha</c:v>
                </c:pt>
                <c:pt idx="2">
                  <c:v>Arun</c:v>
                </c:pt>
                <c:pt idx="3">
                  <c:v>Deepa</c:v>
                </c:pt>
                <c:pt idx="4">
                  <c:v>Divya</c:v>
                </c:pt>
                <c:pt idx="5">
                  <c:v>Hari</c:v>
                </c:pt>
                <c:pt idx="6">
                  <c:v>Karthik</c:v>
                </c:pt>
                <c:pt idx="7">
                  <c:v>Kavya</c:v>
                </c:pt>
                <c:pt idx="8">
                  <c:v>Lakshmi</c:v>
                </c:pt>
                <c:pt idx="9">
                  <c:v>Manoj</c:v>
                </c:pt>
                <c:pt idx="10">
                  <c:v>Meena</c:v>
                </c:pt>
                <c:pt idx="11">
                  <c:v>Nisha</c:v>
                </c:pt>
                <c:pt idx="12">
                  <c:v>Priya</c:v>
                </c:pt>
                <c:pt idx="13">
                  <c:v>Ramesh</c:v>
                </c:pt>
                <c:pt idx="14">
                  <c:v>Ravi</c:v>
                </c:pt>
                <c:pt idx="15">
                  <c:v>Rekha</c:v>
                </c:pt>
                <c:pt idx="16">
                  <c:v>Sanjay</c:v>
                </c:pt>
                <c:pt idx="17">
                  <c:v>Sneha</c:v>
                </c:pt>
                <c:pt idx="18">
                  <c:v>Suresh</c:v>
                </c:pt>
                <c:pt idx="19">
                  <c:v>Vijay</c:v>
                </c:pt>
              </c:strCache>
            </c:strRef>
          </c:cat>
          <c:val>
            <c:numRef>
              <c:f>'example 6'!$D$4:$D$24</c:f>
              <c:numCache>
                <c:formatCode>General</c:formatCode>
                <c:ptCount val="20"/>
                <c:pt idx="0">
                  <c:v>2587480</c:v>
                </c:pt>
                <c:pt idx="1">
                  <c:v>2223636</c:v>
                </c:pt>
                <c:pt idx="2">
                  <c:v>3044115</c:v>
                </c:pt>
                <c:pt idx="3">
                  <c:v>2547459</c:v>
                </c:pt>
                <c:pt idx="4">
                  <c:v>2395595</c:v>
                </c:pt>
                <c:pt idx="5">
                  <c:v>2287319</c:v>
                </c:pt>
                <c:pt idx="6">
                  <c:v>2912003</c:v>
                </c:pt>
                <c:pt idx="7">
                  <c:v>2870062</c:v>
                </c:pt>
                <c:pt idx="8">
                  <c:v>2775204</c:v>
                </c:pt>
                <c:pt idx="9">
                  <c:v>3449617</c:v>
                </c:pt>
                <c:pt idx="10">
                  <c:v>2664127</c:v>
                </c:pt>
                <c:pt idx="11">
                  <c:v>2609090</c:v>
                </c:pt>
                <c:pt idx="12">
                  <c:v>2965908</c:v>
                </c:pt>
                <c:pt idx="13">
                  <c:v>2803902</c:v>
                </c:pt>
                <c:pt idx="14">
                  <c:v>2279050</c:v>
                </c:pt>
                <c:pt idx="15">
                  <c:v>2372044</c:v>
                </c:pt>
                <c:pt idx="16">
                  <c:v>2072185</c:v>
                </c:pt>
                <c:pt idx="17">
                  <c:v>2912419</c:v>
                </c:pt>
                <c:pt idx="18">
                  <c:v>1944386</c:v>
                </c:pt>
                <c:pt idx="19">
                  <c:v>2348780</c:v>
                </c:pt>
              </c:numCache>
            </c:numRef>
          </c:val>
          <c:smooth val="0"/>
          <c:extLst>
            <c:ext xmlns:c16="http://schemas.microsoft.com/office/drawing/2014/chart" uri="{C3380CC4-5D6E-409C-BE32-E72D297353CC}">
              <c16:uniqueId val="{00000002-0129-4B08-8BF2-292A7D62E741}"/>
            </c:ext>
          </c:extLst>
        </c:ser>
        <c:dLbls>
          <c:showLegendKey val="0"/>
          <c:showVal val="0"/>
          <c:showCatName val="0"/>
          <c:showSerName val="0"/>
          <c:showPercent val="0"/>
          <c:showBubbleSize val="0"/>
        </c:dLbls>
        <c:marker val="1"/>
        <c:smooth val="0"/>
        <c:axId val="1389009415"/>
        <c:axId val="1389016071"/>
      </c:lineChart>
      <c:catAx>
        <c:axId val="1389009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16071"/>
        <c:crosses val="autoZero"/>
        <c:auto val="1"/>
        <c:lblAlgn val="ctr"/>
        <c:lblOffset val="100"/>
        <c:noMultiLvlLbl val="0"/>
      </c:catAx>
      <c:valAx>
        <c:axId val="1389016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09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[SELVASAKTHI (final project).xlsx]example 1!PivotTable5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'example 1'!$C$3</c:f>
              <c:strCache>
                <c:ptCount val="1"/>
                <c:pt idx="0">
                  <c:v>Total</c:v>
                </c:pt>
              </c:strCache>
            </c:strRef>
          </c:tx>
          <c:spPr>
            <a:solidFill>
              <a:schemeClr val="accent1"/>
            </a:solidFill>
            <a:ln>
              <a:noFill/>
            </a:ln>
            <a:effectLst/>
          </c:spPr>
          <c:invertIfNegative val="0"/>
          <c:cat>
            <c:multiLvlStrRef>
              <c:f>'example 1'!$A$4:$B$37</c:f>
              <c:multiLvlStrCache>
                <c:ptCount val="22"/>
                <c:lvl>
                  <c:pt idx="0">
                    <c:v>Finance</c:v>
                  </c:pt>
                  <c:pt idx="1">
                    <c:v>HR</c:v>
                  </c:pt>
                  <c:pt idx="2">
                    <c:v>Finance</c:v>
                  </c:pt>
                  <c:pt idx="3">
                    <c:v>HR</c:v>
                  </c:pt>
                  <c:pt idx="4">
                    <c:v>Finance</c:v>
                  </c:pt>
                  <c:pt idx="5">
                    <c:v>HR</c:v>
                  </c:pt>
                  <c:pt idx="6">
                    <c:v>Finance</c:v>
                  </c:pt>
                  <c:pt idx="7">
                    <c:v>HR</c:v>
                  </c:pt>
                  <c:pt idx="8">
                    <c:v>Finance</c:v>
                  </c:pt>
                  <c:pt idx="9">
                    <c:v>HR</c:v>
                  </c:pt>
                  <c:pt idx="10">
                    <c:v>Finance</c:v>
                  </c:pt>
                  <c:pt idx="11">
                    <c:v>HR</c:v>
                  </c:pt>
                  <c:pt idx="12">
                    <c:v>Finance</c:v>
                  </c:pt>
                  <c:pt idx="13">
                    <c:v>HR</c:v>
                  </c:pt>
                  <c:pt idx="14">
                    <c:v>Finance</c:v>
                  </c:pt>
                  <c:pt idx="15">
                    <c:v>HR</c:v>
                  </c:pt>
                  <c:pt idx="16">
                    <c:v>Finance</c:v>
                  </c:pt>
                  <c:pt idx="17">
                    <c:v>HR</c:v>
                  </c:pt>
                  <c:pt idx="18">
                    <c:v>Finance</c:v>
                  </c:pt>
                  <c:pt idx="19">
                    <c:v>HR</c:v>
                  </c:pt>
                  <c:pt idx="20">
                    <c:v>Finance</c:v>
                  </c:pt>
                  <c:pt idx="21">
                    <c:v>HR</c:v>
                  </c:pt>
                </c:lvl>
                <c:lvl>
                  <c:pt idx="0">
                    <c:v>Ajay</c:v>
                  </c:pt>
                  <c:pt idx="2">
                    <c:v>Anitha</c:v>
                  </c:pt>
                  <c:pt idx="4">
                    <c:v>Arun</c:v>
                  </c:pt>
                  <c:pt idx="6">
                    <c:v>Deepa</c:v>
                  </c:pt>
                  <c:pt idx="8">
                    <c:v>Divya</c:v>
                  </c:pt>
                  <c:pt idx="10">
                    <c:v>Hari</c:v>
                  </c:pt>
                  <c:pt idx="12">
                    <c:v>Karthik</c:v>
                  </c:pt>
                  <c:pt idx="14">
                    <c:v>Kavya</c:v>
                  </c:pt>
                  <c:pt idx="16">
                    <c:v>Lakshmi</c:v>
                  </c:pt>
                  <c:pt idx="18">
                    <c:v>Manoj</c:v>
                  </c:pt>
                  <c:pt idx="20">
                    <c:v>Meena</c:v>
                  </c:pt>
                </c:lvl>
              </c:multiLvlStrCache>
            </c:multiLvlStrRef>
          </c:cat>
          <c:val>
            <c:numRef>
              <c:f>'example 1'!$C$4:$C$37</c:f>
              <c:numCache>
                <c:formatCode>General</c:formatCode>
                <c:ptCount val="22"/>
                <c:pt idx="0">
                  <c:v>725257</c:v>
                </c:pt>
                <c:pt idx="1">
                  <c:v>323731</c:v>
                </c:pt>
                <c:pt idx="2">
                  <c:v>1082834</c:v>
                </c:pt>
                <c:pt idx="3">
                  <c:v>311699</c:v>
                </c:pt>
                <c:pt idx="4">
                  <c:v>791036</c:v>
                </c:pt>
                <c:pt idx="5">
                  <c:v>960057</c:v>
                </c:pt>
                <c:pt idx="6">
                  <c:v>548280</c:v>
                </c:pt>
                <c:pt idx="7">
                  <c:v>670208</c:v>
                </c:pt>
                <c:pt idx="8">
                  <c:v>670511</c:v>
                </c:pt>
                <c:pt idx="9">
                  <c:v>613147</c:v>
                </c:pt>
                <c:pt idx="10">
                  <c:v>659202</c:v>
                </c:pt>
                <c:pt idx="11">
                  <c:v>574015</c:v>
                </c:pt>
                <c:pt idx="12">
                  <c:v>563730</c:v>
                </c:pt>
                <c:pt idx="13">
                  <c:v>705432</c:v>
                </c:pt>
                <c:pt idx="14">
                  <c:v>510458</c:v>
                </c:pt>
                <c:pt idx="15">
                  <c:v>1107752</c:v>
                </c:pt>
                <c:pt idx="16">
                  <c:v>720207</c:v>
                </c:pt>
                <c:pt idx="17">
                  <c:v>625500</c:v>
                </c:pt>
                <c:pt idx="18">
                  <c:v>1035877</c:v>
                </c:pt>
                <c:pt idx="19">
                  <c:v>838784</c:v>
                </c:pt>
                <c:pt idx="20">
                  <c:v>572885</c:v>
                </c:pt>
                <c:pt idx="21">
                  <c:v>579425</c:v>
                </c:pt>
              </c:numCache>
            </c:numRef>
          </c:val>
          <c:extLst>
            <c:ext xmlns:c16="http://schemas.microsoft.com/office/drawing/2014/chart" uri="{C3380CC4-5D6E-409C-BE32-E72D297353CC}">
              <c16:uniqueId val="{00000000-90FB-4FBF-A2C2-8827060866C8}"/>
            </c:ext>
          </c:extLst>
        </c:ser>
        <c:dLbls>
          <c:showLegendKey val="0"/>
          <c:showVal val="0"/>
          <c:showCatName val="0"/>
          <c:showSerName val="0"/>
          <c:showPercent val="0"/>
          <c:showBubbleSize val="0"/>
        </c:dLbls>
        <c:gapWidth val="219"/>
        <c:overlap val="-27"/>
        <c:axId val="1982812168"/>
        <c:axId val="1982814728"/>
      </c:barChart>
      <c:catAx>
        <c:axId val="1982812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814728"/>
        <c:crosses val="autoZero"/>
        <c:auto val="1"/>
        <c:lblAlgn val="ctr"/>
        <c:lblOffset val="100"/>
        <c:noMultiLvlLbl val="0"/>
      </c:catAx>
      <c:valAx>
        <c:axId val="198281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812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jpeg"/><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12</xdr:col>
      <xdr:colOff>381000</xdr:colOff>
      <xdr:row>0</xdr:row>
      <xdr:rowOff>180975</xdr:rowOff>
    </xdr:from>
    <xdr:to>
      <xdr:col>15</xdr:col>
      <xdr:colOff>381000</xdr:colOff>
      <xdr:row>14</xdr:row>
      <xdr:rowOff>152400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187FC95F-3B98-C7AA-1472-1D817AA77B7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62825" y="66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66675</xdr:colOff>
      <xdr:row>0</xdr:row>
      <xdr:rowOff>9525</xdr:rowOff>
    </xdr:from>
    <xdr:to>
      <xdr:col>11</xdr:col>
      <xdr:colOff>371475</xdr:colOff>
      <xdr:row>14</xdr:row>
      <xdr:rowOff>85725</xdr:rowOff>
    </xdr:to>
    <xdr:graphicFrame macro="">
      <xdr:nvGraphicFramePr>
        <xdr:cNvPr id="3" name="Chart 2">
          <a:extLst>
            <a:ext uri="{FF2B5EF4-FFF2-40B4-BE49-F238E27FC236}">
              <a16:creationId xmlns:a16="http://schemas.microsoft.com/office/drawing/2014/main" id="{953A272B-50B1-4D1A-762B-8AE827460E98}"/>
            </a:ext>
            <a:ext uri="{147F2762-F138-4A5C-976F-8EAC2B608ADB}">
              <a16:predDERef xmlns:a16="http://schemas.microsoft.com/office/drawing/2014/main" pred="{187FC95F-3B98-C7AA-1472-1D817AA77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571500</xdr:colOff>
      <xdr:row>1</xdr:row>
      <xdr:rowOff>142875</xdr:rowOff>
    </xdr:from>
    <xdr:to>
      <xdr:col>17</xdr:col>
      <xdr:colOff>571500</xdr:colOff>
      <xdr:row>15</xdr:row>
      <xdr:rowOff>114300</xdr:rowOff>
    </xdr:to>
    <mc:AlternateContent xmlns:mc="http://schemas.openxmlformats.org/markup-compatibility/2006" xmlns:a14="http://schemas.microsoft.com/office/drawing/2010/main">
      <mc:Choice Requires="a14">
        <xdr:graphicFrame macro="">
          <xdr:nvGraphicFramePr>
            <xdr:cNvPr id="2" name=" Working Eligibility">
              <a:extLst>
                <a:ext uri="{FF2B5EF4-FFF2-40B4-BE49-F238E27FC236}">
                  <a16:creationId xmlns:a16="http://schemas.microsoft.com/office/drawing/2014/main" id="{3ABB1C9A-CB89-F9E1-84CA-C486CB2C9787}"/>
                </a:ext>
              </a:extLst>
            </xdr:cNvPr>
            <xdr:cNvGraphicFramePr/>
          </xdr:nvGraphicFramePr>
          <xdr:xfrm>
            <a:off x="0" y="0"/>
            <a:ext cx="0" cy="0"/>
          </xdr:xfrm>
          <a:graphic>
            <a:graphicData uri="http://schemas.microsoft.com/office/drawing/2010/slicer">
              <sle:slicer xmlns:sle="http://schemas.microsoft.com/office/drawing/2010/slicer" name=" Working Eligibility"/>
            </a:graphicData>
          </a:graphic>
        </xdr:graphicFrame>
      </mc:Choice>
      <mc:Fallback xmlns="">
        <xdr:sp macro="" textlink="">
          <xdr:nvSpPr>
            <xdr:cNvPr id="0" name=""/>
            <xdr:cNvSpPr>
              <a:spLocks noTextEdit="1"/>
            </xdr:cNvSpPr>
          </xdr:nvSpPr>
          <xdr:spPr>
            <a:xfrm>
              <a:off x="10915650" y="3333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5</xdr:col>
      <xdr:colOff>28575</xdr:colOff>
      <xdr:row>1</xdr:row>
      <xdr:rowOff>9525</xdr:rowOff>
    </xdr:from>
    <xdr:to>
      <xdr:col>12</xdr:col>
      <xdr:colOff>333375</xdr:colOff>
      <xdr:row>15</xdr:row>
      <xdr:rowOff>85725</xdr:rowOff>
    </xdr:to>
    <xdr:graphicFrame macro="">
      <xdr:nvGraphicFramePr>
        <xdr:cNvPr id="3" name="Chart 2">
          <a:extLst>
            <a:ext uri="{FF2B5EF4-FFF2-40B4-BE49-F238E27FC236}">
              <a16:creationId xmlns:a16="http://schemas.microsoft.com/office/drawing/2014/main" id="{23E88355-3ECB-46AF-7702-40FCD93130B9}"/>
            </a:ext>
            <a:ext uri="{147F2762-F138-4A5C-976F-8EAC2B608ADB}">
              <a16:predDERef xmlns:a16="http://schemas.microsoft.com/office/drawing/2014/main" pred="{3ABB1C9A-CB89-F9E1-84CA-C486CB2C9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514350</xdr:colOff>
      <xdr:row>1</xdr:row>
      <xdr:rowOff>123825</xdr:rowOff>
    </xdr:from>
    <xdr:to>
      <xdr:col>15</xdr:col>
      <xdr:colOff>514350</xdr:colOff>
      <xdr:row>15</xdr:row>
      <xdr:rowOff>95250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253502BC-AE4A-71B4-F56D-2C9A24E1A0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801100" y="3143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47625</xdr:colOff>
      <xdr:row>1</xdr:row>
      <xdr:rowOff>0</xdr:rowOff>
    </xdr:from>
    <xdr:to>
      <xdr:col>11</xdr:col>
      <xdr:colOff>352425</xdr:colOff>
      <xdr:row>15</xdr:row>
      <xdr:rowOff>76200</xdr:rowOff>
    </xdr:to>
    <xdr:graphicFrame macro="">
      <xdr:nvGraphicFramePr>
        <xdr:cNvPr id="3" name="Chart 2">
          <a:extLst>
            <a:ext uri="{FF2B5EF4-FFF2-40B4-BE49-F238E27FC236}">
              <a16:creationId xmlns:a16="http://schemas.microsoft.com/office/drawing/2014/main" id="{F3503ACF-68B9-2779-9AE3-02C06A3117FD}"/>
            </a:ext>
            <a:ext uri="{147F2762-F138-4A5C-976F-8EAC2B608ADB}">
              <a16:predDERef xmlns:a16="http://schemas.microsoft.com/office/drawing/2014/main" pred="{253502BC-AE4A-71B4-F56D-2C9A24E1A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38100</xdr:colOff>
      <xdr:row>0</xdr:row>
      <xdr:rowOff>85725</xdr:rowOff>
    </xdr:from>
    <xdr:to>
      <xdr:col>16</xdr:col>
      <xdr:colOff>38100</xdr:colOff>
      <xdr:row>14</xdr:row>
      <xdr:rowOff>57150</xdr:rowOff>
    </xdr:to>
    <mc:AlternateContent xmlns:mc="http://schemas.openxmlformats.org/markup-compatibility/2006" xmlns:a14="http://schemas.microsoft.com/office/drawing/2010/main">
      <mc:Choice Requires="a14">
        <xdr:graphicFrame macro="">
          <xdr:nvGraphicFramePr>
            <xdr:cNvPr id="3" name=" Working Eligibility 1">
              <a:extLst>
                <a:ext uri="{FF2B5EF4-FFF2-40B4-BE49-F238E27FC236}">
                  <a16:creationId xmlns:a16="http://schemas.microsoft.com/office/drawing/2014/main" id="{038144FC-3092-64D1-D39D-BDDBC894BEDB}"/>
                </a:ext>
              </a:extLst>
            </xdr:cNvPr>
            <xdr:cNvGraphicFramePr/>
          </xdr:nvGraphicFramePr>
          <xdr:xfrm>
            <a:off x="0" y="0"/>
            <a:ext cx="0" cy="0"/>
          </xdr:xfrm>
          <a:graphic>
            <a:graphicData uri="http://schemas.microsoft.com/office/drawing/2010/slicer">
              <sle:slicer xmlns:sle="http://schemas.microsoft.com/office/drawing/2010/slicer" name=" Working Eligibility 1"/>
            </a:graphicData>
          </a:graphic>
        </xdr:graphicFrame>
      </mc:Choice>
      <mc:Fallback xmlns="">
        <xdr:sp macro="" textlink="">
          <xdr:nvSpPr>
            <xdr:cNvPr id="0" name=""/>
            <xdr:cNvSpPr>
              <a:spLocks noTextEdit="1"/>
            </xdr:cNvSpPr>
          </xdr:nvSpPr>
          <xdr:spPr>
            <a:xfrm>
              <a:off x="10077450" y="857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304800</xdr:colOff>
      <xdr:row>0</xdr:row>
      <xdr:rowOff>66675</xdr:rowOff>
    </xdr:from>
    <xdr:to>
      <xdr:col>12</xdr:col>
      <xdr:colOff>0</xdr:colOff>
      <xdr:row>14</xdr:row>
      <xdr:rowOff>142875</xdr:rowOff>
    </xdr:to>
    <xdr:graphicFrame macro="">
      <xdr:nvGraphicFramePr>
        <xdr:cNvPr id="4" name="Chart 3">
          <a:extLst>
            <a:ext uri="{FF2B5EF4-FFF2-40B4-BE49-F238E27FC236}">
              <a16:creationId xmlns:a16="http://schemas.microsoft.com/office/drawing/2014/main" id="{5CE2EAAC-74C2-8A95-1FC6-D25181445C81}"/>
            </a:ext>
            <a:ext uri="{147F2762-F138-4A5C-976F-8EAC2B608ADB}">
              <a16:predDERef xmlns:a16="http://schemas.microsoft.com/office/drawing/2014/main" pred="{038144FC-3092-64D1-D39D-BDDBC894B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133350</xdr:colOff>
      <xdr:row>0</xdr:row>
      <xdr:rowOff>0</xdr:rowOff>
    </xdr:from>
    <xdr:to>
      <xdr:col>17</xdr:col>
      <xdr:colOff>133350</xdr:colOff>
      <xdr:row>10</xdr:row>
      <xdr:rowOff>66675</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48906C45-FD2F-C037-EE3C-17E09EF539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896475" y="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476250</xdr:colOff>
      <xdr:row>1</xdr:row>
      <xdr:rowOff>9525</xdr:rowOff>
    </xdr:from>
    <xdr:to>
      <xdr:col>12</xdr:col>
      <xdr:colOff>171450</xdr:colOff>
      <xdr:row>15</xdr:row>
      <xdr:rowOff>85725</xdr:rowOff>
    </xdr:to>
    <xdr:graphicFrame macro="">
      <xdr:nvGraphicFramePr>
        <xdr:cNvPr id="3" name="Chart 2">
          <a:extLst>
            <a:ext uri="{FF2B5EF4-FFF2-40B4-BE49-F238E27FC236}">
              <a16:creationId xmlns:a16="http://schemas.microsoft.com/office/drawing/2014/main" id="{435B104E-27C8-8138-2B0A-8BC4DFF1F524}"/>
            </a:ext>
            <a:ext uri="{147F2762-F138-4A5C-976F-8EAC2B608ADB}">
              <a16:predDERef xmlns:a16="http://schemas.microsoft.com/office/drawing/2014/main" pred="{48906C45-FD2F-C037-EE3C-17E09EF53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228600</xdr:colOff>
      <xdr:row>1</xdr:row>
      <xdr:rowOff>161925</xdr:rowOff>
    </xdr:from>
    <xdr:to>
      <xdr:col>15</xdr:col>
      <xdr:colOff>228600</xdr:colOff>
      <xdr:row>15</xdr:row>
      <xdr:rowOff>133350</xdr:rowOff>
    </xdr:to>
    <mc:AlternateContent xmlns:mc="http://schemas.openxmlformats.org/markup-compatibility/2006" xmlns:a14="http://schemas.microsoft.com/office/drawing/2010/main">
      <mc:Choice Requires="a14">
        <xdr:graphicFrame macro="">
          <xdr:nvGraphicFramePr>
            <xdr:cNvPr id="3" name=" Working Eligibility 2">
              <a:extLst>
                <a:ext uri="{FF2B5EF4-FFF2-40B4-BE49-F238E27FC236}">
                  <a16:creationId xmlns:a16="http://schemas.microsoft.com/office/drawing/2014/main" id="{64E79555-75B2-6AF9-422B-2E5F0000F52C}"/>
                </a:ext>
              </a:extLst>
            </xdr:cNvPr>
            <xdr:cNvGraphicFramePr/>
          </xdr:nvGraphicFramePr>
          <xdr:xfrm>
            <a:off x="0" y="0"/>
            <a:ext cx="0" cy="0"/>
          </xdr:xfrm>
          <a:graphic>
            <a:graphicData uri="http://schemas.microsoft.com/office/drawing/2010/slicer">
              <sle:slicer xmlns:sle="http://schemas.microsoft.com/office/drawing/2010/slicer" name=" Working Eligibility 2"/>
            </a:graphicData>
          </a:graphic>
        </xdr:graphicFrame>
      </mc:Choice>
      <mc:Fallback xmlns="">
        <xdr:sp macro="" textlink="">
          <xdr:nvSpPr>
            <xdr:cNvPr id="0" name=""/>
            <xdr:cNvSpPr>
              <a:spLocks noTextEdit="1"/>
            </xdr:cNvSpPr>
          </xdr:nvSpPr>
          <xdr:spPr>
            <a:xfrm>
              <a:off x="9610725" y="3524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4</xdr:col>
      <xdr:colOff>409575</xdr:colOff>
      <xdr:row>0</xdr:row>
      <xdr:rowOff>66675</xdr:rowOff>
    </xdr:from>
    <xdr:to>
      <xdr:col>11</xdr:col>
      <xdr:colOff>457200</xdr:colOff>
      <xdr:row>14</xdr:row>
      <xdr:rowOff>142875</xdr:rowOff>
    </xdr:to>
    <xdr:graphicFrame macro="">
      <xdr:nvGraphicFramePr>
        <xdr:cNvPr id="5" name="Chart 4">
          <a:extLst>
            <a:ext uri="{FF2B5EF4-FFF2-40B4-BE49-F238E27FC236}">
              <a16:creationId xmlns:a16="http://schemas.microsoft.com/office/drawing/2014/main" id="{BBB5AE46-2943-8DCD-EBE5-DB84706F77C4}"/>
            </a:ext>
            <a:ext uri="{147F2762-F138-4A5C-976F-8EAC2B608ADB}">
              <a16:predDERef xmlns:a16="http://schemas.microsoft.com/office/drawing/2014/main" pred="{64E79555-75B2-6AF9-422B-2E5F0000F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258838</xdr:colOff>
      <xdr:row>1</xdr:row>
      <xdr:rowOff>135830</xdr:rowOff>
    </xdr:from>
    <xdr:to>
      <xdr:col>3</xdr:col>
      <xdr:colOff>199719</xdr:colOff>
      <xdr:row>6</xdr:row>
      <xdr:rowOff>138266</xdr:rowOff>
    </xdr:to>
    <xdr:sp macro="" textlink="">
      <xdr:nvSpPr>
        <xdr:cNvPr id="5" name="Rectangle 4">
          <a:extLst>
            <a:ext uri="{FF2B5EF4-FFF2-40B4-BE49-F238E27FC236}">
              <a16:creationId xmlns:a16="http://schemas.microsoft.com/office/drawing/2014/main" id="{111F091F-FFFE-776A-B47F-3B61A0737AD3}"/>
            </a:ext>
          </a:extLst>
        </xdr:cNvPr>
        <xdr:cNvSpPr/>
      </xdr:nvSpPr>
      <xdr:spPr>
        <a:xfrm>
          <a:off x="258838" y="519903"/>
          <a:ext cx="1784429" cy="92421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lgerian" panose="04020705040A02060702" pitchFamily="82" charset="0"/>
            </a:rPr>
            <a:t>     SALARY</a:t>
          </a:r>
        </a:p>
      </xdr:txBody>
    </xdr:sp>
    <xdr:clientData/>
  </xdr:twoCellAnchor>
  <xdr:twoCellAnchor>
    <xdr:from>
      <xdr:col>6</xdr:col>
      <xdr:colOff>490553</xdr:colOff>
      <xdr:row>7</xdr:row>
      <xdr:rowOff>20608</xdr:rowOff>
    </xdr:from>
    <xdr:to>
      <xdr:col>13</xdr:col>
      <xdr:colOff>355970</xdr:colOff>
      <xdr:row>19</xdr:row>
      <xdr:rowOff>52622</xdr:rowOff>
    </xdr:to>
    <xdr:graphicFrame macro="">
      <xdr:nvGraphicFramePr>
        <xdr:cNvPr id="20" name="Chart 19">
          <a:extLst>
            <a:ext uri="{FF2B5EF4-FFF2-40B4-BE49-F238E27FC236}">
              <a16:creationId xmlns:a16="http://schemas.microsoft.com/office/drawing/2014/main" id="{5449B4FF-1379-43F0-BDFC-E4028064294D}"/>
            </a:ext>
            <a:ext uri="{147F2762-F138-4A5C-976F-8EAC2B608ADB}">
              <a16:predDERef xmlns:a16="http://schemas.microsoft.com/office/drawing/2014/main" pred="{3ABB1C9A-CB89-F9E1-84CA-C486CB2C9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68946</xdr:colOff>
      <xdr:row>7</xdr:row>
      <xdr:rowOff>7868</xdr:rowOff>
    </xdr:from>
    <xdr:to>
      <xdr:col>20</xdr:col>
      <xdr:colOff>460887</xdr:colOff>
      <xdr:row>18</xdr:row>
      <xdr:rowOff>180608</xdr:rowOff>
    </xdr:to>
    <xdr:graphicFrame macro="">
      <xdr:nvGraphicFramePr>
        <xdr:cNvPr id="21" name="Chart 20">
          <a:extLst>
            <a:ext uri="{FF2B5EF4-FFF2-40B4-BE49-F238E27FC236}">
              <a16:creationId xmlns:a16="http://schemas.microsoft.com/office/drawing/2014/main" id="{87351E40-FFB4-4761-939B-9735EADE8394}"/>
            </a:ext>
            <a:ext uri="{147F2762-F138-4A5C-976F-8EAC2B608ADB}">
              <a16:predDERef xmlns:a16="http://schemas.microsoft.com/office/drawing/2014/main" pred="{253502BC-AE4A-71B4-F56D-2C9A24E1A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134012</xdr:colOff>
      <xdr:row>20</xdr:row>
      <xdr:rowOff>152919</xdr:rowOff>
    </xdr:from>
    <xdr:to>
      <xdr:col>6</xdr:col>
      <xdr:colOff>265897</xdr:colOff>
      <xdr:row>34</xdr:row>
      <xdr:rowOff>59419</xdr:rowOff>
    </xdr:to>
    <xdr:graphicFrame macro="">
      <xdr:nvGraphicFramePr>
        <xdr:cNvPr id="22" name="Chart 21">
          <a:extLst>
            <a:ext uri="{FF2B5EF4-FFF2-40B4-BE49-F238E27FC236}">
              <a16:creationId xmlns:a16="http://schemas.microsoft.com/office/drawing/2014/main" id="{A52B1363-A128-451A-8964-2582692BB316}"/>
            </a:ext>
            <a:ext uri="{147F2762-F138-4A5C-976F-8EAC2B608ADB}">
              <a16:predDERef xmlns:a16="http://schemas.microsoft.com/office/drawing/2014/main" pred="{038144FC-3092-64D1-D39D-BDDBC894B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498940</xdr:colOff>
      <xdr:row>19</xdr:row>
      <xdr:rowOff>177263</xdr:rowOff>
    </xdr:from>
    <xdr:to>
      <xdr:col>13</xdr:col>
      <xdr:colOff>279132</xdr:colOff>
      <xdr:row>34</xdr:row>
      <xdr:rowOff>10494</xdr:rowOff>
    </xdr:to>
    <xdr:graphicFrame macro="">
      <xdr:nvGraphicFramePr>
        <xdr:cNvPr id="23" name="Chart 22">
          <a:extLst>
            <a:ext uri="{FF2B5EF4-FFF2-40B4-BE49-F238E27FC236}">
              <a16:creationId xmlns:a16="http://schemas.microsoft.com/office/drawing/2014/main" id="{1C6C9273-D833-4552-A145-763B5C58A2B7}"/>
            </a:ext>
            <a:ext uri="{147F2762-F138-4A5C-976F-8EAC2B608ADB}">
              <a16:predDERef xmlns:a16="http://schemas.microsoft.com/office/drawing/2014/main" pred="{48906C45-FD2F-C037-EE3C-17E09EF53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553064</xdr:colOff>
      <xdr:row>20</xdr:row>
      <xdr:rowOff>30725</xdr:rowOff>
    </xdr:from>
    <xdr:to>
      <xdr:col>20</xdr:col>
      <xdr:colOff>460886</xdr:colOff>
      <xdr:row>33</xdr:row>
      <xdr:rowOff>138266</xdr:rowOff>
    </xdr:to>
    <xdr:graphicFrame macro="">
      <xdr:nvGraphicFramePr>
        <xdr:cNvPr id="25" name="Chart 24">
          <a:extLst>
            <a:ext uri="{FF2B5EF4-FFF2-40B4-BE49-F238E27FC236}">
              <a16:creationId xmlns:a16="http://schemas.microsoft.com/office/drawing/2014/main" id="{D6E97F50-C272-4E9C-8BEF-71F93C5A3A82}"/>
            </a:ext>
            <a:ext uri="{147F2762-F138-4A5C-976F-8EAC2B608ADB}">
              <a16:predDERef xmlns:a16="http://schemas.microsoft.com/office/drawing/2014/main" pred="{64E79555-75B2-6AF9-422B-2E5F0000F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46089</xdr:colOff>
      <xdr:row>1</xdr:row>
      <xdr:rowOff>153627</xdr:rowOff>
    </xdr:from>
    <xdr:to>
      <xdr:col>24</xdr:col>
      <xdr:colOff>369325</xdr:colOff>
      <xdr:row>8</xdr:row>
      <xdr:rowOff>30725</xdr:rowOff>
    </xdr:to>
    <mc:AlternateContent xmlns:mc="http://schemas.openxmlformats.org/markup-compatibility/2006" xmlns:a14="http://schemas.microsoft.com/office/drawing/2010/main">
      <mc:Choice Requires="a14">
        <xdr:graphicFrame macro="">
          <xdr:nvGraphicFramePr>
            <xdr:cNvPr id="26" name="Gender 2">
              <a:extLst>
                <a:ext uri="{FF2B5EF4-FFF2-40B4-BE49-F238E27FC236}">
                  <a16:creationId xmlns:a16="http://schemas.microsoft.com/office/drawing/2014/main" id="{A82B6B27-BCCF-4680-A708-E4785C6E76D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2746089" y="546722"/>
              <a:ext cx="2137522" cy="1252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61452</xdr:colOff>
      <xdr:row>8</xdr:row>
      <xdr:rowOff>153631</xdr:rowOff>
    </xdr:from>
    <xdr:to>
      <xdr:col>24</xdr:col>
      <xdr:colOff>363901</xdr:colOff>
      <xdr:row>15</xdr:row>
      <xdr:rowOff>92179</xdr:rowOff>
    </xdr:to>
    <mc:AlternateContent xmlns:mc="http://schemas.openxmlformats.org/markup-compatibility/2006" xmlns:a14="http://schemas.microsoft.com/office/drawing/2010/main">
      <mc:Choice Requires="a14">
        <xdr:graphicFrame macro="">
          <xdr:nvGraphicFramePr>
            <xdr:cNvPr id="27" name=" Working Eligibility 3">
              <a:extLst>
                <a:ext uri="{FF2B5EF4-FFF2-40B4-BE49-F238E27FC236}">
                  <a16:creationId xmlns:a16="http://schemas.microsoft.com/office/drawing/2014/main" id="{13BEFE9C-BCDE-457F-AB82-08059529D22D}"/>
                </a:ext>
              </a:extLst>
            </xdr:cNvPr>
            <xdr:cNvGraphicFramePr/>
          </xdr:nvGraphicFramePr>
          <xdr:xfrm>
            <a:off x="0" y="0"/>
            <a:ext cx="0" cy="0"/>
          </xdr:xfrm>
          <a:graphic>
            <a:graphicData uri="http://schemas.microsoft.com/office/drawing/2010/slicer">
              <sle:slicer xmlns:sle="http://schemas.microsoft.com/office/drawing/2010/slicer" name=" Working Eligibility 3"/>
            </a:graphicData>
          </a:graphic>
        </xdr:graphicFrame>
      </mc:Choice>
      <mc:Fallback xmlns="">
        <xdr:sp macro="" textlink="">
          <xdr:nvSpPr>
            <xdr:cNvPr id="0" name=""/>
            <xdr:cNvSpPr>
              <a:spLocks noTextEdit="1"/>
            </xdr:cNvSpPr>
          </xdr:nvSpPr>
          <xdr:spPr>
            <a:xfrm>
              <a:off x="12761452" y="1922560"/>
              <a:ext cx="2116735" cy="1314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16</xdr:row>
      <xdr:rowOff>30726</xdr:rowOff>
    </xdr:from>
    <xdr:to>
      <xdr:col>24</xdr:col>
      <xdr:colOff>369325</xdr:colOff>
      <xdr:row>24</xdr:row>
      <xdr:rowOff>46088</xdr:rowOff>
    </xdr:to>
    <mc:AlternateContent xmlns:mc="http://schemas.openxmlformats.org/markup-compatibility/2006" xmlns:a14="http://schemas.microsoft.com/office/drawing/2010/main">
      <mc:Choice Requires="a14">
        <xdr:graphicFrame macro="">
          <xdr:nvGraphicFramePr>
            <xdr:cNvPr id="28" name="Department 1">
              <a:extLst>
                <a:ext uri="{FF2B5EF4-FFF2-40B4-BE49-F238E27FC236}">
                  <a16:creationId xmlns:a16="http://schemas.microsoft.com/office/drawing/2014/main" id="{B86641B7-9AB5-4E9A-BACA-CF5B96C754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700000" y="3372036"/>
              <a:ext cx="2183611" cy="1587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568426</xdr:colOff>
      <xdr:row>24</xdr:row>
      <xdr:rowOff>138267</xdr:rowOff>
    </xdr:from>
    <xdr:to>
      <xdr:col>24</xdr:col>
      <xdr:colOff>307257</xdr:colOff>
      <xdr:row>34</xdr:row>
      <xdr:rowOff>46089</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06A340C0-C880-4F2F-A812-22FB6997038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2663664" y="5051957"/>
              <a:ext cx="2157879" cy="1873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76815</xdr:colOff>
      <xdr:row>0</xdr:row>
      <xdr:rowOff>30726</xdr:rowOff>
    </xdr:from>
    <xdr:to>
      <xdr:col>24</xdr:col>
      <xdr:colOff>374754</xdr:colOff>
      <xdr:row>1</xdr:row>
      <xdr:rowOff>76814</xdr:rowOff>
    </xdr:to>
    <xdr:sp macro="" textlink="">
      <xdr:nvSpPr>
        <xdr:cNvPr id="30" name="Rectangle 29">
          <a:extLst>
            <a:ext uri="{FF2B5EF4-FFF2-40B4-BE49-F238E27FC236}">
              <a16:creationId xmlns:a16="http://schemas.microsoft.com/office/drawing/2014/main" id="{4B64F0BA-AF81-49E3-B0FB-279CB49C9EA8}"/>
            </a:ext>
          </a:extLst>
        </xdr:cNvPr>
        <xdr:cNvSpPr/>
      </xdr:nvSpPr>
      <xdr:spPr>
        <a:xfrm>
          <a:off x="76815" y="30726"/>
          <a:ext cx="14913349" cy="4364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lgerian" panose="04020705040A02060702" pitchFamily="82" charset="0"/>
            </a:rPr>
            <a:t>                                                                                       EMPLOYEES DASHBOARD</a:t>
          </a:r>
        </a:p>
      </xdr:txBody>
    </xdr:sp>
    <xdr:clientData/>
  </xdr:twoCellAnchor>
  <xdr:twoCellAnchor editAs="oneCell">
    <xdr:from>
      <xdr:col>0</xdr:col>
      <xdr:colOff>76815</xdr:colOff>
      <xdr:row>0</xdr:row>
      <xdr:rowOff>30726</xdr:rowOff>
    </xdr:from>
    <xdr:to>
      <xdr:col>0</xdr:col>
      <xdr:colOff>418400</xdr:colOff>
      <xdr:row>1</xdr:row>
      <xdr:rowOff>11886</xdr:rowOff>
    </xdr:to>
    <xdr:pic>
      <xdr:nvPicPr>
        <xdr:cNvPr id="31" name="Picture 30">
          <a:extLst>
            <a:ext uri="{FF2B5EF4-FFF2-40B4-BE49-F238E27FC236}">
              <a16:creationId xmlns:a16="http://schemas.microsoft.com/office/drawing/2014/main" id="{2ACD10AB-4DAC-4E80-96BC-D79F668275D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815" y="30726"/>
          <a:ext cx="341585" cy="365233"/>
        </a:xfrm>
        <a:prstGeom prst="rect">
          <a:avLst/>
        </a:prstGeom>
      </xdr:spPr>
    </xdr:pic>
    <xdr:clientData/>
  </xdr:twoCellAnchor>
  <xdr:twoCellAnchor>
    <xdr:from>
      <xdr:col>3</xdr:col>
      <xdr:colOff>445525</xdr:colOff>
      <xdr:row>1</xdr:row>
      <xdr:rowOff>138265</xdr:rowOff>
    </xdr:from>
    <xdr:to>
      <xdr:col>6</xdr:col>
      <xdr:colOff>386405</xdr:colOff>
      <xdr:row>6</xdr:row>
      <xdr:rowOff>140701</xdr:rowOff>
    </xdr:to>
    <xdr:sp macro="" textlink="">
      <xdr:nvSpPr>
        <xdr:cNvPr id="32" name="Rectangle 31">
          <a:extLst>
            <a:ext uri="{FF2B5EF4-FFF2-40B4-BE49-F238E27FC236}">
              <a16:creationId xmlns:a16="http://schemas.microsoft.com/office/drawing/2014/main" id="{5308E557-9195-4D82-A718-4450ABB69572}"/>
            </a:ext>
          </a:extLst>
        </xdr:cNvPr>
        <xdr:cNvSpPr/>
      </xdr:nvSpPr>
      <xdr:spPr>
        <a:xfrm>
          <a:off x="2289073" y="522338"/>
          <a:ext cx="1784429" cy="92421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lgerian" panose="04020705040A02060702" pitchFamily="82" charset="0"/>
            </a:rPr>
            <a:t>EXPERIENCE</a:t>
          </a:r>
          <a:r>
            <a:rPr lang="en-IN" sz="1400" baseline="0">
              <a:latin typeface="Algerian" panose="04020705040A02060702" pitchFamily="82" charset="0"/>
            </a:rPr>
            <a:t> AND PERFORMANCE RATING</a:t>
          </a:r>
          <a:endParaRPr lang="en-IN" sz="1400">
            <a:latin typeface="Algerian" panose="04020705040A02060702" pitchFamily="82" charset="0"/>
          </a:endParaRPr>
        </a:p>
      </xdr:txBody>
    </xdr:sp>
    <xdr:clientData/>
  </xdr:twoCellAnchor>
  <xdr:twoCellAnchor>
    <xdr:from>
      <xdr:col>7</xdr:col>
      <xdr:colOff>152066</xdr:colOff>
      <xdr:row>1</xdr:row>
      <xdr:rowOff>122120</xdr:rowOff>
    </xdr:from>
    <xdr:to>
      <xdr:col>10</xdr:col>
      <xdr:colOff>92947</xdr:colOff>
      <xdr:row>6</xdr:row>
      <xdr:rowOff>124556</xdr:rowOff>
    </xdr:to>
    <xdr:sp macro="" textlink="">
      <xdr:nvSpPr>
        <xdr:cNvPr id="33" name="Rectangle 32">
          <a:extLst>
            <a:ext uri="{FF2B5EF4-FFF2-40B4-BE49-F238E27FC236}">
              <a16:creationId xmlns:a16="http://schemas.microsoft.com/office/drawing/2014/main" id="{B91A0352-B6B5-45D9-9E62-915DB9DE91F1}"/>
            </a:ext>
          </a:extLst>
        </xdr:cNvPr>
        <xdr:cNvSpPr/>
      </xdr:nvSpPr>
      <xdr:spPr>
        <a:xfrm>
          <a:off x="4446388" y="509578"/>
          <a:ext cx="1781305" cy="97108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lgerian" panose="04020705040A02060702" pitchFamily="82" charset="0"/>
            </a:rPr>
            <a:t>WORKING HOURS</a:t>
          </a:r>
        </a:p>
      </xdr:txBody>
    </xdr:sp>
    <xdr:clientData/>
  </xdr:twoCellAnchor>
  <xdr:twoCellAnchor>
    <xdr:from>
      <xdr:col>10</xdr:col>
      <xdr:colOff>568427</xdr:colOff>
      <xdr:row>1</xdr:row>
      <xdr:rowOff>153628</xdr:rowOff>
    </xdr:from>
    <xdr:to>
      <xdr:col>13</xdr:col>
      <xdr:colOff>509307</xdr:colOff>
      <xdr:row>6</xdr:row>
      <xdr:rowOff>156064</xdr:rowOff>
    </xdr:to>
    <xdr:sp macro="" textlink="">
      <xdr:nvSpPr>
        <xdr:cNvPr id="34" name="Rectangle 33">
          <a:extLst>
            <a:ext uri="{FF2B5EF4-FFF2-40B4-BE49-F238E27FC236}">
              <a16:creationId xmlns:a16="http://schemas.microsoft.com/office/drawing/2014/main" id="{96E651CC-3F9A-429C-AF2C-AA10B806193E}"/>
            </a:ext>
          </a:extLst>
        </xdr:cNvPr>
        <xdr:cNvSpPr/>
      </xdr:nvSpPr>
      <xdr:spPr>
        <a:xfrm>
          <a:off x="6713588" y="537701"/>
          <a:ext cx="1784429" cy="92421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lgerian" panose="04020705040A02060702" pitchFamily="82" charset="0"/>
            </a:rPr>
            <a:t>PROJECT COMPLETION AND ATTENDANCE</a:t>
          </a:r>
        </a:p>
      </xdr:txBody>
    </xdr:sp>
    <xdr:clientData/>
  </xdr:twoCellAnchor>
  <xdr:twoCellAnchor>
    <xdr:from>
      <xdr:col>14</xdr:col>
      <xdr:colOff>184355</xdr:colOff>
      <xdr:row>1</xdr:row>
      <xdr:rowOff>138266</xdr:rowOff>
    </xdr:from>
    <xdr:to>
      <xdr:col>17</xdr:col>
      <xdr:colOff>125236</xdr:colOff>
      <xdr:row>6</xdr:row>
      <xdr:rowOff>140702</xdr:rowOff>
    </xdr:to>
    <xdr:sp macro="" textlink="">
      <xdr:nvSpPr>
        <xdr:cNvPr id="35" name="Rectangle 34">
          <a:extLst>
            <a:ext uri="{FF2B5EF4-FFF2-40B4-BE49-F238E27FC236}">
              <a16:creationId xmlns:a16="http://schemas.microsoft.com/office/drawing/2014/main" id="{D2FD8A45-44F3-4FFD-A45B-59D15AD50039}"/>
            </a:ext>
          </a:extLst>
        </xdr:cNvPr>
        <xdr:cNvSpPr/>
      </xdr:nvSpPr>
      <xdr:spPr>
        <a:xfrm>
          <a:off x="8787581" y="522339"/>
          <a:ext cx="1784429" cy="924210"/>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lgerian" panose="04020705040A02060702" pitchFamily="82" charset="0"/>
            </a:rPr>
            <a:t>SALARY AND WORKING HOURS</a:t>
          </a:r>
        </a:p>
      </xdr:txBody>
    </xdr:sp>
    <xdr:clientData/>
  </xdr:twoCellAnchor>
  <xdr:twoCellAnchor>
    <xdr:from>
      <xdr:col>17</xdr:col>
      <xdr:colOff>371110</xdr:colOff>
      <xdr:row>1</xdr:row>
      <xdr:rowOff>138745</xdr:rowOff>
    </xdr:from>
    <xdr:to>
      <xdr:col>20</xdr:col>
      <xdr:colOff>311990</xdr:colOff>
      <xdr:row>6</xdr:row>
      <xdr:rowOff>141181</xdr:rowOff>
    </xdr:to>
    <xdr:sp macro="" textlink="">
      <xdr:nvSpPr>
        <xdr:cNvPr id="36" name="Rectangle 35">
          <a:extLst>
            <a:ext uri="{FF2B5EF4-FFF2-40B4-BE49-F238E27FC236}">
              <a16:creationId xmlns:a16="http://schemas.microsoft.com/office/drawing/2014/main" id="{77E5DF40-44FC-451C-B3E3-5CFB216822D3}"/>
            </a:ext>
          </a:extLst>
        </xdr:cNvPr>
        <xdr:cNvSpPr/>
      </xdr:nvSpPr>
      <xdr:spPr>
        <a:xfrm>
          <a:off x="10744430" y="525698"/>
          <a:ext cx="1771466" cy="969819"/>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lgerian" panose="04020705040A02060702" pitchFamily="82" charset="0"/>
            </a:rPr>
            <a:t>ANALYSIS</a:t>
          </a:r>
        </a:p>
      </xdr:txBody>
    </xdr:sp>
    <xdr:clientData/>
  </xdr:twoCellAnchor>
  <xdr:twoCellAnchor>
    <xdr:from>
      <xdr:col>0</xdr:col>
      <xdr:colOff>110434</xdr:colOff>
      <xdr:row>7</xdr:row>
      <xdr:rowOff>13805</xdr:rowOff>
    </xdr:from>
    <xdr:to>
      <xdr:col>6</xdr:col>
      <xdr:colOff>316697</xdr:colOff>
      <xdr:row>19</xdr:row>
      <xdr:rowOff>69023</xdr:rowOff>
    </xdr:to>
    <xdr:graphicFrame macro="">
      <xdr:nvGraphicFramePr>
        <xdr:cNvPr id="40" name="Chart 39">
          <a:extLst>
            <a:ext uri="{FF2B5EF4-FFF2-40B4-BE49-F238E27FC236}">
              <a16:creationId xmlns:a16="http://schemas.microsoft.com/office/drawing/2014/main" id="{D0643665-CB90-4180-87C9-18F679380901}"/>
            </a:ext>
            <a:ext uri="{147F2762-F138-4A5C-976F-8EAC2B608ADB}">
              <a16:predDERef xmlns:a16="http://schemas.microsoft.com/office/drawing/2014/main" pred="{187FC95F-3B98-C7AA-1472-1D817AA77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3.468688310182" createdVersion="8" refreshedVersion="8" minRefreshableVersion="3" recordCount="1001" xr:uid="{F5182CA1-37E4-4EF5-BDEA-8D7FF03AB1D9}">
  <cacheSource type="worksheet">
    <worksheetSource ref="A1:M1048576" sheet="Sheet2"/>
  </cacheSource>
  <cacheFields count="13">
    <cacheField name="Employee_ID" numFmtId="0">
      <sharedItems containsBlank="1" count="1001">
        <s v="E0688"/>
        <s v="E0080"/>
        <s v="E0003"/>
        <s v="E0769"/>
        <s v="E0597"/>
        <s v="E0006"/>
        <s v="E0285"/>
        <s v="E0888"/>
        <s v="E0553"/>
        <s v="E0424"/>
        <s v="E0011"/>
        <s v="E0136"/>
        <s v="E0205"/>
        <s v="E0853"/>
        <s v="E0015"/>
        <s v="E0016"/>
        <s v="E0143"/>
        <s v="E0018"/>
        <s v="E0019"/>
        <s v="E0186"/>
        <s v="E0158"/>
        <s v="E0022"/>
        <s v="E0913"/>
        <s v="E0024"/>
        <s v="E0025"/>
        <s v="E0906"/>
        <s v="E0434"/>
        <s v="E0631"/>
        <s v="E0377"/>
        <s v="E0819"/>
        <s v="E0031"/>
        <s v="E0032"/>
        <s v="E0536"/>
        <s v="E0034"/>
        <s v="E0791"/>
        <s v="E0036"/>
        <s v="E0415"/>
        <s v="E0385"/>
        <s v="E0419"/>
        <s v="E0686"/>
        <s v="E0623"/>
        <s v="E0042"/>
        <s v="E0884"/>
        <s v="E0151"/>
        <s v="E0548"/>
        <s v="E0962"/>
        <s v="E0047"/>
        <s v="E0596"/>
        <s v="E0876"/>
        <s v="E0043"/>
        <s v="E0678"/>
        <s v="E0744"/>
        <s v="E0053"/>
        <s v="E0054"/>
        <s v="E0663"/>
        <s v="E0591"/>
        <s v="E0639"/>
        <s v="E0013"/>
        <s v="E0057"/>
        <s v="E0060"/>
        <s v="E0061"/>
        <s v="E0721"/>
        <s v="E0063"/>
        <s v="E0064"/>
        <s v="E0065"/>
        <s v="E0066"/>
        <s v="E0067"/>
        <s v="E0068"/>
        <s v="E0621"/>
        <s v="E0108"/>
        <s v="E0398"/>
        <s v="E0368"/>
        <s v="E0073"/>
        <s v="E0845"/>
        <s v="E0966"/>
        <s v="E0092"/>
        <s v="E0077"/>
        <s v="E0149"/>
        <s v="E0472"/>
        <s v="E0483"/>
        <s v="E0776"/>
        <s v="E0715"/>
        <s v="E0083"/>
        <s v="E0084"/>
        <s v="E0995"/>
        <s v="E0059"/>
        <s v="E0087"/>
        <s v="E0088"/>
        <s v="E0322"/>
        <s v="E0366"/>
        <s v="E0091"/>
        <s v="E0134"/>
        <s v="E0093"/>
        <s v="E0112"/>
        <s v="E0170"/>
        <s v="E0255"/>
        <s v="E0603"/>
        <s v="E0773"/>
        <s v="E0449"/>
        <s v="E0100"/>
        <s v="E0101"/>
        <s v="E0566"/>
        <s v="E0660"/>
        <s v="E0900"/>
        <s v="E0496"/>
        <s v="E0106"/>
        <s v="E0448"/>
        <s v="E0284"/>
        <s v="E0480"/>
        <s v="E0588"/>
        <s v="E0607"/>
        <s v="E0848"/>
        <s v="E0070"/>
        <s v="E0114"/>
        <s v="E0115"/>
        <s v="E0099"/>
        <s v="E0235"/>
        <s v="E0118"/>
        <s v="E0119"/>
        <s v="E0201"/>
        <s v="E0121"/>
        <s v="E0122"/>
        <s v="E0218"/>
        <s v="E0005"/>
        <s v="E0327"/>
        <s v="E0229"/>
        <s v="E0127"/>
        <s v="E0023"/>
        <s v="E0344"/>
        <s v="E0300"/>
        <s v="E0131"/>
        <s v="E0376"/>
        <s v="E0133"/>
        <s v="E0752"/>
        <s v="E0857"/>
        <s v="E0079"/>
        <s v="E0491"/>
        <s v="E0563"/>
        <s v="E0568"/>
        <s v="E0904"/>
        <s v="E0541"/>
        <s v="E0626"/>
        <s v="E0140"/>
        <s v="E0516"/>
        <s v="E0145"/>
        <s v="E0786"/>
        <s v="E0147"/>
        <s v="E0972"/>
        <s v="E0764"/>
        <s v="E0460"/>
        <s v="E0435"/>
        <s v="E0795"/>
        <s v="E0153"/>
        <s v="E0154"/>
        <s v="E0155"/>
        <s v="E0420"/>
        <s v="E0335"/>
        <s v="E0863"/>
        <s v="E0159"/>
        <s v="E0441"/>
        <s v="E0161"/>
        <s v="E0620"/>
        <s v="E0515"/>
        <s v="E0337"/>
        <s v="E0089"/>
        <s v="E0586"/>
        <s v="E0044"/>
        <s v="E0627"/>
        <s v="E0075"/>
        <s v="E0899"/>
        <s v="E0171"/>
        <s v="E0968"/>
        <s v="E0521"/>
        <s v="E0538"/>
        <s v="E0169"/>
        <s v="E0860"/>
        <s v="E0894"/>
        <s v="E0399"/>
        <s v="E0160"/>
        <s v="E0373"/>
        <s v="E0181"/>
        <s v="E0898"/>
        <s v="E0355"/>
        <s v="E0103"/>
        <s v="E0071"/>
        <s v="E0389"/>
        <s v="E0897"/>
        <s v="E0406"/>
        <s v="E0970"/>
        <s v="E0747"/>
        <s v="E0069"/>
        <s v="E0192"/>
        <s v="E0691"/>
        <s v="E0754"/>
        <s v="E0195"/>
        <s v="E0196"/>
        <s v="E0197"/>
        <s v="E0507"/>
        <s v="E0789"/>
        <s v="E0736"/>
        <s v="E0858"/>
        <s v="E0219"/>
        <s v="E0203"/>
        <s v="E0847"/>
        <s v="E0675"/>
        <s v="E0085"/>
        <s v="E0207"/>
        <s v="E0208"/>
        <s v="E0209"/>
        <s v="E0028"/>
        <s v="E0425"/>
        <s v="E0817"/>
        <s v="E0238"/>
        <s v="E0864"/>
        <s v="E0215"/>
        <s v="E0214"/>
        <s v="E0212"/>
        <s v="E0657"/>
        <s v="E0408"/>
        <s v="E0518"/>
        <s v="E0450"/>
        <s v="E0097"/>
        <s v="E0223"/>
        <s v="E0294"/>
        <s v="E0517"/>
        <s v="E0619"/>
        <s v="E0227"/>
        <s v="E0833"/>
        <s v="E0916"/>
        <s v="E0320"/>
        <s v="E0231"/>
        <s v="E0232"/>
        <s v="E0259"/>
        <s v="E0499"/>
        <s v="E0593"/>
        <s v="E0137"/>
        <s v="E0648"/>
        <s v="E0659"/>
        <s v="E0613"/>
        <s v="E0240"/>
        <s v="E0731"/>
        <s v="E0422"/>
        <s v="E0243"/>
        <s v="E0959"/>
        <s v="E0353"/>
        <s v="E0265"/>
        <s v="E0735"/>
        <s v="E0301"/>
        <s v="E0479"/>
        <s v="E0250"/>
        <s v="E0251"/>
        <s v="E0697"/>
        <s v="E0164"/>
        <s v="E0254"/>
        <s v="E0144"/>
        <s v="E0256"/>
        <s v="E0257"/>
        <s v="E0258"/>
        <s v="E0544"/>
        <s v="E0260"/>
        <s v="E0148"/>
        <s v="E0262"/>
        <s v="E0432"/>
        <s v="E0264"/>
        <s v="E0174"/>
        <s v="E0367"/>
        <s v="E0267"/>
        <s v="E0668"/>
        <s v="E0467"/>
        <s v="E0381"/>
        <s v="E0941"/>
        <s v="E0974"/>
        <s v="E0396"/>
        <s v="E0037"/>
        <s v="E0029"/>
        <s v="E0017"/>
        <s v="E0763"/>
        <s v="E0278"/>
        <s v="E0156"/>
        <s v="E0280"/>
        <s v="E0281"/>
        <s v="E0124"/>
        <s v="E0437"/>
        <s v="E0352"/>
        <s v="E0343"/>
        <s v="E0252"/>
        <s v="E0090"/>
        <s v="E0050"/>
        <s v="E0347"/>
        <s v="E0290"/>
        <s v="E0579"/>
        <s v="E0230"/>
        <s v="E0273"/>
        <s v="E0289"/>
        <s v="E0095"/>
        <s v="E0296"/>
        <s v="E0297"/>
        <s v="E0202"/>
        <s v="E0710"/>
        <s v="E0957"/>
        <s v="E0033"/>
        <s v="E0485"/>
        <s v="E0384"/>
        <s v="E0887"/>
        <s v="E0305"/>
        <s v="E0081"/>
        <s v="E0307"/>
        <s v="E0308"/>
        <s v="E0704"/>
        <s v="E0310"/>
        <s v="E0679"/>
        <s v="E0312"/>
        <s v="E0313"/>
        <s v="E0162"/>
        <s v="E0315"/>
        <s v="E0316"/>
        <s v="E0317"/>
        <s v="E0826"/>
        <s v="E0319"/>
        <s v="E0893"/>
        <s v="E0468"/>
        <s v="E0318"/>
        <s v="E0323"/>
        <s v="E0286"/>
        <s v="E0550"/>
        <s v="E0326"/>
        <s v="E0245"/>
        <s v="E0275"/>
        <s v="E0665"/>
        <s v="E0859"/>
        <s v="E0331"/>
        <s v="E0332"/>
        <s v="E0333"/>
        <s v="E0334"/>
        <s v="E0967"/>
        <s v="E0336"/>
        <s v="E0782"/>
        <s v="E0558"/>
        <s v="E0348"/>
        <s v="E0340"/>
        <s v="E0172"/>
        <s v="E0914"/>
        <s v="E0785"/>
        <s v="E0617"/>
        <s v="E0141"/>
        <s v="E0168"/>
        <s v="E0562"/>
        <s v="E0930"/>
        <s v="E0349"/>
        <s v="E0983"/>
        <s v="E0896"/>
        <s v="E0766"/>
        <s v="E0253"/>
        <s v="E0354"/>
        <s v="E0564"/>
        <s v="E0078"/>
        <s v="E0357"/>
        <s v="E0027"/>
        <s v="E0359"/>
        <s v="E0360"/>
        <s v="E0009"/>
        <s v="E0362"/>
        <s v="E0811"/>
        <s v="E0199"/>
        <s v="E0365"/>
        <s v="E0412"/>
        <s v="E0612"/>
        <s v="E0658"/>
        <s v="E0369"/>
        <s v="E0370"/>
        <s v="E0306"/>
        <s v="E0654"/>
        <s v="E0935"/>
        <s v="E0712"/>
        <s v="E0954"/>
        <s v="E0041"/>
        <s v="E0446"/>
        <s v="E0217"/>
        <s v="E0379"/>
        <s v="E0380"/>
        <s v="E0221"/>
        <s v="E0582"/>
        <s v="E0928"/>
        <s v="E0722"/>
        <s v="E0608"/>
        <s v="E0781"/>
        <s v="E0915"/>
        <s v="E0889"/>
        <s v="E0249"/>
        <s v="E0345"/>
        <s v="E0391"/>
        <s v="E0392"/>
        <s v="E0216"/>
        <s v="E0394"/>
        <s v="E0395"/>
        <s v="E0204"/>
        <s v="E0014"/>
        <s v="E0371"/>
        <s v="E0624"/>
        <s v="E0400"/>
        <s v="E0113"/>
        <s v="E0976"/>
        <s v="E0403"/>
        <s v="E0404"/>
        <s v="E0573"/>
        <s v="E0842"/>
        <s v="E0874"/>
        <s v="E0590"/>
        <s v="E0643"/>
        <s v="E0410"/>
        <s v="E0779"/>
        <s v="E0989"/>
        <s v="E0411"/>
        <s v="E0414"/>
        <s v="E0138"/>
        <s v="E0634"/>
        <s v="E0549"/>
        <s v="E0418"/>
        <s v="E0458"/>
        <s v="E0666"/>
        <s v="E0421"/>
        <s v="E0190"/>
        <s v="E0423"/>
        <s v="E0555"/>
        <s v="E0615"/>
        <s v="E0163"/>
        <s v="E0709"/>
        <s v="E0551"/>
        <s v="E0429"/>
        <s v="E0430"/>
        <s v="E0431"/>
        <s v="E0632"/>
        <s v="E0851"/>
        <s v="E0484"/>
        <s v="E0001"/>
        <s v="E0436"/>
        <s v="E0076"/>
        <s v="E0978"/>
        <s v="E0272"/>
        <s v="E0302"/>
        <s v="E0433"/>
        <s v="E0924"/>
        <s v="E0949"/>
        <s v="E0211"/>
        <s v="E0445"/>
        <s v="E0810"/>
        <s v="E0447"/>
        <s v="E0397"/>
        <s v="E0830"/>
        <s v="E0868"/>
        <s v="E0375"/>
        <s v="E0452"/>
        <s v="E0453"/>
        <s v="E0576"/>
        <s v="E0455"/>
        <s v="E0495"/>
        <s v="E0200"/>
        <s v="E0052"/>
        <s v="E0459"/>
        <s v="E0850"/>
        <s v="E0622"/>
        <s v="E0462"/>
        <s v="E0387"/>
        <s v="E0128"/>
        <s v="E0792"/>
        <s v="E0506"/>
        <s v="E0960"/>
        <s v="E0504"/>
        <s v="E0442"/>
        <s v="E0110"/>
        <s v="E0471"/>
        <s v="E0476"/>
        <s v="E0473"/>
        <s v="E0474"/>
        <s v="E0780"/>
        <s v="E0977"/>
        <s v="E0667"/>
        <s v="E0386"/>
        <s v="E0364"/>
        <s v="E0836"/>
        <s v="E0653"/>
        <s v="E0295"/>
        <s v="E0150"/>
        <s v="E0382"/>
        <s v="E0502"/>
        <s v="E0486"/>
        <s v="E0487"/>
        <s v="E0905"/>
        <s v="E0489"/>
        <s v="E0490"/>
        <s v="E0500"/>
        <s v="E0497"/>
        <s v="E0493"/>
        <s v="E0494"/>
        <s v="E0104"/>
        <s v="E0188"/>
        <s v="E0303"/>
        <s v="E0800"/>
        <s v="E0330"/>
        <s v="E0465"/>
        <s v="E0645"/>
        <s v="E0642"/>
        <s v="E0843"/>
        <s v="E0725"/>
        <s v="E0929"/>
        <s v="E0760"/>
        <s v="E0263"/>
        <s v="E0464"/>
        <s v="E0927"/>
        <s v="E0571"/>
        <s v="E0511"/>
        <s v="E0614"/>
        <s v="E0291"/>
        <s v="E0514"/>
        <s v="E0152"/>
        <s v="E0757"/>
        <s v="E0477"/>
        <s v="E0823"/>
        <s v="E0943"/>
        <s v="E0049"/>
        <s v="E0705"/>
        <s v="E0533"/>
        <s v="E0523"/>
        <s v="E0524"/>
        <s v="E0166"/>
        <s v="E0287"/>
        <s v="E0871"/>
        <s v="E0611"/>
        <s v="E0529"/>
        <s v="E0530"/>
        <s v="E0531"/>
        <s v="E0807"/>
        <s v="E0008"/>
        <s v="E0687"/>
        <s v="E0535"/>
        <s v="E0520"/>
        <s v="E0537"/>
        <s v="E0509"/>
        <s v="E0328"/>
        <s v="E0610"/>
        <s v="E0630"/>
        <s v="E0669"/>
        <s v="E0543"/>
        <s v="E0129"/>
        <s v="E0545"/>
        <s v="E0546"/>
        <s v="E0056"/>
        <s v="E0388"/>
        <s v="E0416"/>
        <s v="E0975"/>
        <s v="E0004"/>
        <s v="E0552"/>
        <s v="E0206"/>
        <s v="E0554"/>
        <s v="E0225"/>
        <s v="E0324"/>
        <s v="E0183"/>
        <s v="E0139"/>
        <s v="E0965"/>
        <s v="E0478"/>
        <s v="E0991"/>
        <s v="E0846"/>
        <s v="E0556"/>
        <s v="E0146"/>
        <s v="E0565"/>
        <s v="E0111"/>
        <s v="E0321"/>
        <s v="E0402"/>
        <s v="E0569"/>
        <s v="E0570"/>
        <s v="E0167"/>
        <s v="E0572"/>
        <s v="E0268"/>
        <s v="E0299"/>
        <s v="E0575"/>
        <s v="E0574"/>
        <s v="E0191"/>
        <s v="E0578"/>
        <s v="E0048"/>
        <s v="E0692"/>
        <s v="E0045"/>
        <s v="E0304"/>
        <s v="E0809"/>
        <s v="E0584"/>
        <s v="E0585"/>
        <s v="E0358"/>
        <s v="E0427"/>
        <s v="E0224"/>
        <s v="E0589"/>
        <s v="E0816"/>
        <s v="E0561"/>
        <s v="E0592"/>
        <s v="E0794"/>
        <s v="E0594"/>
        <s v="E0595"/>
        <s v="E0600"/>
        <s v="E0409"/>
        <s v="E0982"/>
        <s v="E0599"/>
        <s v="E0361"/>
        <s v="E0601"/>
        <s v="E0877"/>
        <s v="E0644"/>
        <s v="E0142"/>
        <s v="E0753"/>
        <s v="E0062"/>
        <s v="E0466"/>
        <s v="E0288"/>
        <s v="E0522"/>
        <s v="E0783"/>
        <s v="E0931"/>
        <s v="E0808"/>
        <s v="E0247"/>
        <s v="E0463"/>
        <s v="E0756"/>
        <s v="E0309"/>
        <s v="E0525"/>
        <s v="E0969"/>
        <s v="E0755"/>
        <s v="E0234"/>
        <s v="E0581"/>
        <s v="E0109"/>
        <s v="E0175"/>
        <s v="E0855"/>
        <s v="E0890"/>
        <s v="E0741"/>
        <s v="E0325"/>
        <s v="E0628"/>
        <s v="E0629"/>
        <s v="E0351"/>
        <s v="E0102"/>
        <s v="E0242"/>
        <s v="E0828"/>
        <s v="E0401"/>
        <s v="E0942"/>
        <s v="E0440"/>
        <s v="E0342"/>
        <s v="E0567"/>
        <s v="E0798"/>
        <s v="E0958"/>
        <s v="E0713"/>
        <s v="E0098"/>
        <s v="E0803"/>
        <s v="E0671"/>
        <s v="E0867"/>
        <s v="E0646"/>
        <s v="E0647"/>
        <s v="E0528"/>
        <s v="E0649"/>
        <s v="E0650"/>
        <s v="E0672"/>
        <s v="E0405"/>
        <s v="E0210"/>
        <s v="E0730"/>
        <s v="E0226"/>
        <s v="E0625"/>
        <s v="E0587"/>
        <s v="E0767"/>
        <s v="E0761"/>
        <s v="E0903"/>
        <s v="E0661"/>
        <s v="E0662"/>
        <s v="E0132"/>
        <s v="E0720"/>
        <s v="E0374"/>
        <s v="E0973"/>
        <s v="E0746"/>
        <s v="E0051"/>
        <s v="E0937"/>
        <s v="E0805"/>
        <s v="E0902"/>
        <s v="E0673"/>
        <s v="E0964"/>
        <s v="E0674"/>
        <s v="E0454"/>
        <s v="E0676"/>
        <s v="E0677"/>
        <s v="E0745"/>
        <s v="E0618"/>
        <s v="E0547"/>
        <s v="E0681"/>
        <s v="E0682"/>
        <s v="E0683"/>
        <s v="E0684"/>
        <s v="E0685"/>
        <s v="E0177"/>
        <s v="E0526"/>
        <s v="E0998"/>
        <s v="E0689"/>
        <s v="E0690"/>
        <s v="E0947"/>
        <s v="E0346"/>
        <s v="E0135"/>
        <s v="E0694"/>
        <s v="E0695"/>
        <s v="E0107"/>
        <s v="E0609"/>
        <s v="E0461"/>
        <s v="E0944"/>
        <s v="E0532"/>
        <s v="E0936"/>
        <s v="E0341"/>
        <s v="E0703"/>
        <s v="E0072"/>
        <s v="E0501"/>
        <s v="E0030"/>
        <s v="E0266"/>
        <s v="E0488"/>
        <s v="E0909"/>
        <s v="E0456"/>
        <s v="E0711"/>
        <s v="E0457"/>
        <s v="E0640"/>
        <s v="E0451"/>
        <s v="E0636"/>
        <s v="E0716"/>
        <s v="E0717"/>
        <s v="E0652"/>
        <s v="E0184"/>
        <s v="E0696"/>
        <s v="E0739"/>
        <s v="E0222"/>
        <s v="E0116"/>
        <s v="E0802"/>
        <s v="E0771"/>
        <s v="E0726"/>
        <s v="E0074"/>
        <s v="E0728"/>
        <s v="E0729"/>
        <s v="E0801"/>
        <s v="E0417"/>
        <s v="E0510"/>
        <s v="E0733"/>
        <s v="E0734"/>
        <s v="E0708"/>
        <s v="E0765"/>
        <s v="E0737"/>
        <s v="E0508"/>
        <s v="E0292"/>
        <s v="E0338"/>
        <s v="E0818"/>
        <s v="E0239"/>
        <s v="E0274"/>
        <s v="E0834"/>
        <s v="E0820"/>
        <s v="E0178"/>
        <s v="E0443"/>
        <s v="E0772"/>
        <s v="E0774"/>
        <s v="E0750"/>
        <s v="E0751"/>
        <s v="E0475"/>
        <s v="E0539"/>
        <s v="E0125"/>
        <s v="E0840"/>
        <s v="E0616"/>
        <s v="E0770"/>
        <s v="E0758"/>
        <s v="E0664"/>
        <s v="E0094"/>
        <s v="E0126"/>
        <s v="E0762"/>
        <s v="E0702"/>
        <s v="E0980"/>
        <s v="E0482"/>
        <s v="E0503"/>
        <s v="E0637"/>
        <s v="E0748"/>
        <s v="E0469"/>
        <s v="E0356"/>
        <s v="E0784"/>
        <s v="E0407"/>
        <s v="E0706"/>
        <s v="E0583"/>
        <s v="E0775"/>
        <s v="E0878"/>
        <s v="E0777"/>
        <s v="E0778"/>
        <s v="E0651"/>
        <s v="E0393"/>
        <s v="E0505"/>
        <s v="E0096"/>
        <s v="E0271"/>
        <s v="E0035"/>
        <s v="E0604"/>
        <s v="E0996"/>
        <s v="E0787"/>
        <s v="E0788"/>
        <s v="E0919"/>
        <s v="E0350"/>
        <s v="E0723"/>
        <s v="E0492"/>
        <s v="E0244"/>
        <s v="E0580"/>
        <s v="E0270"/>
        <s v="E0796"/>
        <s v="E0797"/>
        <s v="E0130"/>
        <s v="E0799"/>
        <s v="E0283"/>
        <s v="E0105"/>
        <s v="E0837"/>
        <s v="E0413"/>
        <s v="E0804"/>
        <s v="E0670"/>
        <s v="E0806"/>
        <s v="E0701"/>
        <s v="E0641"/>
        <s v="E0925"/>
        <s v="E0470"/>
        <s v="E0718"/>
        <s v="E0237"/>
        <s v="E0813"/>
        <s v="E0856"/>
        <s v="E0815"/>
        <s v="E0180"/>
        <s v="E0605"/>
        <s v="E0719"/>
        <s v="E0298"/>
        <s v="E0985"/>
        <s v="E0559"/>
        <s v="E0727"/>
        <s v="E0699"/>
        <s v="E0824"/>
        <s v="E0825"/>
        <s v="E0951"/>
        <s v="E0827"/>
        <s v="E0182"/>
        <s v="E0829"/>
        <s v="E0812"/>
        <s v="E0498"/>
        <s v="E0832"/>
        <s v="E0768"/>
        <s v="E0953"/>
        <s v="E0835"/>
        <s v="E0314"/>
        <s v="E0157"/>
        <s v="E0198"/>
        <s v="E0839"/>
        <s v="E0193"/>
        <s v="E0841"/>
        <s v="E0602"/>
        <s v="E0917"/>
        <s v="E0844"/>
        <s v="E0007"/>
        <s v="E0979"/>
        <s v="E0055"/>
        <s v="E0173"/>
        <s v="E0849"/>
        <s v="E0939"/>
        <s v="E0038"/>
        <s v="E0852"/>
        <s v="E0693"/>
        <s v="E0854"/>
        <s v="E0246"/>
        <s v="E0714"/>
        <s v="E0793"/>
        <s v="E0426"/>
        <s v="E0707"/>
        <s v="E0123"/>
        <s v="E0861"/>
        <s v="E0862"/>
        <s v="E0732"/>
        <s v="E0542"/>
        <s v="E0372"/>
        <s v="E0740"/>
        <s v="E0339"/>
        <s v="E0020"/>
        <s v="E0869"/>
        <s v="E0870"/>
        <s v="E0438"/>
        <s v="E0872"/>
        <s v="E0179"/>
        <s v="E0981"/>
        <s v="E0875"/>
        <s v="E0698"/>
        <s v="E0743"/>
        <s v="E0021"/>
        <s v="E0165"/>
        <s v="E0880"/>
        <s v="E0881"/>
        <s v="E0279"/>
        <s v="E0883"/>
        <s v="E0220"/>
        <s v="E0759"/>
        <s v="E0886"/>
        <s v="E0513"/>
        <s v="E0176"/>
        <s v="E0921"/>
        <s v="E0276"/>
        <s v="E0891"/>
        <s v="E0892"/>
        <s v="E0241"/>
        <s v="E0873"/>
        <s v="E0895"/>
        <s v="E0534"/>
        <s v="E0993"/>
        <s v="E0082"/>
        <s v="E0086"/>
        <s v="E0428"/>
        <s v="E0938"/>
        <s v="E0724"/>
        <s v="E0655"/>
        <s v="E0738"/>
        <s v="E0002"/>
        <s v="E0865"/>
        <s v="E0236"/>
        <s v="E0907"/>
        <s v="E0749"/>
        <s v="E0910"/>
        <s v="E0911"/>
        <s v="E0912"/>
        <s v="E0039"/>
        <s v="E0598"/>
        <s v="E0444"/>
        <s v="E0656"/>
        <s v="E0540"/>
        <s v="E0918"/>
        <s v="E0838"/>
        <s v="E0920"/>
        <s v="E0282"/>
        <s v="E0922"/>
        <s v="E0923"/>
        <s v="E0040"/>
        <s v="E0926"/>
        <s v="E0363"/>
        <s v="E0633"/>
        <s v="E0293"/>
        <s v="E0638"/>
        <s v="E0010"/>
        <s v="E0233"/>
        <s v="E0932"/>
        <s v="E0933"/>
        <s v="E0248"/>
        <s v="E0577"/>
        <s v="E0026"/>
        <s v="E0194"/>
        <s v="E0635"/>
        <s v="E0012"/>
        <s v="E0940"/>
        <s v="E0997"/>
        <s v="E0700"/>
        <s v="E0329"/>
        <s v="E0948"/>
        <s v="E0945"/>
        <s v="E0946"/>
        <s v="E0790"/>
        <s v="E0120"/>
        <s v="E0512"/>
        <s v="E0950"/>
        <s v="E0185"/>
        <s v="E0952"/>
        <s v="E0213"/>
        <s v="E0187"/>
        <s v="E0955"/>
        <s v="E0956"/>
        <s v="E0228"/>
        <s v="E0742"/>
        <s v="E0117"/>
        <s v="E0311"/>
        <s v="E0961"/>
        <s v="E0866"/>
        <s v="E0963"/>
        <s v="E0901"/>
        <s v="E0527"/>
        <s v="E0821"/>
        <s v="E0814"/>
        <s v="E0831"/>
        <s v="E0557"/>
        <s v="E0822"/>
        <s v="E0971"/>
        <s v="E0560"/>
        <s v="E0481"/>
        <s v="E0261"/>
        <s v="E0378"/>
        <s v="E0908"/>
        <s v="E0189"/>
        <s v="E0390"/>
        <s v="E0519"/>
        <s v="E0934"/>
        <s v="E0606"/>
        <s v="E0277"/>
        <s v="E0885"/>
        <s v="E0984"/>
        <s v="E0882"/>
        <s v="E0986"/>
        <s v="E0987"/>
        <s v="E0988"/>
        <s v="E0269"/>
        <s v="E0990"/>
        <s v="E0439"/>
        <s v="E0992"/>
        <s v="E0058"/>
        <s v="E0994"/>
        <s v="E0680"/>
        <s v="E0046"/>
        <s v="E0879"/>
        <s v="E0383"/>
        <s v="E0999"/>
        <s v="E1000"/>
        <m/>
      </sharedItems>
    </cacheField>
    <cacheField name="Name" numFmtId="0">
      <sharedItems containsBlank="1" count="21">
        <s v="Sanjay"/>
        <s v="Priya"/>
        <s v="Nisha"/>
        <s v="Divya"/>
        <s v="Ravi"/>
        <s v="Rekha"/>
        <s v="Hari"/>
        <s v="Meena"/>
        <s v="Manoj"/>
        <s v="Arun"/>
        <s v="Ramesh"/>
        <s v="Kavya"/>
        <s v="Karthik"/>
        <s v="Vijay"/>
        <s v="Ajay"/>
        <s v="Lakshmi"/>
        <s v="Sneha"/>
        <s v="Anitha"/>
        <s v="Suresh"/>
        <s v="Deepa"/>
        <m/>
      </sharedItems>
    </cacheField>
    <cacheField name="Department" numFmtId="0">
      <sharedItems containsBlank="1" count="5">
        <s v="IT"/>
        <s v="HR"/>
        <s v="Finance"/>
        <s v="Sales"/>
        <m/>
      </sharedItems>
    </cacheField>
    <cacheField name="Age" numFmtId="0">
      <sharedItems containsString="0" containsBlank="1" containsNumber="1" containsInteger="1" minValue="22" maxValue="40"/>
    </cacheField>
    <cacheField name="Gender" numFmtId="0">
      <sharedItems containsBlank="1" count="3">
        <s v="Male"/>
        <s v="Female"/>
        <m/>
      </sharedItems>
    </cacheField>
    <cacheField name="Experience" numFmtId="0">
      <sharedItems containsString="0" containsBlank="1" containsNumber="1" containsInteger="1" minValue="1" maxValue="15"/>
    </cacheField>
    <cacheField name="Salary" numFmtId="0">
      <sharedItems containsString="0" containsBlank="1" containsNumber="1" containsInteger="1" minValue="25018" maxValue="79906"/>
    </cacheField>
    <cacheField name="Projects_Completed" numFmtId="0">
      <sharedItems containsString="0" containsBlank="1" containsNumber="1" containsInteger="1" minValue="3" maxValue="15"/>
    </cacheField>
    <cacheField name="Working_Hours" numFmtId="0">
      <sharedItems containsString="0" containsBlank="1" containsNumber="1" containsInteger="1" minValue="35" maxValue="50" count="17">
        <n v="48"/>
        <n v="45"/>
        <n v="39"/>
        <n v="49"/>
        <n v="38"/>
        <n v="36"/>
        <n v="46"/>
        <n v="40"/>
        <n v="37"/>
        <n v="35"/>
        <n v="50"/>
        <n v="42"/>
        <n v="47"/>
        <n v="41"/>
        <n v="44"/>
        <n v="43"/>
        <m/>
      </sharedItems>
    </cacheField>
    <cacheField name="Performance_Rating" numFmtId="0">
      <sharedItems containsString="0" containsBlank="1" containsNumber="1" containsInteger="1" minValue="1" maxValue="5"/>
    </cacheField>
    <cacheField name="Attendance" numFmtId="0">
      <sharedItems containsString="0" containsBlank="1" containsNumber="1" containsInteger="1" minValue="85" maxValue="100"/>
    </cacheField>
    <cacheField name="City" numFmtId="0">
      <sharedItems containsBlank="1"/>
    </cacheField>
    <cacheField name=" Working Eligibility" numFmtId="0">
      <sharedItems containsBlank="1" count="3">
        <s v="Eligible"/>
        <s v="Not Eligible"/>
        <m/>
      </sharedItems>
    </cacheField>
  </cacheFields>
  <extLst>
    <ext xmlns:x14="http://schemas.microsoft.com/office/spreadsheetml/2009/9/main" uri="{725AE2AE-9491-48be-B2B4-4EB974FC3084}">
      <x14:pivotCacheDefinition pivotCacheId="7853020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3.503487268521" createdVersion="8" refreshedVersion="8" minRefreshableVersion="3" recordCount="1000" xr:uid="{3FF542CE-3F40-4CE6-9F65-A69CEBF24CDC}">
  <cacheSource type="worksheet">
    <worksheetSource name="Table7"/>
  </cacheSource>
  <cacheFields count="13">
    <cacheField name="Employee_ID" numFmtId="0">
      <sharedItems count="1000">
        <s v="E0688"/>
        <s v="E0080"/>
        <s v="E0003"/>
        <s v="E0769"/>
        <s v="E0597"/>
        <s v="E0006"/>
        <s v="E0285"/>
        <s v="E0888"/>
        <s v="E0553"/>
        <s v="E0424"/>
        <s v="E0011"/>
        <s v="E0136"/>
        <s v="E0205"/>
        <s v="E0853"/>
        <s v="E0015"/>
        <s v="E0016"/>
        <s v="E0143"/>
        <s v="E0018"/>
        <s v="E0019"/>
        <s v="E0186"/>
        <s v="E0158"/>
        <s v="E0022"/>
        <s v="E0913"/>
        <s v="E0024"/>
        <s v="E0025"/>
        <s v="E0906"/>
        <s v="E0434"/>
        <s v="E0631"/>
        <s v="E0377"/>
        <s v="E0819"/>
        <s v="E0031"/>
        <s v="E0032"/>
        <s v="E0536"/>
        <s v="E0034"/>
        <s v="E0791"/>
        <s v="E0036"/>
        <s v="E0415"/>
        <s v="E0385"/>
        <s v="E0419"/>
        <s v="E0686"/>
        <s v="E0623"/>
        <s v="E0042"/>
        <s v="E0884"/>
        <s v="E0151"/>
        <s v="E0548"/>
        <s v="E0962"/>
        <s v="E0047"/>
        <s v="E0596"/>
        <s v="E0876"/>
        <s v="E0043"/>
        <s v="E0678"/>
        <s v="E0744"/>
        <s v="E0053"/>
        <s v="E0054"/>
        <s v="E0663"/>
        <s v="E0591"/>
        <s v="E0639"/>
        <s v="E0013"/>
        <s v="E0057"/>
        <s v="E0060"/>
        <s v="E0061"/>
        <s v="E0721"/>
        <s v="E0063"/>
        <s v="E0064"/>
        <s v="E0065"/>
        <s v="E0066"/>
        <s v="E0067"/>
        <s v="E0068"/>
        <s v="E0621"/>
        <s v="E0108"/>
        <s v="E0398"/>
        <s v="E0368"/>
        <s v="E0073"/>
        <s v="E0845"/>
        <s v="E0966"/>
        <s v="E0092"/>
        <s v="E0077"/>
        <s v="E0149"/>
        <s v="E0472"/>
        <s v="E0483"/>
        <s v="E0776"/>
        <s v="E0715"/>
        <s v="E0083"/>
        <s v="E0084"/>
        <s v="E0995"/>
        <s v="E0059"/>
        <s v="E0087"/>
        <s v="E0088"/>
        <s v="E0322"/>
        <s v="E0366"/>
        <s v="E0091"/>
        <s v="E0134"/>
        <s v="E0093"/>
        <s v="E0112"/>
        <s v="E0170"/>
        <s v="E0255"/>
        <s v="E0603"/>
        <s v="E0773"/>
        <s v="E0449"/>
        <s v="E0100"/>
        <s v="E0101"/>
        <s v="E0566"/>
        <s v="E0660"/>
        <s v="E0900"/>
        <s v="E0496"/>
        <s v="E0106"/>
        <s v="E0448"/>
        <s v="E0284"/>
        <s v="E0480"/>
        <s v="E0588"/>
        <s v="E0607"/>
        <s v="E0848"/>
        <s v="E0070"/>
        <s v="E0114"/>
        <s v="E0115"/>
        <s v="E0099"/>
        <s v="E0235"/>
        <s v="E0118"/>
        <s v="E0119"/>
        <s v="E0201"/>
        <s v="E0121"/>
        <s v="E0122"/>
        <s v="E0218"/>
        <s v="E0005"/>
        <s v="E0327"/>
        <s v="E0229"/>
        <s v="E0127"/>
        <s v="E0023"/>
        <s v="E0344"/>
        <s v="E0300"/>
        <s v="E0131"/>
        <s v="E0376"/>
        <s v="E0133"/>
        <s v="E0752"/>
        <s v="E0857"/>
        <s v="E0079"/>
        <s v="E0491"/>
        <s v="E0563"/>
        <s v="E0568"/>
        <s v="E0904"/>
        <s v="E0541"/>
        <s v="E0626"/>
        <s v="E0140"/>
        <s v="E0516"/>
        <s v="E0145"/>
        <s v="E0786"/>
        <s v="E0147"/>
        <s v="E0972"/>
        <s v="E0764"/>
        <s v="E0460"/>
        <s v="E0435"/>
        <s v="E0795"/>
        <s v="E0153"/>
        <s v="E0154"/>
        <s v="E0155"/>
        <s v="E0420"/>
        <s v="E0335"/>
        <s v="E0863"/>
        <s v="E0159"/>
        <s v="E0441"/>
        <s v="E0161"/>
        <s v="E0620"/>
        <s v="E0515"/>
        <s v="E0337"/>
        <s v="E0089"/>
        <s v="E0586"/>
        <s v="E0044"/>
        <s v="E0627"/>
        <s v="E0075"/>
        <s v="E0899"/>
        <s v="E0171"/>
        <s v="E0968"/>
        <s v="E0521"/>
        <s v="E0538"/>
        <s v="E0169"/>
        <s v="E0860"/>
        <s v="E0894"/>
        <s v="E0399"/>
        <s v="E0160"/>
        <s v="E0373"/>
        <s v="E0181"/>
        <s v="E0898"/>
        <s v="E0355"/>
        <s v="E0103"/>
        <s v="E0071"/>
        <s v="E0389"/>
        <s v="E0897"/>
        <s v="E0406"/>
        <s v="E0970"/>
        <s v="E0747"/>
        <s v="E0069"/>
        <s v="E0192"/>
        <s v="E0691"/>
        <s v="E0754"/>
        <s v="E0195"/>
        <s v="E0196"/>
        <s v="E0197"/>
        <s v="E0507"/>
        <s v="E0789"/>
        <s v="E0736"/>
        <s v="E0858"/>
        <s v="E0219"/>
        <s v="E0203"/>
        <s v="E0847"/>
        <s v="E0675"/>
        <s v="E0085"/>
        <s v="E0207"/>
        <s v="E0208"/>
        <s v="E0209"/>
        <s v="E0028"/>
        <s v="E0425"/>
        <s v="E0817"/>
        <s v="E0238"/>
        <s v="E0864"/>
        <s v="E0215"/>
        <s v="E0214"/>
        <s v="E0212"/>
        <s v="E0657"/>
        <s v="E0408"/>
        <s v="E0518"/>
        <s v="E0450"/>
        <s v="E0097"/>
        <s v="E0223"/>
        <s v="E0294"/>
        <s v="E0517"/>
        <s v="E0619"/>
        <s v="E0227"/>
        <s v="E0833"/>
        <s v="E0916"/>
        <s v="E0320"/>
        <s v="E0231"/>
        <s v="E0232"/>
        <s v="E0259"/>
        <s v="E0499"/>
        <s v="E0593"/>
        <s v="E0137"/>
        <s v="E0648"/>
        <s v="E0659"/>
        <s v="E0613"/>
        <s v="E0240"/>
        <s v="E0731"/>
        <s v="E0422"/>
        <s v="E0243"/>
        <s v="E0959"/>
        <s v="E0353"/>
        <s v="E0265"/>
        <s v="E0735"/>
        <s v="E0301"/>
        <s v="E0479"/>
        <s v="E0250"/>
        <s v="E0251"/>
        <s v="E0697"/>
        <s v="E0164"/>
        <s v="E0254"/>
        <s v="E0144"/>
        <s v="E0256"/>
        <s v="E0257"/>
        <s v="E0258"/>
        <s v="E0544"/>
        <s v="E0260"/>
        <s v="E0148"/>
        <s v="E0262"/>
        <s v="E0432"/>
        <s v="E0264"/>
        <s v="E0174"/>
        <s v="E0367"/>
        <s v="E0267"/>
        <s v="E0668"/>
        <s v="E0467"/>
        <s v="E0381"/>
        <s v="E0941"/>
        <s v="E0974"/>
        <s v="E0396"/>
        <s v="E0037"/>
        <s v="E0029"/>
        <s v="E0017"/>
        <s v="E0763"/>
        <s v="E0278"/>
        <s v="E0156"/>
        <s v="E0280"/>
        <s v="E0281"/>
        <s v="E0124"/>
        <s v="E0437"/>
        <s v="E0352"/>
        <s v="E0343"/>
        <s v="E0252"/>
        <s v="E0090"/>
        <s v="E0050"/>
        <s v="E0347"/>
        <s v="E0290"/>
        <s v="E0579"/>
        <s v="E0230"/>
        <s v="E0273"/>
        <s v="E0289"/>
        <s v="E0095"/>
        <s v="E0296"/>
        <s v="E0297"/>
        <s v="E0202"/>
        <s v="E0710"/>
        <s v="E0957"/>
        <s v="E0033"/>
        <s v="E0485"/>
        <s v="E0384"/>
        <s v="E0887"/>
        <s v="E0305"/>
        <s v="E0081"/>
        <s v="E0307"/>
        <s v="E0308"/>
        <s v="E0704"/>
        <s v="E0310"/>
        <s v="E0679"/>
        <s v="E0312"/>
        <s v="E0313"/>
        <s v="E0162"/>
        <s v="E0315"/>
        <s v="E0316"/>
        <s v="E0317"/>
        <s v="E0826"/>
        <s v="E0319"/>
        <s v="E0893"/>
        <s v="E0468"/>
        <s v="E0318"/>
        <s v="E0323"/>
        <s v="E0286"/>
        <s v="E0550"/>
        <s v="E0326"/>
        <s v="E0245"/>
        <s v="E0275"/>
        <s v="E0665"/>
        <s v="E0859"/>
        <s v="E0331"/>
        <s v="E0332"/>
        <s v="E0333"/>
        <s v="E0334"/>
        <s v="E0967"/>
        <s v="E0336"/>
        <s v="E0782"/>
        <s v="E0558"/>
        <s v="E0348"/>
        <s v="E0340"/>
        <s v="E0172"/>
        <s v="E0914"/>
        <s v="E0785"/>
        <s v="E0617"/>
        <s v="E0141"/>
        <s v="E0168"/>
        <s v="E0562"/>
        <s v="E0930"/>
        <s v="E0349"/>
        <s v="E0983"/>
        <s v="E0896"/>
        <s v="E0766"/>
        <s v="E0253"/>
        <s v="E0354"/>
        <s v="E0564"/>
        <s v="E0078"/>
        <s v="E0357"/>
        <s v="E0027"/>
        <s v="E0359"/>
        <s v="E0360"/>
        <s v="E0009"/>
        <s v="E0362"/>
        <s v="E0811"/>
        <s v="E0199"/>
        <s v="E0365"/>
        <s v="E0412"/>
        <s v="E0612"/>
        <s v="E0658"/>
        <s v="E0369"/>
        <s v="E0370"/>
        <s v="E0306"/>
        <s v="E0654"/>
        <s v="E0935"/>
        <s v="E0712"/>
        <s v="E0954"/>
        <s v="E0041"/>
        <s v="E0446"/>
        <s v="E0217"/>
        <s v="E0379"/>
        <s v="E0380"/>
        <s v="E0221"/>
        <s v="E0582"/>
        <s v="E0928"/>
        <s v="E0722"/>
        <s v="E0608"/>
        <s v="E0781"/>
        <s v="E0915"/>
        <s v="E0889"/>
        <s v="E0249"/>
        <s v="E0345"/>
        <s v="E0391"/>
        <s v="E0392"/>
        <s v="E0216"/>
        <s v="E0394"/>
        <s v="E0395"/>
        <s v="E0204"/>
        <s v="E0014"/>
        <s v="E0371"/>
        <s v="E0624"/>
        <s v="E0400"/>
        <s v="E0113"/>
        <s v="E0976"/>
        <s v="E0403"/>
        <s v="E0404"/>
        <s v="E0573"/>
        <s v="E0842"/>
        <s v="E0874"/>
        <s v="E0590"/>
        <s v="E0643"/>
        <s v="E0410"/>
        <s v="E0779"/>
        <s v="E0989"/>
        <s v="E0411"/>
        <s v="E0414"/>
        <s v="E0138"/>
        <s v="E0634"/>
        <s v="E0549"/>
        <s v="E0418"/>
        <s v="E0458"/>
        <s v="E0666"/>
        <s v="E0421"/>
        <s v="E0190"/>
        <s v="E0423"/>
        <s v="E0555"/>
        <s v="E0615"/>
        <s v="E0163"/>
        <s v="E0709"/>
        <s v="E0551"/>
        <s v="E0429"/>
        <s v="E0430"/>
        <s v="E0431"/>
        <s v="E0632"/>
        <s v="E0851"/>
        <s v="E0484"/>
        <s v="E0001"/>
        <s v="E0436"/>
        <s v="E0076"/>
        <s v="E0978"/>
        <s v="E0272"/>
        <s v="E0302"/>
        <s v="E0433"/>
        <s v="E0924"/>
        <s v="E0949"/>
        <s v="E0211"/>
        <s v="E0445"/>
        <s v="E0810"/>
        <s v="E0447"/>
        <s v="E0397"/>
        <s v="E0830"/>
        <s v="E0868"/>
        <s v="E0375"/>
        <s v="E0452"/>
        <s v="E0453"/>
        <s v="E0576"/>
        <s v="E0455"/>
        <s v="E0495"/>
        <s v="E0200"/>
        <s v="E0052"/>
        <s v="E0459"/>
        <s v="E0850"/>
        <s v="E0622"/>
        <s v="E0462"/>
        <s v="E0387"/>
        <s v="E0128"/>
        <s v="E0792"/>
        <s v="E0506"/>
        <s v="E0960"/>
        <s v="E0504"/>
        <s v="E0442"/>
        <s v="E0110"/>
        <s v="E0471"/>
        <s v="E0476"/>
        <s v="E0473"/>
        <s v="E0474"/>
        <s v="E0780"/>
        <s v="E0977"/>
        <s v="E0667"/>
        <s v="E0386"/>
        <s v="E0364"/>
        <s v="E0836"/>
        <s v="E0653"/>
        <s v="E0295"/>
        <s v="E0150"/>
        <s v="E0382"/>
        <s v="E0502"/>
        <s v="E0486"/>
        <s v="E0487"/>
        <s v="E0905"/>
        <s v="E0489"/>
        <s v="E0490"/>
        <s v="E0500"/>
        <s v="E0497"/>
        <s v="E0493"/>
        <s v="E0494"/>
        <s v="E0104"/>
        <s v="E0188"/>
        <s v="E0303"/>
        <s v="E0800"/>
        <s v="E0330"/>
        <s v="E0465"/>
        <s v="E0645"/>
        <s v="E0642"/>
        <s v="E0843"/>
        <s v="E0725"/>
        <s v="E0929"/>
        <s v="E0760"/>
        <s v="E0263"/>
        <s v="E0464"/>
        <s v="E0927"/>
        <s v="E0571"/>
        <s v="E0511"/>
        <s v="E0614"/>
        <s v="E0291"/>
        <s v="E0514"/>
        <s v="E0152"/>
        <s v="E0757"/>
        <s v="E0477"/>
        <s v="E0823"/>
        <s v="E0943"/>
        <s v="E0049"/>
        <s v="E0705"/>
        <s v="E0533"/>
        <s v="E0523"/>
        <s v="E0524"/>
        <s v="E0166"/>
        <s v="E0287"/>
        <s v="E0871"/>
        <s v="E0611"/>
        <s v="E0529"/>
        <s v="E0530"/>
        <s v="E0531"/>
        <s v="E0807"/>
        <s v="E0008"/>
        <s v="E0687"/>
        <s v="E0535"/>
        <s v="E0520"/>
        <s v="E0537"/>
        <s v="E0509"/>
        <s v="E0328"/>
        <s v="E0610"/>
        <s v="E0630"/>
        <s v="E0669"/>
        <s v="E0543"/>
        <s v="E0129"/>
        <s v="E0545"/>
        <s v="E0546"/>
        <s v="E0056"/>
        <s v="E0388"/>
        <s v="E0416"/>
        <s v="E0975"/>
        <s v="E0004"/>
        <s v="E0552"/>
        <s v="E0206"/>
        <s v="E0554"/>
        <s v="E0225"/>
        <s v="E0324"/>
        <s v="E0183"/>
        <s v="E0139"/>
        <s v="E0965"/>
        <s v="E0478"/>
        <s v="E0991"/>
        <s v="E0846"/>
        <s v="E0556"/>
        <s v="E0146"/>
        <s v="E0565"/>
        <s v="E0111"/>
        <s v="E0321"/>
        <s v="E0402"/>
        <s v="E0569"/>
        <s v="E0570"/>
        <s v="E0167"/>
        <s v="E0572"/>
        <s v="E0268"/>
        <s v="E0299"/>
        <s v="E0575"/>
        <s v="E0574"/>
        <s v="E0191"/>
        <s v="E0578"/>
        <s v="E0048"/>
        <s v="E0692"/>
        <s v="E0045"/>
        <s v="E0304"/>
        <s v="E0809"/>
        <s v="E0584"/>
        <s v="E0585"/>
        <s v="E0358"/>
        <s v="E0427"/>
        <s v="E0224"/>
        <s v="E0589"/>
        <s v="E0816"/>
        <s v="E0561"/>
        <s v="E0592"/>
        <s v="E0794"/>
        <s v="E0594"/>
        <s v="E0595"/>
        <s v="E0600"/>
        <s v="E0409"/>
        <s v="E0982"/>
        <s v="E0599"/>
        <s v="E0361"/>
        <s v="E0601"/>
        <s v="E0877"/>
        <s v="E0644"/>
        <s v="E0142"/>
        <s v="E0753"/>
        <s v="E0062"/>
        <s v="E0466"/>
        <s v="E0288"/>
        <s v="E0522"/>
        <s v="E0783"/>
        <s v="E0931"/>
        <s v="E0808"/>
        <s v="E0247"/>
        <s v="E0463"/>
        <s v="E0756"/>
        <s v="E0309"/>
        <s v="E0525"/>
        <s v="E0969"/>
        <s v="E0755"/>
        <s v="E0234"/>
        <s v="E0581"/>
        <s v="E0109"/>
        <s v="E0175"/>
        <s v="E0855"/>
        <s v="E0890"/>
        <s v="E0741"/>
        <s v="E0325"/>
        <s v="E0628"/>
        <s v="E0629"/>
        <s v="E0351"/>
        <s v="E0102"/>
        <s v="E0242"/>
        <s v="E0828"/>
        <s v="E0401"/>
        <s v="E0942"/>
        <s v="E0440"/>
        <s v="E0342"/>
        <s v="E0567"/>
        <s v="E0798"/>
        <s v="E0958"/>
        <s v="E0713"/>
        <s v="E0098"/>
        <s v="E0803"/>
        <s v="E0671"/>
        <s v="E0867"/>
        <s v="E0646"/>
        <s v="E0647"/>
        <s v="E0528"/>
        <s v="E0649"/>
        <s v="E0650"/>
        <s v="E0672"/>
        <s v="E0405"/>
        <s v="E0210"/>
        <s v="E0730"/>
        <s v="E0226"/>
        <s v="E0625"/>
        <s v="E0587"/>
        <s v="E0767"/>
        <s v="E0761"/>
        <s v="E0903"/>
        <s v="E0661"/>
        <s v="E0662"/>
        <s v="E0132"/>
        <s v="E0720"/>
        <s v="E0374"/>
        <s v="E0973"/>
        <s v="E0746"/>
        <s v="E0051"/>
        <s v="E0937"/>
        <s v="E0805"/>
        <s v="E0902"/>
        <s v="E0673"/>
        <s v="E0964"/>
        <s v="E0674"/>
        <s v="E0454"/>
        <s v="E0676"/>
        <s v="E0677"/>
        <s v="E0745"/>
        <s v="E0618"/>
        <s v="E0547"/>
        <s v="E0681"/>
        <s v="E0682"/>
        <s v="E0683"/>
        <s v="E0684"/>
        <s v="E0685"/>
        <s v="E0177"/>
        <s v="E0526"/>
        <s v="E0998"/>
        <s v="E0689"/>
        <s v="E0690"/>
        <s v="E0947"/>
        <s v="E0346"/>
        <s v="E0135"/>
        <s v="E0694"/>
        <s v="E0695"/>
        <s v="E0107"/>
        <s v="E0609"/>
        <s v="E0461"/>
        <s v="E0944"/>
        <s v="E0532"/>
        <s v="E0936"/>
        <s v="E0341"/>
        <s v="E0703"/>
        <s v="E0072"/>
        <s v="E0501"/>
        <s v="E0030"/>
        <s v="E0266"/>
        <s v="E0488"/>
        <s v="E0909"/>
        <s v="E0456"/>
        <s v="E0711"/>
        <s v="E0457"/>
        <s v="E0640"/>
        <s v="E0451"/>
        <s v="E0636"/>
        <s v="E0716"/>
        <s v="E0717"/>
        <s v="E0652"/>
        <s v="E0184"/>
        <s v="E0696"/>
        <s v="E0739"/>
        <s v="E0222"/>
        <s v="E0116"/>
        <s v="E0802"/>
        <s v="E0771"/>
        <s v="E0726"/>
        <s v="E0074"/>
        <s v="E0728"/>
        <s v="E0729"/>
        <s v="E0801"/>
        <s v="E0417"/>
        <s v="E0510"/>
        <s v="E0733"/>
        <s v="E0734"/>
        <s v="E0708"/>
        <s v="E0765"/>
        <s v="E0737"/>
        <s v="E0508"/>
        <s v="E0292"/>
        <s v="E0338"/>
        <s v="E0818"/>
        <s v="E0239"/>
        <s v="E0274"/>
        <s v="E0834"/>
        <s v="E0820"/>
        <s v="E0178"/>
        <s v="E0443"/>
        <s v="E0772"/>
        <s v="E0774"/>
        <s v="E0750"/>
        <s v="E0751"/>
        <s v="E0475"/>
        <s v="E0539"/>
        <s v="E0125"/>
        <s v="E0840"/>
        <s v="E0616"/>
        <s v="E0770"/>
        <s v="E0758"/>
        <s v="E0664"/>
        <s v="E0094"/>
        <s v="E0126"/>
        <s v="E0762"/>
        <s v="E0702"/>
        <s v="E0980"/>
        <s v="E0482"/>
        <s v="E0503"/>
        <s v="E0637"/>
        <s v="E0748"/>
        <s v="E0469"/>
        <s v="E0356"/>
        <s v="E0784"/>
        <s v="E0407"/>
        <s v="E0706"/>
        <s v="E0583"/>
        <s v="E0775"/>
        <s v="E0878"/>
        <s v="E0777"/>
        <s v="E0778"/>
        <s v="E0651"/>
        <s v="E0393"/>
        <s v="E0505"/>
        <s v="E0096"/>
        <s v="E0271"/>
        <s v="E0035"/>
        <s v="E0604"/>
        <s v="E0996"/>
        <s v="E0787"/>
        <s v="E0788"/>
        <s v="E0919"/>
        <s v="E0350"/>
        <s v="E0723"/>
        <s v="E0492"/>
        <s v="E0244"/>
        <s v="E0580"/>
        <s v="E0270"/>
        <s v="E0796"/>
        <s v="E0797"/>
        <s v="E0130"/>
        <s v="E0799"/>
        <s v="E0283"/>
        <s v="E0105"/>
        <s v="E0837"/>
        <s v="E0413"/>
        <s v="E0804"/>
        <s v="E0670"/>
        <s v="E0806"/>
        <s v="E0701"/>
        <s v="E0641"/>
        <s v="E0925"/>
        <s v="E0470"/>
        <s v="E0718"/>
        <s v="E0237"/>
        <s v="E0813"/>
        <s v="E0856"/>
        <s v="E0815"/>
        <s v="E0180"/>
        <s v="E0605"/>
        <s v="E0719"/>
        <s v="E0298"/>
        <s v="E0985"/>
        <s v="E0559"/>
        <s v="E0727"/>
        <s v="E0699"/>
        <s v="E0824"/>
        <s v="E0825"/>
        <s v="E0951"/>
        <s v="E0827"/>
        <s v="E0182"/>
        <s v="E0829"/>
        <s v="E0812"/>
        <s v="E0498"/>
        <s v="E0832"/>
        <s v="E0768"/>
        <s v="E0953"/>
        <s v="E0835"/>
        <s v="E0314"/>
        <s v="E0157"/>
        <s v="E0198"/>
        <s v="E0839"/>
        <s v="E0193"/>
        <s v="E0841"/>
        <s v="E0602"/>
        <s v="E0917"/>
        <s v="E0844"/>
        <s v="E0007"/>
        <s v="E0979"/>
        <s v="E0055"/>
        <s v="E0173"/>
        <s v="E0849"/>
        <s v="E0939"/>
        <s v="E0038"/>
        <s v="E0852"/>
        <s v="E0693"/>
        <s v="E0854"/>
        <s v="E0246"/>
        <s v="E0714"/>
        <s v="E0793"/>
        <s v="E0426"/>
        <s v="E0707"/>
        <s v="E0123"/>
        <s v="E0861"/>
        <s v="E0862"/>
        <s v="E0732"/>
        <s v="E0542"/>
        <s v="E0372"/>
        <s v="E0740"/>
        <s v="E0339"/>
        <s v="E0020"/>
        <s v="E0869"/>
        <s v="E0870"/>
        <s v="E0438"/>
        <s v="E0872"/>
        <s v="E0179"/>
        <s v="E0981"/>
        <s v="E0875"/>
        <s v="E0698"/>
        <s v="E0743"/>
        <s v="E0021"/>
        <s v="E0165"/>
        <s v="E0880"/>
        <s v="E0881"/>
        <s v="E0279"/>
        <s v="E0883"/>
        <s v="E0220"/>
        <s v="E0759"/>
        <s v="E0886"/>
        <s v="E0513"/>
        <s v="E0176"/>
        <s v="E0921"/>
        <s v="E0276"/>
        <s v="E0891"/>
        <s v="E0892"/>
        <s v="E0241"/>
        <s v="E0873"/>
        <s v="E0895"/>
        <s v="E0534"/>
        <s v="E0993"/>
        <s v="E0082"/>
        <s v="E0086"/>
        <s v="E0428"/>
        <s v="E0938"/>
        <s v="E0724"/>
        <s v="E0655"/>
        <s v="E0738"/>
        <s v="E0002"/>
        <s v="E0865"/>
        <s v="E0236"/>
        <s v="E0907"/>
        <s v="E0749"/>
        <s v="E0910"/>
        <s v="E0911"/>
        <s v="E0912"/>
        <s v="E0039"/>
        <s v="E0598"/>
        <s v="E0444"/>
        <s v="E0656"/>
        <s v="E0540"/>
        <s v="E0918"/>
        <s v="E0838"/>
        <s v="E0920"/>
        <s v="E0282"/>
        <s v="E0922"/>
        <s v="E0923"/>
        <s v="E0040"/>
        <s v="E0926"/>
        <s v="E0363"/>
        <s v="E0633"/>
        <s v="E0293"/>
        <s v="E0638"/>
        <s v="E0010"/>
        <s v="E0233"/>
        <s v="E0932"/>
        <s v="E0933"/>
        <s v="E0248"/>
        <s v="E0577"/>
        <s v="E0026"/>
        <s v="E0194"/>
        <s v="E0635"/>
        <s v="E0012"/>
        <s v="E0940"/>
        <s v="E0997"/>
        <s v="E0700"/>
        <s v="E0329"/>
        <s v="E0948"/>
        <s v="E0945"/>
        <s v="E0946"/>
        <s v="E0790"/>
        <s v="E0120"/>
        <s v="E0512"/>
        <s v="E0950"/>
        <s v="E0185"/>
        <s v="E0952"/>
        <s v="E0213"/>
        <s v="E0187"/>
        <s v="E0955"/>
        <s v="E0956"/>
        <s v="E0228"/>
        <s v="E0742"/>
        <s v="E0117"/>
        <s v="E0311"/>
        <s v="E0961"/>
        <s v="E0866"/>
        <s v="E0963"/>
        <s v="E0901"/>
        <s v="E0527"/>
        <s v="E0821"/>
        <s v="E0814"/>
        <s v="E0831"/>
        <s v="E0557"/>
        <s v="E0822"/>
        <s v="E0971"/>
        <s v="E0560"/>
        <s v="E0481"/>
        <s v="E0261"/>
        <s v="E0378"/>
        <s v="E0908"/>
        <s v="E0189"/>
        <s v="E0390"/>
        <s v="E0519"/>
        <s v="E0934"/>
        <s v="E0606"/>
        <s v="E0277"/>
        <s v="E0885"/>
        <s v="E0984"/>
        <s v="E0882"/>
        <s v="E0986"/>
        <s v="E0987"/>
        <s v="E0988"/>
        <s v="E0269"/>
        <s v="E0990"/>
        <s v="E0439"/>
        <s v="E0992"/>
        <s v="E0058"/>
        <s v="E0994"/>
        <s v="E0680"/>
        <s v="E0046"/>
        <s v="E0879"/>
        <s v="E0383"/>
        <s v="E0999"/>
        <s v="E1000"/>
      </sharedItems>
    </cacheField>
    <cacheField name="Name" numFmtId="0">
      <sharedItems count="20">
        <s v="Sanjay"/>
        <s v="Priya"/>
        <s v="Nisha"/>
        <s v="Divya"/>
        <s v="Ravi"/>
        <s v="Rekha"/>
        <s v="Hari"/>
        <s v="Meena"/>
        <s v="Manoj"/>
        <s v="Arun"/>
        <s v="Ramesh"/>
        <s v="Kavya"/>
        <s v="Karthik"/>
        <s v="Vijay"/>
        <s v="Ajay"/>
        <s v="Lakshmi"/>
        <s v="Sneha"/>
        <s v="Anitha"/>
        <s v="Suresh"/>
        <s v="Deepa"/>
      </sharedItems>
    </cacheField>
    <cacheField name="Department" numFmtId="0">
      <sharedItems count="4">
        <s v="IT"/>
        <s v="HR"/>
        <s v="Finance"/>
        <s v="Sales"/>
      </sharedItems>
    </cacheField>
    <cacheField name="Age" numFmtId="0">
      <sharedItems containsSemiMixedTypes="0" containsString="0" containsNumber="1" containsInteger="1" minValue="22" maxValue="40"/>
    </cacheField>
    <cacheField name="Gender" numFmtId="0">
      <sharedItems count="2">
        <s v="Male"/>
        <s v="Female"/>
      </sharedItems>
    </cacheField>
    <cacheField name="Experience" numFmtId="0">
      <sharedItems containsSemiMixedTypes="0" containsString="0" containsNumber="1" containsInteger="1" minValue="1" maxValue="15"/>
    </cacheField>
    <cacheField name="Salary" numFmtId="0">
      <sharedItems containsSemiMixedTypes="0" containsString="0" containsNumber="1" containsInteger="1" minValue="25018" maxValue="79906"/>
    </cacheField>
    <cacheField name="Projects_Completed" numFmtId="0">
      <sharedItems containsSemiMixedTypes="0" containsString="0" containsNumber="1" containsInteger="1" minValue="3" maxValue="15"/>
    </cacheField>
    <cacheField name="Working_Hours" numFmtId="0">
      <sharedItems containsSemiMixedTypes="0" containsString="0" containsNumber="1" containsInteger="1" minValue="35" maxValue="50"/>
    </cacheField>
    <cacheField name="Performance_Rating" numFmtId="0">
      <sharedItems containsSemiMixedTypes="0" containsString="0" containsNumber="1" containsInteger="1" minValue="1" maxValue="5"/>
    </cacheField>
    <cacheField name="Attendance" numFmtId="0">
      <sharedItems containsSemiMixedTypes="0" containsString="0" containsNumber="1" containsInteger="1" minValue="85" maxValue="100"/>
    </cacheField>
    <cacheField name="City" numFmtId="0">
      <sharedItems count="6">
        <s v="Chennai"/>
        <s v="Mumbai"/>
        <s v="Delhi"/>
        <s v="Pune"/>
        <s v="Hyderabad"/>
        <s v="Bangalore"/>
      </sharedItems>
    </cacheField>
    <cacheField name=" Working Eligibility" numFmtId="0">
      <sharedItems count="2">
        <s v="Eligible"/>
        <s v="Not Eligible"/>
      </sharedItems>
    </cacheField>
  </cacheFields>
  <extLst>
    <ext xmlns:x14="http://schemas.microsoft.com/office/spreadsheetml/2009/9/main" uri="{725AE2AE-9491-48be-B2B4-4EB974FC3084}">
      <x14:pivotCacheDefinition pivotCacheId="7797290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n v="35"/>
    <x v="0"/>
    <n v="6"/>
    <n v="25018"/>
    <n v="14"/>
    <x v="0"/>
    <n v="4"/>
    <n v="90"/>
    <s v="Chennai"/>
    <x v="0"/>
  </r>
  <r>
    <x v="1"/>
    <x v="1"/>
    <x v="0"/>
    <n v="27"/>
    <x v="0"/>
    <n v="6"/>
    <n v="25042"/>
    <n v="14"/>
    <x v="1"/>
    <n v="5"/>
    <n v="93"/>
    <s v="Mumbai"/>
    <x v="0"/>
  </r>
  <r>
    <x v="2"/>
    <x v="2"/>
    <x v="0"/>
    <n v="31"/>
    <x v="1"/>
    <n v="2"/>
    <n v="40749"/>
    <n v="8"/>
    <x v="2"/>
    <n v="3"/>
    <n v="96"/>
    <s v="Delhi"/>
    <x v="0"/>
  </r>
  <r>
    <x v="3"/>
    <x v="3"/>
    <x v="0"/>
    <n v="25"/>
    <x v="1"/>
    <n v="5"/>
    <n v="25059"/>
    <n v="13"/>
    <x v="3"/>
    <n v="2"/>
    <n v="97"/>
    <s v="Chennai"/>
    <x v="0"/>
  </r>
  <r>
    <x v="4"/>
    <x v="4"/>
    <x v="1"/>
    <n v="35"/>
    <x v="0"/>
    <n v="8"/>
    <n v="25114"/>
    <n v="5"/>
    <x v="4"/>
    <n v="4"/>
    <n v="88"/>
    <s v="Chennai"/>
    <x v="1"/>
  </r>
  <r>
    <x v="5"/>
    <x v="5"/>
    <x v="2"/>
    <n v="23"/>
    <x v="0"/>
    <n v="3"/>
    <n v="61049"/>
    <n v="9"/>
    <x v="2"/>
    <n v="5"/>
    <n v="89"/>
    <s v="Chennai"/>
    <x v="1"/>
  </r>
  <r>
    <x v="6"/>
    <x v="6"/>
    <x v="1"/>
    <n v="27"/>
    <x v="0"/>
    <n v="6"/>
    <n v="25214"/>
    <n v="5"/>
    <x v="0"/>
    <n v="2"/>
    <n v="99"/>
    <s v="Pune"/>
    <x v="0"/>
  </r>
  <r>
    <x v="7"/>
    <x v="4"/>
    <x v="2"/>
    <n v="38"/>
    <x v="0"/>
    <n v="11"/>
    <n v="25367"/>
    <n v="6"/>
    <x v="5"/>
    <n v="5"/>
    <n v="97"/>
    <s v="Chennai"/>
    <x v="0"/>
  </r>
  <r>
    <x v="8"/>
    <x v="3"/>
    <x v="3"/>
    <n v="40"/>
    <x v="0"/>
    <n v="10"/>
    <n v="25400"/>
    <n v="14"/>
    <x v="0"/>
    <n v="2"/>
    <n v="86"/>
    <s v="Hyderabad"/>
    <x v="1"/>
  </r>
  <r>
    <x v="9"/>
    <x v="7"/>
    <x v="3"/>
    <n v="38"/>
    <x v="0"/>
    <n v="8"/>
    <n v="25435"/>
    <n v="15"/>
    <x v="0"/>
    <n v="3"/>
    <n v="95"/>
    <s v="Hyderabad"/>
    <x v="0"/>
  </r>
  <r>
    <x v="10"/>
    <x v="8"/>
    <x v="2"/>
    <n v="22"/>
    <x v="0"/>
    <n v="3"/>
    <n v="59483"/>
    <n v="12"/>
    <x v="5"/>
    <n v="4"/>
    <n v="97"/>
    <s v="Bangalore"/>
    <x v="0"/>
  </r>
  <r>
    <x v="11"/>
    <x v="3"/>
    <x v="1"/>
    <n v="39"/>
    <x v="1"/>
    <n v="13"/>
    <n v="25564"/>
    <n v="5"/>
    <x v="6"/>
    <n v="2"/>
    <n v="91"/>
    <s v="Delhi"/>
    <x v="0"/>
  </r>
  <r>
    <x v="12"/>
    <x v="2"/>
    <x v="1"/>
    <n v="26"/>
    <x v="0"/>
    <n v="7"/>
    <n v="25591"/>
    <n v="15"/>
    <x v="7"/>
    <n v="1"/>
    <n v="100"/>
    <s v="Chennai"/>
    <x v="0"/>
  </r>
  <r>
    <x v="13"/>
    <x v="9"/>
    <x v="3"/>
    <n v="27"/>
    <x v="1"/>
    <n v="14"/>
    <n v="25613"/>
    <n v="4"/>
    <x v="4"/>
    <n v="2"/>
    <n v="87"/>
    <s v="Hyderabad"/>
    <x v="1"/>
  </r>
  <r>
    <x v="14"/>
    <x v="8"/>
    <x v="2"/>
    <n v="28"/>
    <x v="1"/>
    <n v="1"/>
    <n v="64938"/>
    <n v="15"/>
    <x v="8"/>
    <n v="2"/>
    <n v="96"/>
    <s v="Chennai"/>
    <x v="0"/>
  </r>
  <r>
    <x v="15"/>
    <x v="10"/>
    <x v="2"/>
    <n v="32"/>
    <x v="1"/>
    <n v="2"/>
    <n v="34237"/>
    <n v="9"/>
    <x v="1"/>
    <n v="4"/>
    <n v="99"/>
    <s v="Hyderabad"/>
    <x v="0"/>
  </r>
  <r>
    <x v="16"/>
    <x v="8"/>
    <x v="2"/>
    <n v="38"/>
    <x v="0"/>
    <n v="8"/>
    <n v="25622"/>
    <n v="4"/>
    <x v="9"/>
    <n v="1"/>
    <n v="95"/>
    <s v="Chennai"/>
    <x v="0"/>
  </r>
  <r>
    <x v="17"/>
    <x v="11"/>
    <x v="1"/>
    <n v="32"/>
    <x v="0"/>
    <n v="4"/>
    <n v="73646"/>
    <n v="11"/>
    <x v="10"/>
    <n v="2"/>
    <n v="94"/>
    <s v="Pune"/>
    <x v="0"/>
  </r>
  <r>
    <x v="18"/>
    <x v="12"/>
    <x v="1"/>
    <n v="39"/>
    <x v="0"/>
    <n v="3"/>
    <n v="39183"/>
    <n v="13"/>
    <x v="7"/>
    <n v="1"/>
    <n v="91"/>
    <s v="Pune"/>
    <x v="0"/>
  </r>
  <r>
    <x v="19"/>
    <x v="13"/>
    <x v="3"/>
    <n v="38"/>
    <x v="1"/>
    <n v="10"/>
    <n v="25866"/>
    <n v="6"/>
    <x v="11"/>
    <n v="4"/>
    <n v="91"/>
    <s v="Delhi"/>
    <x v="0"/>
  </r>
  <r>
    <x v="20"/>
    <x v="7"/>
    <x v="3"/>
    <n v="34"/>
    <x v="1"/>
    <n v="12"/>
    <n v="25870"/>
    <n v="12"/>
    <x v="11"/>
    <n v="5"/>
    <n v="89"/>
    <s v="Pune"/>
    <x v="1"/>
  </r>
  <r>
    <x v="21"/>
    <x v="2"/>
    <x v="0"/>
    <n v="26"/>
    <x v="1"/>
    <n v="2"/>
    <n v="49942"/>
    <n v="5"/>
    <x v="5"/>
    <n v="3"/>
    <n v="94"/>
    <s v="Chennai"/>
    <x v="0"/>
  </r>
  <r>
    <x v="22"/>
    <x v="8"/>
    <x v="0"/>
    <n v="26"/>
    <x v="0"/>
    <n v="10"/>
    <n v="25885"/>
    <n v="3"/>
    <x v="12"/>
    <n v="4"/>
    <n v="90"/>
    <s v="Chennai"/>
    <x v="0"/>
  </r>
  <r>
    <x v="23"/>
    <x v="4"/>
    <x v="0"/>
    <n v="35"/>
    <x v="0"/>
    <n v="3"/>
    <n v="27284"/>
    <n v="13"/>
    <x v="1"/>
    <n v="3"/>
    <n v="94"/>
    <s v="Chennai"/>
    <x v="0"/>
  </r>
  <r>
    <x v="24"/>
    <x v="0"/>
    <x v="0"/>
    <n v="27"/>
    <x v="1"/>
    <n v="1"/>
    <n v="27633"/>
    <n v="4"/>
    <x v="2"/>
    <n v="3"/>
    <n v="91"/>
    <s v="Mumbai"/>
    <x v="0"/>
  </r>
  <r>
    <x v="25"/>
    <x v="1"/>
    <x v="2"/>
    <n v="39"/>
    <x v="0"/>
    <n v="5"/>
    <n v="25893"/>
    <n v="15"/>
    <x v="9"/>
    <n v="4"/>
    <n v="88"/>
    <s v="Delhi"/>
    <x v="1"/>
  </r>
  <r>
    <x v="26"/>
    <x v="4"/>
    <x v="0"/>
    <n v="24"/>
    <x v="1"/>
    <n v="11"/>
    <n v="25991"/>
    <n v="14"/>
    <x v="3"/>
    <n v="1"/>
    <n v="86"/>
    <s v="Hyderabad"/>
    <x v="1"/>
  </r>
  <r>
    <x v="27"/>
    <x v="12"/>
    <x v="3"/>
    <n v="24"/>
    <x v="0"/>
    <n v="9"/>
    <n v="26010"/>
    <n v="3"/>
    <x v="9"/>
    <n v="5"/>
    <n v="100"/>
    <s v="Chennai"/>
    <x v="0"/>
  </r>
  <r>
    <x v="28"/>
    <x v="8"/>
    <x v="3"/>
    <n v="36"/>
    <x v="0"/>
    <n v="5"/>
    <n v="26410"/>
    <n v="4"/>
    <x v="13"/>
    <n v="3"/>
    <n v="92"/>
    <s v="Delhi"/>
    <x v="0"/>
  </r>
  <r>
    <x v="29"/>
    <x v="0"/>
    <x v="1"/>
    <n v="39"/>
    <x v="0"/>
    <n v="8"/>
    <n v="26504"/>
    <n v="13"/>
    <x v="3"/>
    <n v="3"/>
    <n v="85"/>
    <s v="Delhi"/>
    <x v="1"/>
  </r>
  <r>
    <x v="30"/>
    <x v="13"/>
    <x v="2"/>
    <n v="35"/>
    <x v="0"/>
    <n v="3"/>
    <n v="72178"/>
    <n v="14"/>
    <x v="14"/>
    <n v="2"/>
    <n v="93"/>
    <s v="Bangalore"/>
    <x v="0"/>
  </r>
  <r>
    <x v="31"/>
    <x v="13"/>
    <x v="3"/>
    <n v="35"/>
    <x v="0"/>
    <n v="1"/>
    <n v="44658"/>
    <n v="6"/>
    <x v="7"/>
    <n v="3"/>
    <n v="88"/>
    <s v="Pune"/>
    <x v="1"/>
  </r>
  <r>
    <x v="32"/>
    <x v="9"/>
    <x v="0"/>
    <n v="34"/>
    <x v="1"/>
    <n v="9"/>
    <n v="26531"/>
    <n v="9"/>
    <x v="11"/>
    <n v="4"/>
    <n v="97"/>
    <s v="Mumbai"/>
    <x v="0"/>
  </r>
  <r>
    <x v="33"/>
    <x v="14"/>
    <x v="3"/>
    <n v="32"/>
    <x v="0"/>
    <n v="3"/>
    <n v="65611"/>
    <n v="4"/>
    <x v="4"/>
    <n v="4"/>
    <n v="94"/>
    <s v="Pune"/>
    <x v="0"/>
  </r>
  <r>
    <x v="34"/>
    <x v="8"/>
    <x v="2"/>
    <n v="39"/>
    <x v="0"/>
    <n v="7"/>
    <n v="26573"/>
    <n v="8"/>
    <x v="8"/>
    <n v="3"/>
    <n v="93"/>
    <s v="Bangalore"/>
    <x v="0"/>
  </r>
  <r>
    <x v="35"/>
    <x v="5"/>
    <x v="0"/>
    <n v="26"/>
    <x v="1"/>
    <n v="2"/>
    <n v="76768"/>
    <n v="11"/>
    <x v="12"/>
    <n v="4"/>
    <n v="92"/>
    <s v="Bangalore"/>
    <x v="0"/>
  </r>
  <r>
    <x v="36"/>
    <x v="2"/>
    <x v="1"/>
    <n v="40"/>
    <x v="1"/>
    <n v="14"/>
    <n v="26602"/>
    <n v="15"/>
    <x v="8"/>
    <n v="1"/>
    <n v="86"/>
    <s v="Chennai"/>
    <x v="1"/>
  </r>
  <r>
    <x v="37"/>
    <x v="12"/>
    <x v="1"/>
    <n v="33"/>
    <x v="0"/>
    <n v="6"/>
    <n v="26608"/>
    <n v="14"/>
    <x v="12"/>
    <n v="4"/>
    <n v="91"/>
    <s v="Chennai"/>
    <x v="0"/>
  </r>
  <r>
    <x v="38"/>
    <x v="9"/>
    <x v="0"/>
    <n v="28"/>
    <x v="0"/>
    <n v="10"/>
    <n v="26780"/>
    <n v="8"/>
    <x v="12"/>
    <n v="4"/>
    <n v="85"/>
    <s v="Delhi"/>
    <x v="1"/>
  </r>
  <r>
    <x v="39"/>
    <x v="14"/>
    <x v="2"/>
    <n v="35"/>
    <x v="1"/>
    <n v="13"/>
    <n v="26905"/>
    <n v="4"/>
    <x v="1"/>
    <n v="5"/>
    <n v="86"/>
    <s v="Delhi"/>
    <x v="1"/>
  </r>
  <r>
    <x v="40"/>
    <x v="15"/>
    <x v="0"/>
    <n v="37"/>
    <x v="1"/>
    <n v="13"/>
    <n v="27017"/>
    <n v="11"/>
    <x v="12"/>
    <n v="2"/>
    <n v="93"/>
    <s v="Bangalore"/>
    <x v="0"/>
  </r>
  <r>
    <x v="41"/>
    <x v="3"/>
    <x v="1"/>
    <n v="33"/>
    <x v="1"/>
    <n v="3"/>
    <n v="79872"/>
    <n v="13"/>
    <x v="12"/>
    <n v="3"/>
    <n v="95"/>
    <s v="Mumbai"/>
    <x v="0"/>
  </r>
  <r>
    <x v="42"/>
    <x v="7"/>
    <x v="0"/>
    <n v="36"/>
    <x v="0"/>
    <n v="14"/>
    <n v="27030"/>
    <n v="5"/>
    <x v="9"/>
    <n v="3"/>
    <n v="98"/>
    <s v="Mumbai"/>
    <x v="0"/>
  </r>
  <r>
    <x v="43"/>
    <x v="10"/>
    <x v="0"/>
    <n v="31"/>
    <x v="0"/>
    <n v="15"/>
    <n v="27034"/>
    <n v="11"/>
    <x v="15"/>
    <n v="3"/>
    <n v="97"/>
    <s v="Hyderabad"/>
    <x v="0"/>
  </r>
  <r>
    <x v="44"/>
    <x v="6"/>
    <x v="1"/>
    <n v="24"/>
    <x v="1"/>
    <n v="9"/>
    <n v="27099"/>
    <n v="9"/>
    <x v="13"/>
    <n v="4"/>
    <n v="100"/>
    <s v="Chennai"/>
    <x v="0"/>
  </r>
  <r>
    <x v="45"/>
    <x v="5"/>
    <x v="1"/>
    <n v="26"/>
    <x v="1"/>
    <n v="6"/>
    <n v="27166"/>
    <n v="5"/>
    <x v="14"/>
    <n v="3"/>
    <n v="100"/>
    <s v="Bangalore"/>
    <x v="0"/>
  </r>
  <r>
    <x v="46"/>
    <x v="7"/>
    <x v="1"/>
    <n v="31"/>
    <x v="1"/>
    <n v="2"/>
    <n v="41462"/>
    <n v="13"/>
    <x v="3"/>
    <n v="3"/>
    <n v="89"/>
    <s v="Bangalore"/>
    <x v="1"/>
  </r>
  <r>
    <x v="47"/>
    <x v="16"/>
    <x v="3"/>
    <n v="22"/>
    <x v="1"/>
    <n v="5"/>
    <n v="27252"/>
    <n v="10"/>
    <x v="1"/>
    <n v="5"/>
    <n v="94"/>
    <s v="Chennai"/>
    <x v="0"/>
  </r>
  <r>
    <x v="48"/>
    <x v="3"/>
    <x v="0"/>
    <n v="30"/>
    <x v="0"/>
    <n v="8"/>
    <n v="27270"/>
    <n v="5"/>
    <x v="2"/>
    <n v="4"/>
    <n v="96"/>
    <s v="Chennai"/>
    <x v="0"/>
  </r>
  <r>
    <x v="49"/>
    <x v="8"/>
    <x v="1"/>
    <n v="23"/>
    <x v="1"/>
    <n v="12"/>
    <n v="27282"/>
    <n v="11"/>
    <x v="5"/>
    <n v="1"/>
    <n v="90"/>
    <s v="Chennai"/>
    <x v="0"/>
  </r>
  <r>
    <x v="50"/>
    <x v="12"/>
    <x v="3"/>
    <n v="31"/>
    <x v="1"/>
    <n v="6"/>
    <n v="27282"/>
    <n v="10"/>
    <x v="15"/>
    <n v="5"/>
    <n v="94"/>
    <s v="Pune"/>
    <x v="0"/>
  </r>
  <r>
    <x v="51"/>
    <x v="11"/>
    <x v="0"/>
    <n v="40"/>
    <x v="1"/>
    <n v="6"/>
    <n v="27347"/>
    <n v="11"/>
    <x v="9"/>
    <n v="2"/>
    <n v="91"/>
    <s v="Pune"/>
    <x v="0"/>
  </r>
  <r>
    <x v="52"/>
    <x v="15"/>
    <x v="3"/>
    <n v="39"/>
    <x v="0"/>
    <n v="3"/>
    <n v="37378"/>
    <n v="7"/>
    <x v="8"/>
    <n v="1"/>
    <n v="94"/>
    <s v="Bangalore"/>
    <x v="0"/>
  </r>
  <r>
    <x v="53"/>
    <x v="1"/>
    <x v="1"/>
    <n v="24"/>
    <x v="1"/>
    <n v="4"/>
    <n v="33955"/>
    <n v="14"/>
    <x v="9"/>
    <n v="2"/>
    <n v="99"/>
    <s v="Mumbai"/>
    <x v="0"/>
  </r>
  <r>
    <x v="54"/>
    <x v="7"/>
    <x v="0"/>
    <n v="28"/>
    <x v="1"/>
    <n v="12"/>
    <n v="27390"/>
    <n v="12"/>
    <x v="4"/>
    <n v="3"/>
    <n v="85"/>
    <s v="Pune"/>
    <x v="1"/>
  </r>
  <r>
    <x v="55"/>
    <x v="14"/>
    <x v="3"/>
    <n v="32"/>
    <x v="1"/>
    <n v="13"/>
    <n v="27399"/>
    <n v="6"/>
    <x v="10"/>
    <n v="1"/>
    <n v="91"/>
    <s v="Chennai"/>
    <x v="0"/>
  </r>
  <r>
    <x v="56"/>
    <x v="0"/>
    <x v="0"/>
    <n v="25"/>
    <x v="0"/>
    <n v="7"/>
    <n v="27579"/>
    <n v="7"/>
    <x v="2"/>
    <n v="4"/>
    <n v="85"/>
    <s v="Hyderabad"/>
    <x v="1"/>
  </r>
  <r>
    <x v="57"/>
    <x v="11"/>
    <x v="0"/>
    <n v="36"/>
    <x v="1"/>
    <n v="14"/>
    <n v="27580"/>
    <n v="10"/>
    <x v="1"/>
    <n v="3"/>
    <n v="89"/>
    <s v="Hyderabad"/>
    <x v="1"/>
  </r>
  <r>
    <x v="58"/>
    <x v="1"/>
    <x v="3"/>
    <n v="32"/>
    <x v="0"/>
    <n v="14"/>
    <n v="27584"/>
    <n v="11"/>
    <x v="10"/>
    <n v="4"/>
    <n v="91"/>
    <s v="Chennai"/>
    <x v="0"/>
  </r>
  <r>
    <x v="59"/>
    <x v="7"/>
    <x v="1"/>
    <n v="34"/>
    <x v="1"/>
    <n v="1"/>
    <n v="62090"/>
    <n v="10"/>
    <x v="1"/>
    <n v="4"/>
    <n v="89"/>
    <s v="Delhi"/>
    <x v="1"/>
  </r>
  <r>
    <x v="60"/>
    <x v="15"/>
    <x v="2"/>
    <n v="29"/>
    <x v="0"/>
    <n v="1"/>
    <n v="37183"/>
    <n v="10"/>
    <x v="8"/>
    <n v="4"/>
    <n v="91"/>
    <s v="Pune"/>
    <x v="0"/>
  </r>
  <r>
    <x v="61"/>
    <x v="13"/>
    <x v="1"/>
    <n v="31"/>
    <x v="0"/>
    <n v="14"/>
    <n v="27658"/>
    <n v="14"/>
    <x v="10"/>
    <n v="5"/>
    <n v="99"/>
    <s v="Mumbai"/>
    <x v="0"/>
  </r>
  <r>
    <x v="62"/>
    <x v="9"/>
    <x v="1"/>
    <n v="38"/>
    <x v="1"/>
    <n v="3"/>
    <n v="44152"/>
    <n v="9"/>
    <x v="1"/>
    <n v="2"/>
    <n v="100"/>
    <s v="Bangalore"/>
    <x v="0"/>
  </r>
  <r>
    <x v="63"/>
    <x v="14"/>
    <x v="2"/>
    <n v="28"/>
    <x v="1"/>
    <n v="4"/>
    <n v="78320"/>
    <n v="15"/>
    <x v="1"/>
    <n v="5"/>
    <n v="89"/>
    <s v="Delhi"/>
    <x v="1"/>
  </r>
  <r>
    <x v="64"/>
    <x v="15"/>
    <x v="3"/>
    <n v="38"/>
    <x v="1"/>
    <n v="1"/>
    <n v="76311"/>
    <n v="4"/>
    <x v="4"/>
    <n v="1"/>
    <n v="93"/>
    <s v="Delhi"/>
    <x v="0"/>
  </r>
  <r>
    <x v="65"/>
    <x v="17"/>
    <x v="3"/>
    <n v="33"/>
    <x v="0"/>
    <n v="2"/>
    <n v="76765"/>
    <n v="6"/>
    <x v="0"/>
    <n v="5"/>
    <n v="87"/>
    <s v="Mumbai"/>
    <x v="1"/>
  </r>
  <r>
    <x v="66"/>
    <x v="6"/>
    <x v="0"/>
    <n v="34"/>
    <x v="0"/>
    <n v="3"/>
    <n v="53110"/>
    <n v="12"/>
    <x v="3"/>
    <n v="1"/>
    <n v="90"/>
    <s v="Delhi"/>
    <x v="0"/>
  </r>
  <r>
    <x v="67"/>
    <x v="1"/>
    <x v="0"/>
    <n v="26"/>
    <x v="1"/>
    <n v="3"/>
    <n v="60011"/>
    <n v="15"/>
    <x v="12"/>
    <n v="5"/>
    <n v="100"/>
    <s v="Pune"/>
    <x v="0"/>
  </r>
  <r>
    <x v="68"/>
    <x v="16"/>
    <x v="0"/>
    <n v="29"/>
    <x v="0"/>
    <n v="15"/>
    <n v="27665"/>
    <n v="13"/>
    <x v="1"/>
    <n v="3"/>
    <n v="100"/>
    <s v="Bangalore"/>
    <x v="0"/>
  </r>
  <r>
    <x v="69"/>
    <x v="17"/>
    <x v="3"/>
    <n v="28"/>
    <x v="1"/>
    <n v="7"/>
    <n v="27755"/>
    <n v="4"/>
    <x v="6"/>
    <n v="4"/>
    <n v="97"/>
    <s v="Mumbai"/>
    <x v="0"/>
  </r>
  <r>
    <x v="70"/>
    <x v="0"/>
    <x v="2"/>
    <n v="33"/>
    <x v="1"/>
    <n v="6"/>
    <n v="28023"/>
    <n v="7"/>
    <x v="3"/>
    <n v="5"/>
    <n v="93"/>
    <s v="Hyderabad"/>
    <x v="0"/>
  </r>
  <r>
    <x v="71"/>
    <x v="4"/>
    <x v="2"/>
    <n v="30"/>
    <x v="0"/>
    <n v="12"/>
    <n v="28049"/>
    <n v="14"/>
    <x v="15"/>
    <n v="1"/>
    <n v="92"/>
    <s v="Mumbai"/>
    <x v="0"/>
  </r>
  <r>
    <x v="72"/>
    <x v="14"/>
    <x v="1"/>
    <n v="38"/>
    <x v="1"/>
    <n v="1"/>
    <n v="40792"/>
    <n v="12"/>
    <x v="12"/>
    <n v="5"/>
    <n v="100"/>
    <s v="Hyderabad"/>
    <x v="0"/>
  </r>
  <r>
    <x v="73"/>
    <x v="14"/>
    <x v="0"/>
    <n v="29"/>
    <x v="1"/>
    <n v="9"/>
    <n v="28079"/>
    <n v="4"/>
    <x v="10"/>
    <n v="4"/>
    <n v="86"/>
    <s v="Mumbai"/>
    <x v="1"/>
  </r>
  <r>
    <x v="74"/>
    <x v="18"/>
    <x v="0"/>
    <n v="26"/>
    <x v="1"/>
    <n v="10"/>
    <n v="28084"/>
    <n v="14"/>
    <x v="1"/>
    <n v="2"/>
    <n v="89"/>
    <s v="Hyderabad"/>
    <x v="1"/>
  </r>
  <r>
    <x v="75"/>
    <x v="0"/>
    <x v="3"/>
    <n v="36"/>
    <x v="0"/>
    <n v="5"/>
    <n v="28253"/>
    <n v="8"/>
    <x v="6"/>
    <n v="3"/>
    <n v="94"/>
    <s v="Delhi"/>
    <x v="0"/>
  </r>
  <r>
    <x v="76"/>
    <x v="7"/>
    <x v="0"/>
    <n v="33"/>
    <x v="0"/>
    <n v="3"/>
    <n v="41031"/>
    <n v="14"/>
    <x v="9"/>
    <n v="5"/>
    <n v="97"/>
    <s v="Chennai"/>
    <x v="0"/>
  </r>
  <r>
    <x v="77"/>
    <x v="14"/>
    <x v="2"/>
    <n v="28"/>
    <x v="1"/>
    <n v="14"/>
    <n v="28328"/>
    <n v="14"/>
    <x v="10"/>
    <n v="5"/>
    <n v="96"/>
    <s v="Chennai"/>
    <x v="0"/>
  </r>
  <r>
    <x v="78"/>
    <x v="7"/>
    <x v="1"/>
    <n v="28"/>
    <x v="0"/>
    <n v="11"/>
    <n v="28417"/>
    <n v="7"/>
    <x v="0"/>
    <n v="2"/>
    <n v="91"/>
    <s v="Delhi"/>
    <x v="0"/>
  </r>
  <r>
    <x v="79"/>
    <x v="12"/>
    <x v="0"/>
    <n v="32"/>
    <x v="1"/>
    <n v="9"/>
    <n v="28455"/>
    <n v="14"/>
    <x v="2"/>
    <n v="2"/>
    <n v="95"/>
    <s v="Bangalore"/>
    <x v="0"/>
  </r>
  <r>
    <x v="80"/>
    <x v="7"/>
    <x v="1"/>
    <n v="40"/>
    <x v="1"/>
    <n v="5"/>
    <n v="28572"/>
    <n v="6"/>
    <x v="0"/>
    <n v="3"/>
    <n v="91"/>
    <s v="Mumbai"/>
    <x v="0"/>
  </r>
  <r>
    <x v="81"/>
    <x v="4"/>
    <x v="3"/>
    <n v="39"/>
    <x v="0"/>
    <n v="15"/>
    <n v="28807"/>
    <n v="12"/>
    <x v="4"/>
    <n v="1"/>
    <n v="87"/>
    <s v="Mumbai"/>
    <x v="1"/>
  </r>
  <r>
    <x v="82"/>
    <x v="6"/>
    <x v="1"/>
    <n v="36"/>
    <x v="1"/>
    <n v="2"/>
    <n v="34409"/>
    <n v="14"/>
    <x v="5"/>
    <n v="3"/>
    <n v="100"/>
    <s v="Hyderabad"/>
    <x v="0"/>
  </r>
  <r>
    <x v="83"/>
    <x v="6"/>
    <x v="2"/>
    <n v="28"/>
    <x v="1"/>
    <n v="3"/>
    <n v="40095"/>
    <n v="15"/>
    <x v="0"/>
    <n v="4"/>
    <n v="85"/>
    <s v="Chennai"/>
    <x v="1"/>
  </r>
  <r>
    <x v="84"/>
    <x v="9"/>
    <x v="0"/>
    <n v="24"/>
    <x v="1"/>
    <n v="15"/>
    <n v="28846"/>
    <n v="12"/>
    <x v="4"/>
    <n v="5"/>
    <n v="99"/>
    <s v="Bangalore"/>
    <x v="0"/>
  </r>
  <r>
    <x v="85"/>
    <x v="18"/>
    <x v="0"/>
    <n v="25"/>
    <x v="0"/>
    <n v="15"/>
    <n v="28874"/>
    <n v="13"/>
    <x v="13"/>
    <n v="2"/>
    <n v="95"/>
    <s v="Mumbai"/>
    <x v="0"/>
  </r>
  <r>
    <x v="86"/>
    <x v="9"/>
    <x v="3"/>
    <n v="27"/>
    <x v="1"/>
    <n v="3"/>
    <n v="31087"/>
    <n v="6"/>
    <x v="12"/>
    <n v="4"/>
    <n v="85"/>
    <s v="Chennai"/>
    <x v="1"/>
  </r>
  <r>
    <x v="87"/>
    <x v="15"/>
    <x v="0"/>
    <n v="39"/>
    <x v="0"/>
    <n v="1"/>
    <n v="53482"/>
    <n v="5"/>
    <x v="11"/>
    <n v="4"/>
    <n v="92"/>
    <s v="Delhi"/>
    <x v="0"/>
  </r>
  <r>
    <x v="88"/>
    <x v="11"/>
    <x v="0"/>
    <n v="22"/>
    <x v="0"/>
    <n v="5"/>
    <n v="28942"/>
    <n v="15"/>
    <x v="3"/>
    <n v="5"/>
    <n v="100"/>
    <s v="Hyderabad"/>
    <x v="0"/>
  </r>
  <r>
    <x v="89"/>
    <x v="1"/>
    <x v="2"/>
    <n v="28"/>
    <x v="0"/>
    <n v="10"/>
    <n v="28948"/>
    <n v="3"/>
    <x v="8"/>
    <n v="1"/>
    <n v="97"/>
    <s v="Delhi"/>
    <x v="0"/>
  </r>
  <r>
    <x v="90"/>
    <x v="19"/>
    <x v="3"/>
    <n v="40"/>
    <x v="1"/>
    <n v="1"/>
    <n v="29211"/>
    <n v="6"/>
    <x v="5"/>
    <n v="3"/>
    <n v="93"/>
    <s v="Mumbai"/>
    <x v="0"/>
  </r>
  <r>
    <x v="91"/>
    <x v="4"/>
    <x v="2"/>
    <n v="38"/>
    <x v="1"/>
    <n v="9"/>
    <n v="28981"/>
    <n v="6"/>
    <x v="5"/>
    <n v="3"/>
    <n v="98"/>
    <s v="Chennai"/>
    <x v="0"/>
  </r>
  <r>
    <x v="92"/>
    <x v="18"/>
    <x v="1"/>
    <n v="40"/>
    <x v="0"/>
    <n v="3"/>
    <n v="32379"/>
    <n v="5"/>
    <x v="0"/>
    <n v="2"/>
    <n v="97"/>
    <s v="Pune"/>
    <x v="0"/>
  </r>
  <r>
    <x v="93"/>
    <x v="16"/>
    <x v="1"/>
    <n v="24"/>
    <x v="0"/>
    <n v="13"/>
    <n v="28984"/>
    <n v="7"/>
    <x v="15"/>
    <n v="4"/>
    <n v="94"/>
    <s v="Mumbai"/>
    <x v="0"/>
  </r>
  <r>
    <x v="94"/>
    <x v="11"/>
    <x v="0"/>
    <n v="35"/>
    <x v="0"/>
    <n v="9"/>
    <n v="29128"/>
    <n v="6"/>
    <x v="8"/>
    <n v="2"/>
    <n v="89"/>
    <s v="Hyderabad"/>
    <x v="1"/>
  </r>
  <r>
    <x v="95"/>
    <x v="7"/>
    <x v="2"/>
    <n v="33"/>
    <x v="0"/>
    <n v="13"/>
    <n v="29178"/>
    <n v="13"/>
    <x v="8"/>
    <n v="2"/>
    <n v="93"/>
    <s v="Bangalore"/>
    <x v="0"/>
  </r>
  <r>
    <x v="96"/>
    <x v="10"/>
    <x v="2"/>
    <n v="31"/>
    <x v="0"/>
    <n v="6"/>
    <n v="29190"/>
    <n v="12"/>
    <x v="4"/>
    <n v="4"/>
    <n v="88"/>
    <s v="Chennai"/>
    <x v="1"/>
  </r>
  <r>
    <x v="97"/>
    <x v="16"/>
    <x v="3"/>
    <n v="32"/>
    <x v="1"/>
    <n v="8"/>
    <n v="29324"/>
    <n v="13"/>
    <x v="5"/>
    <n v="5"/>
    <n v="97"/>
    <s v="Chennai"/>
    <x v="0"/>
  </r>
  <r>
    <x v="98"/>
    <x v="17"/>
    <x v="3"/>
    <n v="26"/>
    <x v="1"/>
    <n v="7"/>
    <n v="29325"/>
    <n v="4"/>
    <x v="0"/>
    <n v="5"/>
    <n v="85"/>
    <s v="Chennai"/>
    <x v="1"/>
  </r>
  <r>
    <x v="99"/>
    <x v="0"/>
    <x v="3"/>
    <n v="33"/>
    <x v="1"/>
    <n v="3"/>
    <n v="50280"/>
    <n v="8"/>
    <x v="15"/>
    <n v="2"/>
    <n v="96"/>
    <s v="Pune"/>
    <x v="0"/>
  </r>
  <r>
    <x v="100"/>
    <x v="5"/>
    <x v="0"/>
    <n v="24"/>
    <x v="1"/>
    <n v="3"/>
    <n v="46748"/>
    <n v="14"/>
    <x v="4"/>
    <n v="1"/>
    <n v="89"/>
    <s v="Hyderabad"/>
    <x v="1"/>
  </r>
  <r>
    <x v="101"/>
    <x v="14"/>
    <x v="2"/>
    <n v="24"/>
    <x v="1"/>
    <n v="6"/>
    <n v="29327"/>
    <n v="13"/>
    <x v="6"/>
    <n v="5"/>
    <n v="86"/>
    <s v="Hyderabad"/>
    <x v="1"/>
  </r>
  <r>
    <x v="102"/>
    <x v="14"/>
    <x v="3"/>
    <n v="39"/>
    <x v="0"/>
    <n v="15"/>
    <n v="29381"/>
    <n v="13"/>
    <x v="0"/>
    <n v="2"/>
    <n v="90"/>
    <s v="Pune"/>
    <x v="0"/>
  </r>
  <r>
    <x v="103"/>
    <x v="9"/>
    <x v="2"/>
    <n v="28"/>
    <x v="1"/>
    <n v="15"/>
    <n v="29421"/>
    <n v="15"/>
    <x v="11"/>
    <n v="2"/>
    <n v="88"/>
    <s v="Mumbai"/>
    <x v="1"/>
  </r>
  <r>
    <x v="104"/>
    <x v="7"/>
    <x v="1"/>
    <n v="37"/>
    <x v="0"/>
    <n v="6"/>
    <n v="29437"/>
    <n v="12"/>
    <x v="1"/>
    <n v="5"/>
    <n v="100"/>
    <s v="Pune"/>
    <x v="0"/>
  </r>
  <r>
    <x v="105"/>
    <x v="12"/>
    <x v="0"/>
    <n v="38"/>
    <x v="1"/>
    <n v="1"/>
    <n v="41203"/>
    <n v="9"/>
    <x v="3"/>
    <n v="5"/>
    <n v="90"/>
    <s v="Delhi"/>
    <x v="0"/>
  </r>
  <r>
    <x v="106"/>
    <x v="15"/>
    <x v="3"/>
    <n v="30"/>
    <x v="0"/>
    <n v="12"/>
    <n v="29477"/>
    <n v="4"/>
    <x v="15"/>
    <n v="4"/>
    <n v="94"/>
    <s v="Delhi"/>
    <x v="0"/>
  </r>
  <r>
    <x v="107"/>
    <x v="8"/>
    <x v="2"/>
    <n v="37"/>
    <x v="1"/>
    <n v="8"/>
    <n v="29631"/>
    <n v="6"/>
    <x v="9"/>
    <n v="3"/>
    <n v="89"/>
    <s v="Bangalore"/>
    <x v="1"/>
  </r>
  <r>
    <x v="108"/>
    <x v="18"/>
    <x v="1"/>
    <n v="34"/>
    <x v="0"/>
    <n v="11"/>
    <n v="29748"/>
    <n v="15"/>
    <x v="13"/>
    <n v="4"/>
    <n v="98"/>
    <s v="Chennai"/>
    <x v="0"/>
  </r>
  <r>
    <x v="109"/>
    <x v="4"/>
    <x v="2"/>
    <n v="35"/>
    <x v="0"/>
    <n v="13"/>
    <n v="29834"/>
    <n v="4"/>
    <x v="10"/>
    <n v="4"/>
    <n v="100"/>
    <s v="Chennai"/>
    <x v="0"/>
  </r>
  <r>
    <x v="110"/>
    <x v="1"/>
    <x v="1"/>
    <n v="33"/>
    <x v="1"/>
    <n v="8"/>
    <n v="30040"/>
    <n v="11"/>
    <x v="2"/>
    <n v="4"/>
    <n v="100"/>
    <s v="Pune"/>
    <x v="0"/>
  </r>
  <r>
    <x v="111"/>
    <x v="9"/>
    <x v="1"/>
    <n v="24"/>
    <x v="0"/>
    <n v="11"/>
    <n v="30124"/>
    <n v="5"/>
    <x v="4"/>
    <n v="5"/>
    <n v="90"/>
    <s v="Pune"/>
    <x v="0"/>
  </r>
  <r>
    <x v="112"/>
    <x v="1"/>
    <x v="2"/>
    <n v="35"/>
    <x v="1"/>
    <n v="14"/>
    <n v="30444"/>
    <n v="12"/>
    <x v="1"/>
    <n v="4"/>
    <n v="88"/>
    <s v="Hyderabad"/>
    <x v="1"/>
  </r>
  <r>
    <x v="113"/>
    <x v="16"/>
    <x v="0"/>
    <n v="31"/>
    <x v="1"/>
    <n v="1"/>
    <n v="69780"/>
    <n v="5"/>
    <x v="15"/>
    <n v="4"/>
    <n v="96"/>
    <s v="Chennai"/>
    <x v="0"/>
  </r>
  <r>
    <x v="114"/>
    <x v="13"/>
    <x v="1"/>
    <n v="25"/>
    <x v="1"/>
    <n v="2"/>
    <n v="42355"/>
    <n v="14"/>
    <x v="3"/>
    <n v="2"/>
    <n v="100"/>
    <s v="Bangalore"/>
    <x v="0"/>
  </r>
  <r>
    <x v="115"/>
    <x v="2"/>
    <x v="1"/>
    <n v="28"/>
    <x v="0"/>
    <n v="9"/>
    <n v="30446"/>
    <n v="15"/>
    <x v="15"/>
    <n v="1"/>
    <n v="87"/>
    <s v="Chennai"/>
    <x v="1"/>
  </r>
  <r>
    <x v="116"/>
    <x v="13"/>
    <x v="3"/>
    <n v="23"/>
    <x v="0"/>
    <n v="14"/>
    <n v="30448"/>
    <n v="15"/>
    <x v="13"/>
    <n v="5"/>
    <n v="94"/>
    <s v="Delhi"/>
    <x v="0"/>
  </r>
  <r>
    <x v="117"/>
    <x v="13"/>
    <x v="0"/>
    <n v="22"/>
    <x v="1"/>
    <n v="4"/>
    <n v="47715"/>
    <n v="5"/>
    <x v="1"/>
    <n v="3"/>
    <n v="96"/>
    <s v="Pune"/>
    <x v="0"/>
  </r>
  <r>
    <x v="118"/>
    <x v="6"/>
    <x v="2"/>
    <n v="31"/>
    <x v="0"/>
    <n v="2"/>
    <n v="43221"/>
    <n v="5"/>
    <x v="10"/>
    <n v="2"/>
    <n v="89"/>
    <s v="Bangalore"/>
    <x v="1"/>
  </r>
  <r>
    <x v="119"/>
    <x v="9"/>
    <x v="1"/>
    <n v="31"/>
    <x v="0"/>
    <n v="9"/>
    <n v="30471"/>
    <n v="6"/>
    <x v="6"/>
    <n v="2"/>
    <n v="88"/>
    <s v="Bangalore"/>
    <x v="1"/>
  </r>
  <r>
    <x v="120"/>
    <x v="9"/>
    <x v="2"/>
    <n v="23"/>
    <x v="0"/>
    <n v="4"/>
    <n v="33910"/>
    <n v="12"/>
    <x v="5"/>
    <n v="5"/>
    <n v="91"/>
    <s v="Bangalore"/>
    <x v="0"/>
  </r>
  <r>
    <x v="121"/>
    <x v="10"/>
    <x v="1"/>
    <n v="27"/>
    <x v="1"/>
    <n v="3"/>
    <n v="40987"/>
    <n v="10"/>
    <x v="7"/>
    <n v="3"/>
    <n v="87"/>
    <s v="Bangalore"/>
    <x v="1"/>
  </r>
  <r>
    <x v="122"/>
    <x v="13"/>
    <x v="1"/>
    <n v="29"/>
    <x v="0"/>
    <n v="11"/>
    <n v="30474"/>
    <n v="11"/>
    <x v="0"/>
    <n v="3"/>
    <n v="90"/>
    <s v="Pune"/>
    <x v="0"/>
  </r>
  <r>
    <x v="123"/>
    <x v="0"/>
    <x v="1"/>
    <n v="36"/>
    <x v="1"/>
    <n v="7"/>
    <n v="30627"/>
    <n v="8"/>
    <x v="6"/>
    <n v="4"/>
    <n v="87"/>
    <s v="Delhi"/>
    <x v="1"/>
  </r>
  <r>
    <x v="124"/>
    <x v="13"/>
    <x v="0"/>
    <n v="40"/>
    <x v="0"/>
    <n v="12"/>
    <n v="30640"/>
    <n v="5"/>
    <x v="14"/>
    <n v="4"/>
    <n v="92"/>
    <s v="Mumbai"/>
    <x v="0"/>
  </r>
  <r>
    <x v="125"/>
    <x v="15"/>
    <x v="1"/>
    <n v="35"/>
    <x v="1"/>
    <n v="9"/>
    <n v="30701"/>
    <n v="6"/>
    <x v="9"/>
    <n v="2"/>
    <n v="89"/>
    <s v="Hyderabad"/>
    <x v="1"/>
  </r>
  <r>
    <x v="126"/>
    <x v="13"/>
    <x v="0"/>
    <n v="34"/>
    <x v="0"/>
    <n v="4"/>
    <n v="36242"/>
    <n v="6"/>
    <x v="2"/>
    <n v="1"/>
    <n v="95"/>
    <s v="Bangalore"/>
    <x v="0"/>
  </r>
  <r>
    <x v="127"/>
    <x v="5"/>
    <x v="1"/>
    <n v="28"/>
    <x v="1"/>
    <n v="7"/>
    <n v="30889"/>
    <n v="3"/>
    <x v="11"/>
    <n v="3"/>
    <n v="99"/>
    <s v="Delhi"/>
    <x v="0"/>
  </r>
  <r>
    <x v="128"/>
    <x v="6"/>
    <x v="0"/>
    <n v="39"/>
    <x v="1"/>
    <n v="11"/>
    <n v="30914"/>
    <n v="15"/>
    <x v="14"/>
    <n v="4"/>
    <n v="96"/>
    <s v="Bangalore"/>
    <x v="0"/>
  </r>
  <r>
    <x v="129"/>
    <x v="3"/>
    <x v="2"/>
    <n v="33"/>
    <x v="0"/>
    <n v="9"/>
    <n v="31007"/>
    <n v="4"/>
    <x v="7"/>
    <n v="4"/>
    <n v="88"/>
    <s v="Mumbai"/>
    <x v="1"/>
  </r>
  <r>
    <x v="130"/>
    <x v="16"/>
    <x v="2"/>
    <n v="30"/>
    <x v="0"/>
    <n v="4"/>
    <n v="74693"/>
    <n v="3"/>
    <x v="0"/>
    <n v="5"/>
    <n v="95"/>
    <s v="Delhi"/>
    <x v="0"/>
  </r>
  <r>
    <x v="131"/>
    <x v="8"/>
    <x v="3"/>
    <n v="24"/>
    <x v="1"/>
    <n v="10"/>
    <n v="31355"/>
    <n v="15"/>
    <x v="10"/>
    <n v="5"/>
    <n v="87"/>
    <s v="Bangalore"/>
    <x v="1"/>
  </r>
  <r>
    <x v="132"/>
    <x v="4"/>
    <x v="2"/>
    <n v="24"/>
    <x v="0"/>
    <n v="2"/>
    <n v="34785"/>
    <n v="13"/>
    <x v="4"/>
    <n v="1"/>
    <n v="86"/>
    <s v="Chennai"/>
    <x v="1"/>
  </r>
  <r>
    <x v="133"/>
    <x v="9"/>
    <x v="3"/>
    <n v="37"/>
    <x v="1"/>
    <n v="15"/>
    <n v="31449"/>
    <n v="11"/>
    <x v="3"/>
    <n v="5"/>
    <n v="95"/>
    <s v="Hyderabad"/>
    <x v="0"/>
  </r>
  <r>
    <x v="134"/>
    <x v="15"/>
    <x v="2"/>
    <n v="40"/>
    <x v="0"/>
    <n v="10"/>
    <n v="31457"/>
    <n v="8"/>
    <x v="14"/>
    <n v="4"/>
    <n v="91"/>
    <s v="Hyderabad"/>
    <x v="0"/>
  </r>
  <r>
    <x v="135"/>
    <x v="10"/>
    <x v="2"/>
    <n v="22"/>
    <x v="1"/>
    <n v="8"/>
    <n v="31915"/>
    <n v="6"/>
    <x v="11"/>
    <n v="1"/>
    <n v="93"/>
    <s v="Pune"/>
    <x v="0"/>
  </r>
  <r>
    <x v="136"/>
    <x v="19"/>
    <x v="3"/>
    <n v="30"/>
    <x v="1"/>
    <n v="10"/>
    <n v="31977"/>
    <n v="10"/>
    <x v="13"/>
    <n v="3"/>
    <n v="89"/>
    <s v="Bangalore"/>
    <x v="1"/>
  </r>
  <r>
    <x v="137"/>
    <x v="9"/>
    <x v="1"/>
    <n v="25"/>
    <x v="1"/>
    <n v="9"/>
    <n v="32025"/>
    <n v="8"/>
    <x v="4"/>
    <n v="5"/>
    <n v="87"/>
    <s v="Chennai"/>
    <x v="1"/>
  </r>
  <r>
    <x v="138"/>
    <x v="13"/>
    <x v="3"/>
    <n v="34"/>
    <x v="0"/>
    <n v="8"/>
    <n v="32065"/>
    <n v="11"/>
    <x v="12"/>
    <n v="2"/>
    <n v="99"/>
    <s v="Delhi"/>
    <x v="0"/>
  </r>
  <r>
    <x v="139"/>
    <x v="9"/>
    <x v="0"/>
    <n v="27"/>
    <x v="0"/>
    <n v="13"/>
    <n v="32093"/>
    <n v="4"/>
    <x v="6"/>
    <n v="5"/>
    <n v="98"/>
    <s v="Bangalore"/>
    <x v="0"/>
  </r>
  <r>
    <x v="140"/>
    <x v="2"/>
    <x v="0"/>
    <n v="27"/>
    <x v="1"/>
    <n v="15"/>
    <n v="32192"/>
    <n v="14"/>
    <x v="6"/>
    <n v="4"/>
    <n v="94"/>
    <s v="Hyderabad"/>
    <x v="0"/>
  </r>
  <r>
    <x v="141"/>
    <x v="9"/>
    <x v="1"/>
    <n v="38"/>
    <x v="0"/>
    <n v="15"/>
    <n v="32214"/>
    <n v="14"/>
    <x v="15"/>
    <n v="5"/>
    <n v="92"/>
    <s v="Delhi"/>
    <x v="0"/>
  </r>
  <r>
    <x v="142"/>
    <x v="5"/>
    <x v="1"/>
    <n v="32"/>
    <x v="0"/>
    <n v="12"/>
    <n v="32239"/>
    <n v="6"/>
    <x v="0"/>
    <n v="5"/>
    <n v="93"/>
    <s v="Bangalore"/>
    <x v="0"/>
  </r>
  <r>
    <x v="143"/>
    <x v="12"/>
    <x v="1"/>
    <n v="31"/>
    <x v="0"/>
    <n v="11"/>
    <n v="32365"/>
    <n v="11"/>
    <x v="7"/>
    <n v="5"/>
    <n v="99"/>
    <s v="Delhi"/>
    <x v="0"/>
  </r>
  <r>
    <x v="144"/>
    <x v="6"/>
    <x v="0"/>
    <n v="22"/>
    <x v="0"/>
    <n v="2"/>
    <n v="47081"/>
    <n v="10"/>
    <x v="15"/>
    <n v="5"/>
    <n v="91"/>
    <s v="Bangalore"/>
    <x v="0"/>
  </r>
  <r>
    <x v="145"/>
    <x v="8"/>
    <x v="0"/>
    <n v="32"/>
    <x v="0"/>
    <n v="12"/>
    <n v="32457"/>
    <n v="3"/>
    <x v="10"/>
    <n v="1"/>
    <n v="86"/>
    <s v="Delhi"/>
    <x v="1"/>
  </r>
  <r>
    <x v="146"/>
    <x v="7"/>
    <x v="3"/>
    <n v="30"/>
    <x v="0"/>
    <n v="1"/>
    <n v="77185"/>
    <n v="8"/>
    <x v="1"/>
    <n v="5"/>
    <n v="92"/>
    <s v="Chennai"/>
    <x v="0"/>
  </r>
  <r>
    <x v="147"/>
    <x v="15"/>
    <x v="1"/>
    <n v="28"/>
    <x v="0"/>
    <n v="6"/>
    <n v="32498"/>
    <n v="10"/>
    <x v="12"/>
    <n v="1"/>
    <n v="90"/>
    <s v="Bangalore"/>
    <x v="0"/>
  </r>
  <r>
    <x v="148"/>
    <x v="17"/>
    <x v="2"/>
    <n v="37"/>
    <x v="0"/>
    <n v="5"/>
    <n v="32548"/>
    <n v="10"/>
    <x v="1"/>
    <n v="5"/>
    <n v="86"/>
    <s v="Hyderabad"/>
    <x v="1"/>
  </r>
  <r>
    <x v="149"/>
    <x v="9"/>
    <x v="3"/>
    <n v="24"/>
    <x v="0"/>
    <n v="11"/>
    <n v="32583"/>
    <n v="13"/>
    <x v="0"/>
    <n v="5"/>
    <n v="85"/>
    <s v="Chennai"/>
    <x v="1"/>
  </r>
  <r>
    <x v="150"/>
    <x v="0"/>
    <x v="1"/>
    <n v="25"/>
    <x v="0"/>
    <n v="7"/>
    <n v="32586"/>
    <n v="13"/>
    <x v="0"/>
    <n v="5"/>
    <n v="96"/>
    <s v="Delhi"/>
    <x v="0"/>
  </r>
  <r>
    <x v="151"/>
    <x v="14"/>
    <x v="2"/>
    <n v="28"/>
    <x v="1"/>
    <n v="6"/>
    <n v="32629"/>
    <n v="11"/>
    <x v="12"/>
    <n v="3"/>
    <n v="96"/>
    <s v="Hyderabad"/>
    <x v="0"/>
  </r>
  <r>
    <x v="152"/>
    <x v="8"/>
    <x v="0"/>
    <n v="25"/>
    <x v="0"/>
    <n v="4"/>
    <n v="31457"/>
    <n v="7"/>
    <x v="10"/>
    <n v="4"/>
    <n v="91"/>
    <s v="Hyderabad"/>
    <x v="0"/>
  </r>
  <r>
    <x v="153"/>
    <x v="9"/>
    <x v="1"/>
    <n v="29"/>
    <x v="1"/>
    <n v="2"/>
    <n v="37900"/>
    <n v="5"/>
    <x v="13"/>
    <n v="1"/>
    <n v="97"/>
    <s v="Hyderabad"/>
    <x v="0"/>
  </r>
  <r>
    <x v="154"/>
    <x v="0"/>
    <x v="2"/>
    <n v="26"/>
    <x v="0"/>
    <n v="4"/>
    <n v="33928"/>
    <n v="7"/>
    <x v="12"/>
    <n v="4"/>
    <n v="100"/>
    <s v="Pune"/>
    <x v="0"/>
  </r>
  <r>
    <x v="155"/>
    <x v="10"/>
    <x v="3"/>
    <n v="40"/>
    <x v="1"/>
    <n v="7"/>
    <n v="32647"/>
    <n v="6"/>
    <x v="8"/>
    <n v="2"/>
    <n v="97"/>
    <s v="Delhi"/>
    <x v="0"/>
  </r>
  <r>
    <x v="156"/>
    <x v="16"/>
    <x v="1"/>
    <n v="23"/>
    <x v="0"/>
    <n v="8"/>
    <n v="32651"/>
    <n v="3"/>
    <x v="8"/>
    <n v="2"/>
    <n v="100"/>
    <s v="Delhi"/>
    <x v="0"/>
  </r>
  <r>
    <x v="157"/>
    <x v="0"/>
    <x v="2"/>
    <n v="25"/>
    <x v="0"/>
    <n v="14"/>
    <n v="32843"/>
    <n v="3"/>
    <x v="7"/>
    <n v="4"/>
    <n v="100"/>
    <s v="Bangalore"/>
    <x v="0"/>
  </r>
  <r>
    <x v="158"/>
    <x v="16"/>
    <x v="1"/>
    <n v="37"/>
    <x v="0"/>
    <n v="3"/>
    <n v="67357"/>
    <n v="15"/>
    <x v="0"/>
    <n v="2"/>
    <n v="100"/>
    <s v="Pune"/>
    <x v="0"/>
  </r>
  <r>
    <x v="159"/>
    <x v="19"/>
    <x v="1"/>
    <n v="38"/>
    <x v="1"/>
    <n v="9"/>
    <n v="32912"/>
    <n v="13"/>
    <x v="14"/>
    <n v="5"/>
    <n v="90"/>
    <s v="Pune"/>
    <x v="0"/>
  </r>
  <r>
    <x v="160"/>
    <x v="4"/>
    <x v="2"/>
    <n v="33"/>
    <x v="0"/>
    <n v="1"/>
    <n v="32274"/>
    <n v="15"/>
    <x v="1"/>
    <n v="3"/>
    <n v="96"/>
    <s v="Pune"/>
    <x v="0"/>
  </r>
  <r>
    <x v="161"/>
    <x v="12"/>
    <x v="0"/>
    <n v="29"/>
    <x v="0"/>
    <n v="7"/>
    <n v="33228"/>
    <n v="15"/>
    <x v="11"/>
    <n v="5"/>
    <n v="92"/>
    <s v="Hyderabad"/>
    <x v="0"/>
  </r>
  <r>
    <x v="162"/>
    <x v="11"/>
    <x v="3"/>
    <n v="25"/>
    <x v="0"/>
    <n v="6"/>
    <n v="33393"/>
    <n v="12"/>
    <x v="12"/>
    <n v="4"/>
    <n v="91"/>
    <s v="Delhi"/>
    <x v="0"/>
  </r>
  <r>
    <x v="163"/>
    <x v="14"/>
    <x v="1"/>
    <n v="32"/>
    <x v="0"/>
    <n v="5"/>
    <n v="33493"/>
    <n v="9"/>
    <x v="7"/>
    <n v="3"/>
    <n v="88"/>
    <s v="Bangalore"/>
    <x v="1"/>
  </r>
  <r>
    <x v="164"/>
    <x v="15"/>
    <x v="0"/>
    <n v="40"/>
    <x v="0"/>
    <n v="14"/>
    <n v="33562"/>
    <n v="14"/>
    <x v="0"/>
    <n v="1"/>
    <n v="95"/>
    <s v="Pune"/>
    <x v="0"/>
  </r>
  <r>
    <x v="165"/>
    <x v="5"/>
    <x v="0"/>
    <n v="25"/>
    <x v="0"/>
    <n v="5"/>
    <n v="33579"/>
    <n v="10"/>
    <x v="5"/>
    <n v="5"/>
    <n v="91"/>
    <s v="Mumbai"/>
    <x v="0"/>
  </r>
  <r>
    <x v="166"/>
    <x v="10"/>
    <x v="3"/>
    <n v="31"/>
    <x v="0"/>
    <n v="6"/>
    <n v="33715"/>
    <n v="10"/>
    <x v="0"/>
    <n v="3"/>
    <n v="88"/>
    <s v="Bangalore"/>
    <x v="1"/>
  </r>
  <r>
    <x v="167"/>
    <x v="14"/>
    <x v="3"/>
    <n v="27"/>
    <x v="1"/>
    <n v="12"/>
    <n v="33737"/>
    <n v="3"/>
    <x v="6"/>
    <n v="1"/>
    <n v="88"/>
    <s v="Delhi"/>
    <x v="1"/>
  </r>
  <r>
    <x v="168"/>
    <x v="7"/>
    <x v="3"/>
    <n v="39"/>
    <x v="1"/>
    <n v="15"/>
    <n v="33769"/>
    <n v="8"/>
    <x v="15"/>
    <n v="3"/>
    <n v="91"/>
    <s v="Hyderabad"/>
    <x v="0"/>
  </r>
  <r>
    <x v="169"/>
    <x v="11"/>
    <x v="1"/>
    <n v="35"/>
    <x v="0"/>
    <n v="8"/>
    <n v="33895"/>
    <n v="6"/>
    <x v="11"/>
    <n v="5"/>
    <n v="97"/>
    <s v="Hyderabad"/>
    <x v="0"/>
  </r>
  <r>
    <x v="170"/>
    <x v="9"/>
    <x v="0"/>
    <n v="33"/>
    <x v="1"/>
    <n v="1"/>
    <n v="25431"/>
    <n v="11"/>
    <x v="2"/>
    <n v="2"/>
    <n v="98"/>
    <s v="Hyderabad"/>
    <x v="0"/>
  </r>
  <r>
    <x v="171"/>
    <x v="1"/>
    <x v="1"/>
    <n v="40"/>
    <x v="0"/>
    <n v="11"/>
    <n v="33901"/>
    <n v="9"/>
    <x v="6"/>
    <n v="2"/>
    <n v="86"/>
    <s v="Chennai"/>
    <x v="1"/>
  </r>
  <r>
    <x v="172"/>
    <x v="8"/>
    <x v="0"/>
    <n v="28"/>
    <x v="0"/>
    <n v="9"/>
    <n v="33955"/>
    <n v="3"/>
    <x v="12"/>
    <n v="5"/>
    <n v="89"/>
    <s v="Pune"/>
    <x v="1"/>
  </r>
  <r>
    <x v="173"/>
    <x v="11"/>
    <x v="3"/>
    <n v="29"/>
    <x v="0"/>
    <n v="11"/>
    <n v="34025"/>
    <n v="5"/>
    <x v="2"/>
    <n v="2"/>
    <n v="86"/>
    <s v="Mumbai"/>
    <x v="1"/>
  </r>
  <r>
    <x v="174"/>
    <x v="4"/>
    <x v="3"/>
    <n v="37"/>
    <x v="1"/>
    <n v="9"/>
    <n v="34346"/>
    <n v="15"/>
    <x v="1"/>
    <n v="2"/>
    <n v="96"/>
    <s v="Mumbai"/>
    <x v="0"/>
  </r>
  <r>
    <x v="175"/>
    <x v="7"/>
    <x v="1"/>
    <n v="38"/>
    <x v="0"/>
    <n v="9"/>
    <n v="34348"/>
    <n v="4"/>
    <x v="1"/>
    <n v="4"/>
    <n v="92"/>
    <s v="Hyderabad"/>
    <x v="0"/>
  </r>
  <r>
    <x v="176"/>
    <x v="12"/>
    <x v="0"/>
    <n v="27"/>
    <x v="1"/>
    <n v="8"/>
    <n v="34398"/>
    <n v="12"/>
    <x v="0"/>
    <n v="1"/>
    <n v="90"/>
    <s v="Chennai"/>
    <x v="0"/>
  </r>
  <r>
    <x v="177"/>
    <x v="2"/>
    <x v="3"/>
    <n v="30"/>
    <x v="1"/>
    <n v="9"/>
    <n v="34403"/>
    <n v="15"/>
    <x v="12"/>
    <n v="1"/>
    <n v="95"/>
    <s v="Pune"/>
    <x v="0"/>
  </r>
  <r>
    <x v="178"/>
    <x v="11"/>
    <x v="1"/>
    <n v="23"/>
    <x v="0"/>
    <n v="5"/>
    <n v="34524"/>
    <n v="10"/>
    <x v="15"/>
    <n v="4"/>
    <n v="92"/>
    <s v="Chennai"/>
    <x v="0"/>
  </r>
  <r>
    <x v="179"/>
    <x v="2"/>
    <x v="3"/>
    <n v="22"/>
    <x v="0"/>
    <n v="8"/>
    <n v="34615"/>
    <n v="6"/>
    <x v="10"/>
    <n v="2"/>
    <n v="91"/>
    <s v="Chennai"/>
    <x v="0"/>
  </r>
  <r>
    <x v="180"/>
    <x v="8"/>
    <x v="1"/>
    <n v="23"/>
    <x v="1"/>
    <n v="3"/>
    <n v="43424"/>
    <n v="3"/>
    <x v="8"/>
    <n v="2"/>
    <n v="94"/>
    <s v="Delhi"/>
    <x v="0"/>
  </r>
  <r>
    <x v="181"/>
    <x v="16"/>
    <x v="2"/>
    <n v="36"/>
    <x v="0"/>
    <n v="12"/>
    <n v="34653"/>
    <n v="13"/>
    <x v="2"/>
    <n v="1"/>
    <n v="100"/>
    <s v="Chennai"/>
    <x v="0"/>
  </r>
  <r>
    <x v="182"/>
    <x v="10"/>
    <x v="1"/>
    <n v="37"/>
    <x v="0"/>
    <n v="11"/>
    <n v="34744"/>
    <n v="7"/>
    <x v="1"/>
    <n v="4"/>
    <n v="89"/>
    <s v="Chennai"/>
    <x v="1"/>
  </r>
  <r>
    <x v="183"/>
    <x v="9"/>
    <x v="0"/>
    <n v="35"/>
    <x v="0"/>
    <n v="14"/>
    <n v="34750"/>
    <n v="15"/>
    <x v="1"/>
    <n v="1"/>
    <n v="97"/>
    <s v="Mumbai"/>
    <x v="0"/>
  </r>
  <r>
    <x v="184"/>
    <x v="5"/>
    <x v="3"/>
    <n v="25"/>
    <x v="0"/>
    <n v="10"/>
    <n v="34778"/>
    <n v="12"/>
    <x v="8"/>
    <n v="5"/>
    <n v="92"/>
    <s v="Mumbai"/>
    <x v="0"/>
  </r>
  <r>
    <x v="185"/>
    <x v="18"/>
    <x v="2"/>
    <n v="28"/>
    <x v="0"/>
    <n v="15"/>
    <n v="34788"/>
    <n v="4"/>
    <x v="11"/>
    <n v="3"/>
    <n v="97"/>
    <s v="Chennai"/>
    <x v="0"/>
  </r>
  <r>
    <x v="186"/>
    <x v="19"/>
    <x v="3"/>
    <n v="34"/>
    <x v="0"/>
    <n v="9"/>
    <n v="34915"/>
    <n v="6"/>
    <x v="10"/>
    <n v="5"/>
    <n v="91"/>
    <s v="Hyderabad"/>
    <x v="0"/>
  </r>
  <r>
    <x v="187"/>
    <x v="8"/>
    <x v="3"/>
    <n v="25"/>
    <x v="1"/>
    <n v="7"/>
    <n v="35049"/>
    <n v="6"/>
    <x v="10"/>
    <n v="1"/>
    <n v="89"/>
    <s v="Mumbai"/>
    <x v="1"/>
  </r>
  <r>
    <x v="188"/>
    <x v="5"/>
    <x v="2"/>
    <n v="37"/>
    <x v="1"/>
    <n v="12"/>
    <n v="35143"/>
    <n v="15"/>
    <x v="0"/>
    <n v="5"/>
    <n v="96"/>
    <s v="Mumbai"/>
    <x v="0"/>
  </r>
  <r>
    <x v="189"/>
    <x v="2"/>
    <x v="0"/>
    <n v="40"/>
    <x v="1"/>
    <n v="13"/>
    <n v="35225"/>
    <n v="10"/>
    <x v="5"/>
    <n v="1"/>
    <n v="92"/>
    <s v="Delhi"/>
    <x v="0"/>
  </r>
  <r>
    <x v="190"/>
    <x v="10"/>
    <x v="2"/>
    <n v="39"/>
    <x v="1"/>
    <n v="6"/>
    <n v="35241"/>
    <n v="11"/>
    <x v="12"/>
    <n v="3"/>
    <n v="96"/>
    <s v="Hyderabad"/>
    <x v="0"/>
  </r>
  <r>
    <x v="191"/>
    <x v="10"/>
    <x v="1"/>
    <n v="36"/>
    <x v="1"/>
    <n v="2"/>
    <n v="76251"/>
    <n v="8"/>
    <x v="1"/>
    <n v="1"/>
    <n v="86"/>
    <s v="Bangalore"/>
    <x v="1"/>
  </r>
  <r>
    <x v="192"/>
    <x v="9"/>
    <x v="2"/>
    <n v="37"/>
    <x v="1"/>
    <n v="7"/>
    <n v="35394"/>
    <n v="5"/>
    <x v="6"/>
    <n v="2"/>
    <n v="89"/>
    <s v="Hyderabad"/>
    <x v="1"/>
  </r>
  <r>
    <x v="193"/>
    <x v="18"/>
    <x v="0"/>
    <n v="36"/>
    <x v="0"/>
    <n v="8"/>
    <n v="35416"/>
    <n v="5"/>
    <x v="14"/>
    <n v="4"/>
    <n v="94"/>
    <s v="Pune"/>
    <x v="0"/>
  </r>
  <r>
    <x v="194"/>
    <x v="12"/>
    <x v="1"/>
    <n v="40"/>
    <x v="1"/>
    <n v="4"/>
    <n v="74980"/>
    <n v="12"/>
    <x v="15"/>
    <n v="4"/>
    <n v="99"/>
    <s v="Delhi"/>
    <x v="0"/>
  </r>
  <r>
    <x v="195"/>
    <x v="5"/>
    <x v="0"/>
    <n v="34"/>
    <x v="0"/>
    <n v="3"/>
    <n v="71884"/>
    <n v="6"/>
    <x v="2"/>
    <n v="3"/>
    <n v="96"/>
    <s v="Pune"/>
    <x v="0"/>
  </r>
  <r>
    <x v="196"/>
    <x v="17"/>
    <x v="1"/>
    <n v="32"/>
    <x v="1"/>
    <n v="1"/>
    <n v="55654"/>
    <n v="10"/>
    <x v="14"/>
    <n v="3"/>
    <n v="90"/>
    <s v="Delhi"/>
    <x v="0"/>
  </r>
  <r>
    <x v="197"/>
    <x v="4"/>
    <x v="2"/>
    <n v="22"/>
    <x v="1"/>
    <n v="12"/>
    <n v="35427"/>
    <n v="5"/>
    <x v="0"/>
    <n v="3"/>
    <n v="88"/>
    <s v="Hyderabad"/>
    <x v="1"/>
  </r>
  <r>
    <x v="198"/>
    <x v="18"/>
    <x v="2"/>
    <n v="35"/>
    <x v="0"/>
    <n v="15"/>
    <n v="35468"/>
    <n v="11"/>
    <x v="4"/>
    <n v="4"/>
    <n v="90"/>
    <s v="Delhi"/>
    <x v="0"/>
  </r>
  <r>
    <x v="199"/>
    <x v="9"/>
    <x v="1"/>
    <n v="37"/>
    <x v="1"/>
    <n v="12"/>
    <n v="35524"/>
    <n v="7"/>
    <x v="8"/>
    <n v="1"/>
    <n v="96"/>
    <s v="Chennai"/>
    <x v="0"/>
  </r>
  <r>
    <x v="200"/>
    <x v="9"/>
    <x v="2"/>
    <n v="25"/>
    <x v="1"/>
    <n v="6"/>
    <n v="35911"/>
    <n v="6"/>
    <x v="13"/>
    <n v="2"/>
    <n v="86"/>
    <s v="Mumbai"/>
    <x v="1"/>
  </r>
  <r>
    <x v="201"/>
    <x v="4"/>
    <x v="1"/>
    <n v="35"/>
    <x v="1"/>
    <n v="14"/>
    <n v="35984"/>
    <n v="12"/>
    <x v="15"/>
    <n v="1"/>
    <n v="98"/>
    <s v="Pune"/>
    <x v="0"/>
  </r>
  <r>
    <x v="202"/>
    <x v="19"/>
    <x v="2"/>
    <n v="24"/>
    <x v="1"/>
    <n v="4"/>
    <n v="45877"/>
    <n v="4"/>
    <x v="15"/>
    <n v="4"/>
    <n v="93"/>
    <s v="Pune"/>
    <x v="0"/>
  </r>
  <r>
    <x v="203"/>
    <x v="12"/>
    <x v="3"/>
    <n v="24"/>
    <x v="0"/>
    <n v="9"/>
    <n v="35988"/>
    <n v="9"/>
    <x v="9"/>
    <n v="2"/>
    <n v="90"/>
    <s v="Hyderabad"/>
    <x v="0"/>
  </r>
  <r>
    <x v="204"/>
    <x v="13"/>
    <x v="1"/>
    <n v="31"/>
    <x v="0"/>
    <n v="10"/>
    <n v="36009"/>
    <n v="12"/>
    <x v="13"/>
    <n v="5"/>
    <n v="86"/>
    <s v="Bangalore"/>
    <x v="1"/>
  </r>
  <r>
    <x v="205"/>
    <x v="15"/>
    <x v="0"/>
    <n v="22"/>
    <x v="1"/>
    <n v="12"/>
    <n v="36015"/>
    <n v="8"/>
    <x v="14"/>
    <n v="5"/>
    <n v="99"/>
    <s v="Delhi"/>
    <x v="0"/>
  </r>
  <r>
    <x v="206"/>
    <x v="19"/>
    <x v="0"/>
    <n v="27"/>
    <x v="1"/>
    <n v="3"/>
    <n v="57141"/>
    <n v="4"/>
    <x v="14"/>
    <n v="4"/>
    <n v="94"/>
    <s v="Chennai"/>
    <x v="0"/>
  </r>
  <r>
    <x v="207"/>
    <x v="6"/>
    <x v="0"/>
    <n v="22"/>
    <x v="0"/>
    <n v="4"/>
    <n v="43916"/>
    <n v="8"/>
    <x v="15"/>
    <n v="3"/>
    <n v="96"/>
    <s v="Mumbai"/>
    <x v="0"/>
  </r>
  <r>
    <x v="208"/>
    <x v="14"/>
    <x v="0"/>
    <n v="38"/>
    <x v="1"/>
    <n v="1"/>
    <n v="28635"/>
    <n v="15"/>
    <x v="5"/>
    <n v="3"/>
    <n v="99"/>
    <s v="Delhi"/>
    <x v="0"/>
  </r>
  <r>
    <x v="209"/>
    <x v="15"/>
    <x v="2"/>
    <n v="37"/>
    <x v="1"/>
    <n v="15"/>
    <n v="36027"/>
    <n v="10"/>
    <x v="15"/>
    <n v="3"/>
    <n v="92"/>
    <s v="Mumbai"/>
    <x v="0"/>
  </r>
  <r>
    <x v="210"/>
    <x v="15"/>
    <x v="1"/>
    <n v="29"/>
    <x v="0"/>
    <n v="6"/>
    <n v="36149"/>
    <n v="6"/>
    <x v="1"/>
    <n v="2"/>
    <n v="93"/>
    <s v="Mumbai"/>
    <x v="0"/>
  </r>
  <r>
    <x v="211"/>
    <x v="18"/>
    <x v="1"/>
    <n v="24"/>
    <x v="1"/>
    <n v="11"/>
    <n v="36309"/>
    <n v="13"/>
    <x v="10"/>
    <n v="5"/>
    <n v="92"/>
    <s v="Pune"/>
    <x v="0"/>
  </r>
  <r>
    <x v="212"/>
    <x v="19"/>
    <x v="2"/>
    <n v="38"/>
    <x v="0"/>
    <n v="5"/>
    <n v="36353"/>
    <n v="10"/>
    <x v="1"/>
    <n v="1"/>
    <n v="96"/>
    <s v="Chennai"/>
    <x v="0"/>
  </r>
  <r>
    <x v="213"/>
    <x v="8"/>
    <x v="0"/>
    <n v="30"/>
    <x v="0"/>
    <n v="10"/>
    <n v="36410"/>
    <n v="5"/>
    <x v="5"/>
    <n v="1"/>
    <n v="93"/>
    <s v="Hyderabad"/>
    <x v="0"/>
  </r>
  <r>
    <x v="214"/>
    <x v="4"/>
    <x v="0"/>
    <n v="22"/>
    <x v="0"/>
    <n v="3"/>
    <n v="58673"/>
    <n v="13"/>
    <x v="11"/>
    <n v="5"/>
    <n v="94"/>
    <s v="Pune"/>
    <x v="0"/>
  </r>
  <r>
    <x v="215"/>
    <x v="14"/>
    <x v="0"/>
    <n v="39"/>
    <x v="1"/>
    <n v="6"/>
    <n v="36458"/>
    <n v="14"/>
    <x v="8"/>
    <n v="1"/>
    <n v="91"/>
    <s v="Hyderabad"/>
    <x v="0"/>
  </r>
  <r>
    <x v="216"/>
    <x v="3"/>
    <x v="0"/>
    <n v="33"/>
    <x v="1"/>
    <n v="13"/>
    <n v="36595"/>
    <n v="14"/>
    <x v="12"/>
    <n v="2"/>
    <n v="88"/>
    <s v="Hyderabad"/>
    <x v="1"/>
  </r>
  <r>
    <x v="217"/>
    <x v="18"/>
    <x v="3"/>
    <n v="34"/>
    <x v="1"/>
    <n v="11"/>
    <n v="36725"/>
    <n v="6"/>
    <x v="10"/>
    <n v="1"/>
    <n v="90"/>
    <s v="Pune"/>
    <x v="0"/>
  </r>
  <r>
    <x v="218"/>
    <x v="17"/>
    <x v="2"/>
    <n v="35"/>
    <x v="0"/>
    <n v="13"/>
    <n v="36776"/>
    <n v="13"/>
    <x v="13"/>
    <n v="2"/>
    <n v="99"/>
    <s v="Chennai"/>
    <x v="0"/>
  </r>
  <r>
    <x v="219"/>
    <x v="9"/>
    <x v="2"/>
    <n v="40"/>
    <x v="0"/>
    <n v="6"/>
    <n v="36861"/>
    <n v="8"/>
    <x v="6"/>
    <n v="3"/>
    <n v="86"/>
    <s v="Chennai"/>
    <x v="1"/>
  </r>
  <r>
    <x v="220"/>
    <x v="13"/>
    <x v="3"/>
    <n v="24"/>
    <x v="0"/>
    <n v="5"/>
    <n v="36879"/>
    <n v="15"/>
    <x v="7"/>
    <n v="2"/>
    <n v="87"/>
    <s v="Pune"/>
    <x v="1"/>
  </r>
  <r>
    <x v="221"/>
    <x v="5"/>
    <x v="2"/>
    <n v="27"/>
    <x v="1"/>
    <n v="12"/>
    <n v="36903"/>
    <n v="8"/>
    <x v="14"/>
    <n v="3"/>
    <n v="99"/>
    <s v="Mumbai"/>
    <x v="0"/>
  </r>
  <r>
    <x v="222"/>
    <x v="8"/>
    <x v="1"/>
    <n v="31"/>
    <x v="1"/>
    <n v="2"/>
    <n v="55045"/>
    <n v="6"/>
    <x v="2"/>
    <n v="5"/>
    <n v="95"/>
    <s v="Mumbai"/>
    <x v="0"/>
  </r>
  <r>
    <x v="223"/>
    <x v="5"/>
    <x v="3"/>
    <n v="39"/>
    <x v="1"/>
    <n v="8"/>
    <n v="37060"/>
    <n v="8"/>
    <x v="5"/>
    <n v="1"/>
    <n v="89"/>
    <s v="Mumbai"/>
    <x v="1"/>
  </r>
  <r>
    <x v="224"/>
    <x v="12"/>
    <x v="1"/>
    <n v="38"/>
    <x v="1"/>
    <n v="10"/>
    <n v="37092"/>
    <n v="9"/>
    <x v="0"/>
    <n v="1"/>
    <n v="90"/>
    <s v="Hyderabad"/>
    <x v="0"/>
  </r>
  <r>
    <x v="225"/>
    <x v="15"/>
    <x v="1"/>
    <n v="30"/>
    <x v="1"/>
    <n v="8"/>
    <n v="37145"/>
    <n v="8"/>
    <x v="12"/>
    <n v="4"/>
    <n v="92"/>
    <s v="Chennai"/>
    <x v="0"/>
  </r>
  <r>
    <x v="226"/>
    <x v="17"/>
    <x v="0"/>
    <n v="36"/>
    <x v="0"/>
    <n v="4"/>
    <n v="55981"/>
    <n v="3"/>
    <x v="0"/>
    <n v="3"/>
    <n v="87"/>
    <s v="Bangalore"/>
    <x v="1"/>
  </r>
  <r>
    <x v="227"/>
    <x v="5"/>
    <x v="2"/>
    <n v="29"/>
    <x v="1"/>
    <n v="13"/>
    <n v="37227"/>
    <n v="3"/>
    <x v="6"/>
    <n v="5"/>
    <n v="86"/>
    <s v="Hyderabad"/>
    <x v="1"/>
  </r>
  <r>
    <x v="228"/>
    <x v="15"/>
    <x v="3"/>
    <n v="32"/>
    <x v="0"/>
    <n v="12"/>
    <n v="37246"/>
    <n v="12"/>
    <x v="7"/>
    <n v="5"/>
    <n v="97"/>
    <s v="Delhi"/>
    <x v="0"/>
  </r>
  <r>
    <x v="229"/>
    <x v="7"/>
    <x v="2"/>
    <n v="23"/>
    <x v="1"/>
    <n v="15"/>
    <n v="37337"/>
    <n v="9"/>
    <x v="0"/>
    <n v="1"/>
    <n v="93"/>
    <s v="Pune"/>
    <x v="0"/>
  </r>
  <r>
    <x v="230"/>
    <x v="11"/>
    <x v="2"/>
    <n v="39"/>
    <x v="0"/>
    <n v="3"/>
    <n v="58783"/>
    <n v="13"/>
    <x v="11"/>
    <n v="5"/>
    <n v="99"/>
    <s v="Pune"/>
    <x v="0"/>
  </r>
  <r>
    <x v="231"/>
    <x v="0"/>
    <x v="2"/>
    <n v="34"/>
    <x v="0"/>
    <n v="3"/>
    <n v="78997"/>
    <n v="4"/>
    <x v="12"/>
    <n v="5"/>
    <n v="97"/>
    <s v="Mumbai"/>
    <x v="0"/>
  </r>
  <r>
    <x v="232"/>
    <x v="9"/>
    <x v="2"/>
    <n v="29"/>
    <x v="1"/>
    <n v="14"/>
    <n v="37419"/>
    <n v="14"/>
    <x v="4"/>
    <n v="1"/>
    <n v="89"/>
    <s v="Mumbai"/>
    <x v="1"/>
  </r>
  <r>
    <x v="233"/>
    <x v="17"/>
    <x v="1"/>
    <n v="24"/>
    <x v="1"/>
    <n v="15"/>
    <n v="37436"/>
    <n v="4"/>
    <x v="0"/>
    <n v="3"/>
    <n v="85"/>
    <s v="Pune"/>
    <x v="1"/>
  </r>
  <r>
    <x v="234"/>
    <x v="12"/>
    <x v="0"/>
    <n v="31"/>
    <x v="1"/>
    <n v="7"/>
    <n v="37458"/>
    <n v="13"/>
    <x v="11"/>
    <n v="2"/>
    <n v="99"/>
    <s v="Mumbai"/>
    <x v="0"/>
  </r>
  <r>
    <x v="235"/>
    <x v="2"/>
    <x v="2"/>
    <n v="24"/>
    <x v="0"/>
    <n v="5"/>
    <n v="37637"/>
    <n v="4"/>
    <x v="8"/>
    <n v="2"/>
    <n v="88"/>
    <s v="Delhi"/>
    <x v="1"/>
  </r>
  <r>
    <x v="236"/>
    <x v="12"/>
    <x v="2"/>
    <n v="36"/>
    <x v="0"/>
    <n v="9"/>
    <n v="37807"/>
    <n v="15"/>
    <x v="15"/>
    <n v="1"/>
    <n v="89"/>
    <s v="Bangalore"/>
    <x v="1"/>
  </r>
  <r>
    <x v="237"/>
    <x v="12"/>
    <x v="2"/>
    <n v="26"/>
    <x v="1"/>
    <n v="8"/>
    <n v="37891"/>
    <n v="6"/>
    <x v="8"/>
    <n v="1"/>
    <n v="91"/>
    <s v="Delhi"/>
    <x v="0"/>
  </r>
  <r>
    <x v="238"/>
    <x v="2"/>
    <x v="2"/>
    <n v="25"/>
    <x v="0"/>
    <n v="5"/>
    <n v="38025"/>
    <n v="12"/>
    <x v="13"/>
    <n v="2"/>
    <n v="86"/>
    <s v="Pune"/>
    <x v="1"/>
  </r>
  <r>
    <x v="239"/>
    <x v="18"/>
    <x v="0"/>
    <n v="30"/>
    <x v="1"/>
    <n v="1"/>
    <n v="60420"/>
    <n v="15"/>
    <x v="2"/>
    <n v="5"/>
    <n v="86"/>
    <s v="Bangalore"/>
    <x v="1"/>
  </r>
  <r>
    <x v="240"/>
    <x v="1"/>
    <x v="3"/>
    <n v="23"/>
    <x v="0"/>
    <n v="7"/>
    <n v="38055"/>
    <n v="12"/>
    <x v="1"/>
    <n v="5"/>
    <n v="89"/>
    <s v="Delhi"/>
    <x v="1"/>
  </r>
  <r>
    <x v="241"/>
    <x v="8"/>
    <x v="2"/>
    <n v="40"/>
    <x v="0"/>
    <n v="12"/>
    <n v="38087"/>
    <n v="6"/>
    <x v="9"/>
    <n v="4"/>
    <n v="88"/>
    <s v="Hyderabad"/>
    <x v="1"/>
  </r>
  <r>
    <x v="242"/>
    <x v="8"/>
    <x v="2"/>
    <n v="30"/>
    <x v="1"/>
    <n v="3"/>
    <n v="44276"/>
    <n v="12"/>
    <x v="3"/>
    <n v="1"/>
    <n v="95"/>
    <s v="Bangalore"/>
    <x v="0"/>
  </r>
  <r>
    <x v="243"/>
    <x v="13"/>
    <x v="0"/>
    <n v="27"/>
    <x v="1"/>
    <n v="10"/>
    <n v="38105"/>
    <n v="8"/>
    <x v="9"/>
    <n v="1"/>
    <n v="93"/>
    <s v="Chennai"/>
    <x v="0"/>
  </r>
  <r>
    <x v="244"/>
    <x v="8"/>
    <x v="2"/>
    <n v="28"/>
    <x v="1"/>
    <n v="5"/>
    <n v="38114"/>
    <n v="4"/>
    <x v="2"/>
    <n v="1"/>
    <n v="92"/>
    <s v="Bangalore"/>
    <x v="0"/>
  </r>
  <r>
    <x v="245"/>
    <x v="4"/>
    <x v="3"/>
    <n v="25"/>
    <x v="1"/>
    <n v="6"/>
    <n v="38419"/>
    <n v="3"/>
    <x v="11"/>
    <n v="3"/>
    <n v="85"/>
    <s v="Chennai"/>
    <x v="1"/>
  </r>
  <r>
    <x v="246"/>
    <x v="17"/>
    <x v="2"/>
    <n v="23"/>
    <x v="0"/>
    <n v="10"/>
    <n v="38423"/>
    <n v="15"/>
    <x v="2"/>
    <n v="2"/>
    <n v="89"/>
    <s v="Delhi"/>
    <x v="1"/>
  </r>
  <r>
    <x v="247"/>
    <x v="19"/>
    <x v="0"/>
    <n v="39"/>
    <x v="0"/>
    <n v="6"/>
    <n v="38424"/>
    <n v="10"/>
    <x v="9"/>
    <n v="2"/>
    <n v="89"/>
    <s v="Chennai"/>
    <x v="1"/>
  </r>
  <r>
    <x v="248"/>
    <x v="7"/>
    <x v="3"/>
    <n v="40"/>
    <x v="0"/>
    <n v="5"/>
    <n v="38462"/>
    <n v="9"/>
    <x v="13"/>
    <n v="5"/>
    <n v="98"/>
    <s v="Hyderabad"/>
    <x v="0"/>
  </r>
  <r>
    <x v="249"/>
    <x v="7"/>
    <x v="1"/>
    <n v="40"/>
    <x v="1"/>
    <n v="3"/>
    <n v="67276"/>
    <n v="7"/>
    <x v="0"/>
    <n v="4"/>
    <n v="95"/>
    <s v="Mumbai"/>
    <x v="0"/>
  </r>
  <r>
    <x v="250"/>
    <x v="9"/>
    <x v="3"/>
    <n v="30"/>
    <x v="0"/>
    <n v="2"/>
    <n v="50331"/>
    <n v="3"/>
    <x v="0"/>
    <n v="5"/>
    <n v="92"/>
    <s v="Pune"/>
    <x v="0"/>
  </r>
  <r>
    <x v="251"/>
    <x v="4"/>
    <x v="3"/>
    <n v="26"/>
    <x v="0"/>
    <n v="9"/>
    <n v="38519"/>
    <n v="3"/>
    <x v="6"/>
    <n v="4"/>
    <n v="93"/>
    <s v="Mumbai"/>
    <x v="0"/>
  </r>
  <r>
    <x v="252"/>
    <x v="15"/>
    <x v="3"/>
    <n v="22"/>
    <x v="0"/>
    <n v="7"/>
    <n v="38643"/>
    <n v="14"/>
    <x v="14"/>
    <n v="4"/>
    <n v="99"/>
    <s v="Bangalore"/>
    <x v="0"/>
  </r>
  <r>
    <x v="253"/>
    <x v="9"/>
    <x v="3"/>
    <n v="28"/>
    <x v="0"/>
    <n v="4"/>
    <n v="31217"/>
    <n v="11"/>
    <x v="2"/>
    <n v="1"/>
    <n v="93"/>
    <s v="Mumbai"/>
    <x v="0"/>
  </r>
  <r>
    <x v="254"/>
    <x v="14"/>
    <x v="2"/>
    <n v="31"/>
    <x v="0"/>
    <n v="5"/>
    <n v="38712"/>
    <n v="15"/>
    <x v="10"/>
    <n v="3"/>
    <n v="93"/>
    <s v="Pune"/>
    <x v="0"/>
  </r>
  <r>
    <x v="255"/>
    <x v="10"/>
    <x v="3"/>
    <n v="35"/>
    <x v="0"/>
    <n v="4"/>
    <n v="72452"/>
    <n v="13"/>
    <x v="9"/>
    <n v="1"/>
    <n v="91"/>
    <s v="Bangalore"/>
    <x v="0"/>
  </r>
  <r>
    <x v="256"/>
    <x v="11"/>
    <x v="1"/>
    <n v="31"/>
    <x v="0"/>
    <n v="1"/>
    <n v="37560"/>
    <n v="8"/>
    <x v="14"/>
    <n v="1"/>
    <n v="85"/>
    <s v="Pune"/>
    <x v="1"/>
  </r>
  <r>
    <x v="257"/>
    <x v="2"/>
    <x v="3"/>
    <n v="40"/>
    <x v="0"/>
    <n v="1"/>
    <n v="48256"/>
    <n v="10"/>
    <x v="2"/>
    <n v="3"/>
    <n v="89"/>
    <s v="Pune"/>
    <x v="1"/>
  </r>
  <r>
    <x v="258"/>
    <x v="6"/>
    <x v="3"/>
    <n v="35"/>
    <x v="1"/>
    <n v="9"/>
    <n v="38818"/>
    <n v="13"/>
    <x v="10"/>
    <n v="4"/>
    <n v="95"/>
    <s v="Delhi"/>
    <x v="0"/>
  </r>
  <r>
    <x v="259"/>
    <x v="2"/>
    <x v="3"/>
    <n v="26"/>
    <x v="1"/>
    <n v="4"/>
    <n v="67709"/>
    <n v="15"/>
    <x v="2"/>
    <n v="2"/>
    <n v="93"/>
    <s v="Pune"/>
    <x v="0"/>
  </r>
  <r>
    <x v="260"/>
    <x v="16"/>
    <x v="0"/>
    <n v="29"/>
    <x v="0"/>
    <n v="5"/>
    <n v="38907"/>
    <n v="4"/>
    <x v="5"/>
    <n v="1"/>
    <n v="98"/>
    <s v="Pune"/>
    <x v="0"/>
  </r>
  <r>
    <x v="261"/>
    <x v="15"/>
    <x v="0"/>
    <n v="29"/>
    <x v="0"/>
    <n v="1"/>
    <n v="68703"/>
    <n v="14"/>
    <x v="11"/>
    <n v="5"/>
    <n v="92"/>
    <s v="Mumbai"/>
    <x v="0"/>
  </r>
  <r>
    <x v="262"/>
    <x v="2"/>
    <x v="1"/>
    <n v="35"/>
    <x v="1"/>
    <n v="6"/>
    <n v="38949"/>
    <n v="8"/>
    <x v="2"/>
    <n v="5"/>
    <n v="99"/>
    <s v="Bangalore"/>
    <x v="0"/>
  </r>
  <r>
    <x v="263"/>
    <x v="13"/>
    <x v="3"/>
    <n v="35"/>
    <x v="1"/>
    <n v="4"/>
    <n v="42052"/>
    <n v="11"/>
    <x v="7"/>
    <n v="5"/>
    <n v="91"/>
    <s v="Hyderabad"/>
    <x v="0"/>
  </r>
  <r>
    <x v="264"/>
    <x v="3"/>
    <x v="3"/>
    <n v="22"/>
    <x v="0"/>
    <n v="8"/>
    <n v="39003"/>
    <n v="13"/>
    <x v="0"/>
    <n v="3"/>
    <n v="85"/>
    <s v="Mumbai"/>
    <x v="1"/>
  </r>
  <r>
    <x v="265"/>
    <x v="5"/>
    <x v="1"/>
    <n v="24"/>
    <x v="1"/>
    <n v="6"/>
    <n v="39049"/>
    <n v="3"/>
    <x v="15"/>
    <n v="3"/>
    <n v="91"/>
    <s v="Delhi"/>
    <x v="0"/>
  </r>
  <r>
    <x v="266"/>
    <x v="19"/>
    <x v="0"/>
    <n v="25"/>
    <x v="1"/>
    <n v="2"/>
    <n v="25137"/>
    <n v="14"/>
    <x v="15"/>
    <n v="2"/>
    <n v="95"/>
    <s v="Bangalore"/>
    <x v="0"/>
  </r>
  <r>
    <x v="267"/>
    <x v="1"/>
    <x v="3"/>
    <n v="25"/>
    <x v="1"/>
    <n v="6"/>
    <n v="39064"/>
    <n v="4"/>
    <x v="4"/>
    <n v="3"/>
    <n v="88"/>
    <s v="Bangalore"/>
    <x v="1"/>
  </r>
  <r>
    <x v="268"/>
    <x v="5"/>
    <x v="2"/>
    <n v="24"/>
    <x v="1"/>
    <n v="14"/>
    <n v="39097"/>
    <n v="7"/>
    <x v="12"/>
    <n v="4"/>
    <n v="87"/>
    <s v="Pune"/>
    <x v="1"/>
  </r>
  <r>
    <x v="269"/>
    <x v="7"/>
    <x v="0"/>
    <n v="28"/>
    <x v="0"/>
    <n v="8"/>
    <n v="39471"/>
    <n v="15"/>
    <x v="7"/>
    <n v="5"/>
    <n v="90"/>
    <s v="Mumbai"/>
    <x v="0"/>
  </r>
  <r>
    <x v="270"/>
    <x v="5"/>
    <x v="2"/>
    <n v="30"/>
    <x v="0"/>
    <n v="7"/>
    <n v="39617"/>
    <n v="3"/>
    <x v="6"/>
    <n v="1"/>
    <n v="87"/>
    <s v="Pune"/>
    <x v="1"/>
  </r>
  <r>
    <x v="271"/>
    <x v="3"/>
    <x v="0"/>
    <n v="29"/>
    <x v="0"/>
    <n v="7"/>
    <n v="39620"/>
    <n v="6"/>
    <x v="1"/>
    <n v="1"/>
    <n v="100"/>
    <s v="Mumbai"/>
    <x v="0"/>
  </r>
  <r>
    <x v="272"/>
    <x v="14"/>
    <x v="0"/>
    <n v="34"/>
    <x v="1"/>
    <n v="10"/>
    <n v="39641"/>
    <n v="4"/>
    <x v="7"/>
    <n v="3"/>
    <n v="93"/>
    <s v="Bangalore"/>
    <x v="0"/>
  </r>
  <r>
    <x v="273"/>
    <x v="9"/>
    <x v="2"/>
    <n v="26"/>
    <x v="1"/>
    <n v="13"/>
    <n v="39844"/>
    <n v="13"/>
    <x v="7"/>
    <n v="5"/>
    <n v="98"/>
    <s v="Bangalore"/>
    <x v="0"/>
  </r>
  <r>
    <x v="274"/>
    <x v="13"/>
    <x v="0"/>
    <n v="33"/>
    <x v="1"/>
    <n v="5"/>
    <n v="39879"/>
    <n v="15"/>
    <x v="1"/>
    <n v="4"/>
    <n v="86"/>
    <s v="Pune"/>
    <x v="1"/>
  </r>
  <r>
    <x v="275"/>
    <x v="16"/>
    <x v="0"/>
    <n v="28"/>
    <x v="0"/>
    <n v="13"/>
    <n v="39892"/>
    <n v="6"/>
    <x v="14"/>
    <n v="3"/>
    <n v="92"/>
    <s v="Chennai"/>
    <x v="0"/>
  </r>
  <r>
    <x v="276"/>
    <x v="6"/>
    <x v="1"/>
    <n v="22"/>
    <x v="1"/>
    <n v="12"/>
    <n v="39989"/>
    <n v="15"/>
    <x v="4"/>
    <n v="4"/>
    <n v="94"/>
    <s v="Hyderabad"/>
    <x v="0"/>
  </r>
  <r>
    <x v="277"/>
    <x v="9"/>
    <x v="3"/>
    <n v="38"/>
    <x v="1"/>
    <n v="4"/>
    <n v="64491"/>
    <n v="8"/>
    <x v="2"/>
    <n v="3"/>
    <n v="97"/>
    <s v="Chennai"/>
    <x v="0"/>
  </r>
  <r>
    <x v="278"/>
    <x v="16"/>
    <x v="2"/>
    <n v="34"/>
    <x v="1"/>
    <n v="15"/>
    <n v="40122"/>
    <n v="10"/>
    <x v="1"/>
    <n v="2"/>
    <n v="89"/>
    <s v="Mumbai"/>
    <x v="1"/>
  </r>
  <r>
    <x v="279"/>
    <x v="11"/>
    <x v="2"/>
    <n v="30"/>
    <x v="0"/>
    <n v="2"/>
    <n v="42326"/>
    <n v="9"/>
    <x v="13"/>
    <n v="1"/>
    <n v="99"/>
    <s v="Pune"/>
    <x v="0"/>
  </r>
  <r>
    <x v="280"/>
    <x v="1"/>
    <x v="1"/>
    <n v="40"/>
    <x v="0"/>
    <n v="3"/>
    <n v="34670"/>
    <n v="7"/>
    <x v="6"/>
    <n v="4"/>
    <n v="92"/>
    <s v="Chennai"/>
    <x v="0"/>
  </r>
  <r>
    <x v="281"/>
    <x v="11"/>
    <x v="2"/>
    <n v="34"/>
    <x v="1"/>
    <n v="12"/>
    <n v="40231"/>
    <n v="4"/>
    <x v="6"/>
    <n v="1"/>
    <n v="92"/>
    <s v="Hyderabad"/>
    <x v="0"/>
  </r>
  <r>
    <x v="282"/>
    <x v="15"/>
    <x v="1"/>
    <n v="33"/>
    <x v="0"/>
    <n v="13"/>
    <n v="40258"/>
    <n v="8"/>
    <x v="12"/>
    <n v="2"/>
    <n v="86"/>
    <s v="Hyderabad"/>
    <x v="1"/>
  </r>
  <r>
    <x v="283"/>
    <x v="6"/>
    <x v="3"/>
    <n v="30"/>
    <x v="1"/>
    <n v="9"/>
    <n v="40382"/>
    <n v="9"/>
    <x v="7"/>
    <n v="5"/>
    <n v="86"/>
    <s v="Delhi"/>
    <x v="1"/>
  </r>
  <r>
    <x v="284"/>
    <x v="7"/>
    <x v="1"/>
    <n v="22"/>
    <x v="0"/>
    <n v="13"/>
    <n v="40391"/>
    <n v="4"/>
    <x v="15"/>
    <n v="2"/>
    <n v="100"/>
    <s v="Delhi"/>
    <x v="0"/>
  </r>
  <r>
    <x v="285"/>
    <x v="16"/>
    <x v="3"/>
    <n v="23"/>
    <x v="1"/>
    <n v="13"/>
    <n v="40475"/>
    <n v="7"/>
    <x v="3"/>
    <n v="1"/>
    <n v="89"/>
    <s v="Mumbai"/>
    <x v="1"/>
  </r>
  <r>
    <x v="286"/>
    <x v="2"/>
    <x v="1"/>
    <n v="25"/>
    <x v="1"/>
    <n v="9"/>
    <n v="40531"/>
    <n v="6"/>
    <x v="1"/>
    <n v="3"/>
    <n v="86"/>
    <s v="Delhi"/>
    <x v="1"/>
  </r>
  <r>
    <x v="287"/>
    <x v="15"/>
    <x v="0"/>
    <n v="32"/>
    <x v="0"/>
    <n v="15"/>
    <n v="40726"/>
    <n v="10"/>
    <x v="2"/>
    <n v="5"/>
    <n v="96"/>
    <s v="Bangalore"/>
    <x v="0"/>
  </r>
  <r>
    <x v="288"/>
    <x v="12"/>
    <x v="3"/>
    <n v="28"/>
    <x v="0"/>
    <n v="6"/>
    <n v="40744"/>
    <n v="8"/>
    <x v="15"/>
    <n v="4"/>
    <n v="87"/>
    <s v="Pune"/>
    <x v="1"/>
  </r>
  <r>
    <x v="289"/>
    <x v="3"/>
    <x v="1"/>
    <n v="38"/>
    <x v="1"/>
    <n v="3"/>
    <n v="43288"/>
    <n v="3"/>
    <x v="0"/>
    <n v="1"/>
    <n v="95"/>
    <s v="Bangalore"/>
    <x v="0"/>
  </r>
  <r>
    <x v="290"/>
    <x v="16"/>
    <x v="0"/>
    <n v="26"/>
    <x v="1"/>
    <n v="5"/>
    <n v="40797"/>
    <n v="7"/>
    <x v="9"/>
    <n v="3"/>
    <n v="85"/>
    <s v="Hyderabad"/>
    <x v="1"/>
  </r>
  <r>
    <x v="291"/>
    <x v="12"/>
    <x v="3"/>
    <n v="27"/>
    <x v="0"/>
    <n v="7"/>
    <n v="41022"/>
    <n v="3"/>
    <x v="8"/>
    <n v="3"/>
    <n v="86"/>
    <s v="Mumbai"/>
    <x v="1"/>
  </r>
  <r>
    <x v="292"/>
    <x v="11"/>
    <x v="0"/>
    <n v="37"/>
    <x v="0"/>
    <n v="12"/>
    <n v="41107"/>
    <n v="11"/>
    <x v="7"/>
    <n v="1"/>
    <n v="85"/>
    <s v="Pune"/>
    <x v="1"/>
  </r>
  <r>
    <x v="293"/>
    <x v="2"/>
    <x v="2"/>
    <n v="31"/>
    <x v="0"/>
    <n v="9"/>
    <n v="41282"/>
    <n v="15"/>
    <x v="13"/>
    <n v="4"/>
    <n v="99"/>
    <s v="Mumbai"/>
    <x v="0"/>
  </r>
  <r>
    <x v="294"/>
    <x v="14"/>
    <x v="0"/>
    <n v="26"/>
    <x v="1"/>
    <n v="7"/>
    <n v="41578"/>
    <n v="3"/>
    <x v="12"/>
    <n v="5"/>
    <n v="88"/>
    <s v="Delhi"/>
    <x v="1"/>
  </r>
  <r>
    <x v="295"/>
    <x v="1"/>
    <x v="1"/>
    <n v="36"/>
    <x v="1"/>
    <n v="3"/>
    <n v="47028"/>
    <n v="5"/>
    <x v="10"/>
    <n v="3"/>
    <n v="89"/>
    <s v="Mumbai"/>
    <x v="1"/>
  </r>
  <r>
    <x v="296"/>
    <x v="7"/>
    <x v="0"/>
    <n v="31"/>
    <x v="0"/>
    <n v="4"/>
    <n v="59236"/>
    <n v="3"/>
    <x v="10"/>
    <n v="4"/>
    <n v="85"/>
    <s v="Hyderabad"/>
    <x v="1"/>
  </r>
  <r>
    <x v="297"/>
    <x v="9"/>
    <x v="1"/>
    <n v="39"/>
    <x v="0"/>
    <n v="15"/>
    <n v="41656"/>
    <n v="9"/>
    <x v="3"/>
    <n v="4"/>
    <n v="96"/>
    <s v="Hyderabad"/>
    <x v="0"/>
  </r>
  <r>
    <x v="298"/>
    <x v="16"/>
    <x v="0"/>
    <n v="40"/>
    <x v="1"/>
    <n v="15"/>
    <n v="41699"/>
    <n v="7"/>
    <x v="9"/>
    <n v="4"/>
    <n v="87"/>
    <s v="Bangalore"/>
    <x v="1"/>
  </r>
  <r>
    <x v="299"/>
    <x v="0"/>
    <x v="3"/>
    <n v="29"/>
    <x v="0"/>
    <n v="7"/>
    <n v="42006"/>
    <n v="10"/>
    <x v="2"/>
    <n v="4"/>
    <n v="86"/>
    <s v="Chennai"/>
    <x v="1"/>
  </r>
  <r>
    <x v="300"/>
    <x v="14"/>
    <x v="3"/>
    <n v="36"/>
    <x v="1"/>
    <n v="6"/>
    <n v="42013"/>
    <n v="12"/>
    <x v="7"/>
    <n v="1"/>
    <n v="85"/>
    <s v="Bangalore"/>
    <x v="1"/>
  </r>
  <r>
    <x v="301"/>
    <x v="13"/>
    <x v="2"/>
    <n v="36"/>
    <x v="0"/>
    <n v="11"/>
    <n v="42023"/>
    <n v="12"/>
    <x v="7"/>
    <n v="2"/>
    <n v="98"/>
    <s v="Mumbai"/>
    <x v="0"/>
  </r>
  <r>
    <x v="302"/>
    <x v="9"/>
    <x v="1"/>
    <n v="32"/>
    <x v="1"/>
    <n v="9"/>
    <n v="42136"/>
    <n v="5"/>
    <x v="4"/>
    <n v="3"/>
    <n v="95"/>
    <s v="Pune"/>
    <x v="0"/>
  </r>
  <r>
    <x v="303"/>
    <x v="16"/>
    <x v="2"/>
    <n v="33"/>
    <x v="1"/>
    <n v="11"/>
    <n v="42144"/>
    <n v="6"/>
    <x v="13"/>
    <n v="5"/>
    <n v="94"/>
    <s v="Pune"/>
    <x v="0"/>
  </r>
  <r>
    <x v="304"/>
    <x v="0"/>
    <x v="0"/>
    <n v="40"/>
    <x v="1"/>
    <n v="4"/>
    <n v="34140"/>
    <n v="9"/>
    <x v="12"/>
    <n v="4"/>
    <n v="92"/>
    <s v="Bangalore"/>
    <x v="0"/>
  </r>
  <r>
    <x v="305"/>
    <x v="1"/>
    <x v="2"/>
    <n v="33"/>
    <x v="0"/>
    <n v="11"/>
    <n v="42168"/>
    <n v="5"/>
    <x v="10"/>
    <n v="1"/>
    <n v="97"/>
    <s v="Bangalore"/>
    <x v="0"/>
  </r>
  <r>
    <x v="306"/>
    <x v="0"/>
    <x v="3"/>
    <n v="26"/>
    <x v="1"/>
    <n v="4"/>
    <n v="65485"/>
    <n v="13"/>
    <x v="14"/>
    <n v="5"/>
    <n v="93"/>
    <s v="Pune"/>
    <x v="0"/>
  </r>
  <r>
    <x v="307"/>
    <x v="19"/>
    <x v="1"/>
    <n v="29"/>
    <x v="0"/>
    <n v="3"/>
    <n v="52732"/>
    <n v="5"/>
    <x v="15"/>
    <n v="4"/>
    <n v="91"/>
    <s v="Bangalore"/>
    <x v="0"/>
  </r>
  <r>
    <x v="308"/>
    <x v="7"/>
    <x v="0"/>
    <n v="27"/>
    <x v="1"/>
    <n v="13"/>
    <n v="42168"/>
    <n v="5"/>
    <x v="14"/>
    <n v="3"/>
    <n v="99"/>
    <s v="Delhi"/>
    <x v="0"/>
  </r>
  <r>
    <x v="309"/>
    <x v="6"/>
    <x v="2"/>
    <n v="35"/>
    <x v="1"/>
    <n v="3"/>
    <n v="77950"/>
    <n v="10"/>
    <x v="6"/>
    <n v="4"/>
    <n v="92"/>
    <s v="Delhi"/>
    <x v="0"/>
  </r>
  <r>
    <x v="310"/>
    <x v="1"/>
    <x v="3"/>
    <n v="33"/>
    <x v="1"/>
    <n v="9"/>
    <n v="42180"/>
    <n v="13"/>
    <x v="9"/>
    <n v="4"/>
    <n v="90"/>
    <s v="Delhi"/>
    <x v="0"/>
  </r>
  <r>
    <x v="311"/>
    <x v="13"/>
    <x v="2"/>
    <n v="37"/>
    <x v="1"/>
    <n v="4"/>
    <n v="79602"/>
    <n v="10"/>
    <x v="12"/>
    <n v="1"/>
    <n v="85"/>
    <s v="Mumbai"/>
    <x v="1"/>
  </r>
  <r>
    <x v="312"/>
    <x v="3"/>
    <x v="1"/>
    <n v="37"/>
    <x v="0"/>
    <n v="1"/>
    <n v="71074"/>
    <n v="11"/>
    <x v="10"/>
    <n v="4"/>
    <n v="97"/>
    <s v="Hyderabad"/>
    <x v="0"/>
  </r>
  <r>
    <x v="313"/>
    <x v="3"/>
    <x v="1"/>
    <n v="36"/>
    <x v="0"/>
    <n v="13"/>
    <n v="42201"/>
    <n v="4"/>
    <x v="0"/>
    <n v="5"/>
    <n v="93"/>
    <s v="Mumbai"/>
    <x v="0"/>
  </r>
  <r>
    <x v="314"/>
    <x v="11"/>
    <x v="1"/>
    <n v="26"/>
    <x v="1"/>
    <n v="4"/>
    <n v="75412"/>
    <n v="6"/>
    <x v="11"/>
    <n v="2"/>
    <n v="92"/>
    <s v="Pune"/>
    <x v="0"/>
  </r>
  <r>
    <x v="315"/>
    <x v="3"/>
    <x v="3"/>
    <n v="26"/>
    <x v="0"/>
    <n v="3"/>
    <n v="38375"/>
    <n v="9"/>
    <x v="13"/>
    <n v="2"/>
    <n v="91"/>
    <s v="Delhi"/>
    <x v="0"/>
  </r>
  <r>
    <x v="316"/>
    <x v="6"/>
    <x v="0"/>
    <n v="24"/>
    <x v="1"/>
    <n v="1"/>
    <n v="44230"/>
    <n v="10"/>
    <x v="9"/>
    <n v="3"/>
    <n v="96"/>
    <s v="Pune"/>
    <x v="0"/>
  </r>
  <r>
    <x v="317"/>
    <x v="5"/>
    <x v="0"/>
    <n v="36"/>
    <x v="0"/>
    <n v="15"/>
    <n v="42203"/>
    <n v="8"/>
    <x v="10"/>
    <n v="3"/>
    <n v="90"/>
    <s v="Delhi"/>
    <x v="0"/>
  </r>
  <r>
    <x v="318"/>
    <x v="11"/>
    <x v="1"/>
    <n v="26"/>
    <x v="1"/>
    <n v="1"/>
    <n v="37330"/>
    <n v="5"/>
    <x v="9"/>
    <n v="2"/>
    <n v="93"/>
    <s v="Delhi"/>
    <x v="0"/>
  </r>
  <r>
    <x v="319"/>
    <x v="9"/>
    <x v="3"/>
    <n v="25"/>
    <x v="1"/>
    <n v="9"/>
    <n v="42299"/>
    <n v="4"/>
    <x v="1"/>
    <n v="4"/>
    <n v="96"/>
    <s v="Delhi"/>
    <x v="0"/>
  </r>
  <r>
    <x v="320"/>
    <x v="7"/>
    <x v="2"/>
    <n v="38"/>
    <x v="1"/>
    <n v="6"/>
    <n v="42305"/>
    <n v="5"/>
    <x v="11"/>
    <n v="1"/>
    <n v="96"/>
    <s v="Hyderabad"/>
    <x v="0"/>
  </r>
  <r>
    <x v="321"/>
    <x v="13"/>
    <x v="0"/>
    <n v="27"/>
    <x v="1"/>
    <n v="13"/>
    <n v="42308"/>
    <n v="3"/>
    <x v="0"/>
    <n v="5"/>
    <n v="92"/>
    <s v="Delhi"/>
    <x v="0"/>
  </r>
  <r>
    <x v="322"/>
    <x v="16"/>
    <x v="0"/>
    <n v="35"/>
    <x v="0"/>
    <n v="1"/>
    <n v="60357"/>
    <n v="14"/>
    <x v="2"/>
    <n v="5"/>
    <n v="100"/>
    <s v="Mumbai"/>
    <x v="0"/>
  </r>
  <r>
    <x v="323"/>
    <x v="12"/>
    <x v="1"/>
    <n v="29"/>
    <x v="0"/>
    <n v="13"/>
    <n v="42399"/>
    <n v="11"/>
    <x v="11"/>
    <n v="3"/>
    <n v="100"/>
    <s v="Chennai"/>
    <x v="0"/>
  </r>
  <r>
    <x v="324"/>
    <x v="0"/>
    <x v="2"/>
    <n v="39"/>
    <x v="1"/>
    <n v="9"/>
    <n v="42560"/>
    <n v="3"/>
    <x v="14"/>
    <n v="5"/>
    <n v="94"/>
    <s v="Delhi"/>
    <x v="0"/>
  </r>
  <r>
    <x v="325"/>
    <x v="0"/>
    <x v="3"/>
    <n v="32"/>
    <x v="1"/>
    <n v="4"/>
    <n v="65350"/>
    <n v="11"/>
    <x v="7"/>
    <n v="5"/>
    <n v="96"/>
    <s v="Delhi"/>
    <x v="0"/>
  </r>
  <r>
    <x v="326"/>
    <x v="12"/>
    <x v="0"/>
    <n v="28"/>
    <x v="1"/>
    <n v="6"/>
    <n v="42669"/>
    <n v="8"/>
    <x v="0"/>
    <n v="4"/>
    <n v="88"/>
    <s v="Hyderabad"/>
    <x v="1"/>
  </r>
  <r>
    <x v="327"/>
    <x v="18"/>
    <x v="0"/>
    <n v="33"/>
    <x v="0"/>
    <n v="7"/>
    <n v="42725"/>
    <n v="3"/>
    <x v="0"/>
    <n v="3"/>
    <n v="85"/>
    <s v="Chennai"/>
    <x v="1"/>
  </r>
  <r>
    <x v="328"/>
    <x v="4"/>
    <x v="3"/>
    <n v="23"/>
    <x v="0"/>
    <n v="13"/>
    <n v="42728"/>
    <n v="13"/>
    <x v="5"/>
    <n v="2"/>
    <n v="96"/>
    <s v="Bangalore"/>
    <x v="0"/>
  </r>
  <r>
    <x v="329"/>
    <x v="8"/>
    <x v="0"/>
    <n v="36"/>
    <x v="0"/>
    <n v="15"/>
    <n v="42741"/>
    <n v="11"/>
    <x v="7"/>
    <n v="2"/>
    <n v="96"/>
    <s v="Hyderabad"/>
    <x v="0"/>
  </r>
  <r>
    <x v="330"/>
    <x v="2"/>
    <x v="0"/>
    <n v="30"/>
    <x v="1"/>
    <n v="1"/>
    <n v="63521"/>
    <n v="15"/>
    <x v="2"/>
    <n v="4"/>
    <n v="91"/>
    <s v="Delhi"/>
    <x v="0"/>
  </r>
  <r>
    <x v="331"/>
    <x v="7"/>
    <x v="3"/>
    <n v="36"/>
    <x v="1"/>
    <n v="4"/>
    <n v="78873"/>
    <n v="13"/>
    <x v="9"/>
    <n v="4"/>
    <n v="99"/>
    <s v="Mumbai"/>
    <x v="0"/>
  </r>
  <r>
    <x v="332"/>
    <x v="16"/>
    <x v="1"/>
    <n v="30"/>
    <x v="0"/>
    <n v="1"/>
    <n v="66651"/>
    <n v="14"/>
    <x v="9"/>
    <n v="2"/>
    <n v="89"/>
    <s v="Mumbai"/>
    <x v="1"/>
  </r>
  <r>
    <x v="333"/>
    <x v="13"/>
    <x v="3"/>
    <n v="22"/>
    <x v="1"/>
    <n v="1"/>
    <n v="33510"/>
    <n v="12"/>
    <x v="15"/>
    <n v="2"/>
    <n v="88"/>
    <s v="Pune"/>
    <x v="1"/>
  </r>
  <r>
    <x v="334"/>
    <x v="15"/>
    <x v="2"/>
    <n v="22"/>
    <x v="0"/>
    <n v="10"/>
    <n v="42757"/>
    <n v="9"/>
    <x v="5"/>
    <n v="3"/>
    <n v="86"/>
    <s v="Mumbai"/>
    <x v="1"/>
  </r>
  <r>
    <x v="335"/>
    <x v="6"/>
    <x v="3"/>
    <n v="26"/>
    <x v="1"/>
    <n v="1"/>
    <n v="34503"/>
    <n v="3"/>
    <x v="0"/>
    <n v="2"/>
    <n v="94"/>
    <s v="Mumbai"/>
    <x v="0"/>
  </r>
  <r>
    <x v="336"/>
    <x v="3"/>
    <x v="0"/>
    <n v="34"/>
    <x v="1"/>
    <n v="5"/>
    <n v="42880"/>
    <n v="8"/>
    <x v="15"/>
    <n v="4"/>
    <n v="92"/>
    <s v="Mumbai"/>
    <x v="0"/>
  </r>
  <r>
    <x v="337"/>
    <x v="7"/>
    <x v="0"/>
    <n v="28"/>
    <x v="1"/>
    <n v="11"/>
    <n v="42968"/>
    <n v="9"/>
    <x v="15"/>
    <n v="3"/>
    <n v="88"/>
    <s v="Mumbai"/>
    <x v="1"/>
  </r>
  <r>
    <x v="338"/>
    <x v="3"/>
    <x v="0"/>
    <n v="27"/>
    <x v="0"/>
    <n v="8"/>
    <n v="43018"/>
    <n v="6"/>
    <x v="1"/>
    <n v="3"/>
    <n v="95"/>
    <s v="Hyderabad"/>
    <x v="0"/>
  </r>
  <r>
    <x v="339"/>
    <x v="13"/>
    <x v="0"/>
    <n v="22"/>
    <x v="1"/>
    <n v="1"/>
    <n v="70765"/>
    <n v="11"/>
    <x v="2"/>
    <n v="5"/>
    <n v="92"/>
    <s v="Pune"/>
    <x v="0"/>
  </r>
  <r>
    <x v="340"/>
    <x v="9"/>
    <x v="2"/>
    <n v="34"/>
    <x v="0"/>
    <n v="6"/>
    <n v="43060"/>
    <n v="7"/>
    <x v="1"/>
    <n v="4"/>
    <n v="98"/>
    <s v="Chennai"/>
    <x v="0"/>
  </r>
  <r>
    <x v="341"/>
    <x v="0"/>
    <x v="0"/>
    <n v="28"/>
    <x v="0"/>
    <n v="13"/>
    <n v="43105"/>
    <n v="15"/>
    <x v="4"/>
    <n v="3"/>
    <n v="100"/>
    <s v="Hyderabad"/>
    <x v="0"/>
  </r>
  <r>
    <x v="342"/>
    <x v="6"/>
    <x v="2"/>
    <n v="33"/>
    <x v="0"/>
    <n v="6"/>
    <n v="43122"/>
    <n v="3"/>
    <x v="14"/>
    <n v="3"/>
    <n v="93"/>
    <s v="Chennai"/>
    <x v="0"/>
  </r>
  <r>
    <x v="343"/>
    <x v="15"/>
    <x v="0"/>
    <n v="37"/>
    <x v="0"/>
    <n v="11"/>
    <n v="43197"/>
    <n v="14"/>
    <x v="2"/>
    <n v="2"/>
    <n v="91"/>
    <s v="Pune"/>
    <x v="0"/>
  </r>
  <r>
    <x v="344"/>
    <x v="10"/>
    <x v="2"/>
    <n v="31"/>
    <x v="1"/>
    <n v="15"/>
    <n v="43208"/>
    <n v="12"/>
    <x v="1"/>
    <n v="5"/>
    <n v="99"/>
    <s v="Mumbai"/>
    <x v="0"/>
  </r>
  <r>
    <x v="345"/>
    <x v="14"/>
    <x v="3"/>
    <n v="24"/>
    <x v="0"/>
    <n v="7"/>
    <n v="43227"/>
    <n v="11"/>
    <x v="0"/>
    <n v="5"/>
    <n v="91"/>
    <s v="Pune"/>
    <x v="0"/>
  </r>
  <r>
    <x v="346"/>
    <x v="17"/>
    <x v="1"/>
    <n v="31"/>
    <x v="0"/>
    <n v="9"/>
    <n v="43237"/>
    <n v="3"/>
    <x v="8"/>
    <n v="3"/>
    <n v="88"/>
    <s v="Mumbai"/>
    <x v="1"/>
  </r>
  <r>
    <x v="347"/>
    <x v="15"/>
    <x v="2"/>
    <n v="28"/>
    <x v="1"/>
    <n v="9"/>
    <n v="43242"/>
    <n v="6"/>
    <x v="9"/>
    <n v="3"/>
    <n v="93"/>
    <s v="Chennai"/>
    <x v="0"/>
  </r>
  <r>
    <x v="348"/>
    <x v="2"/>
    <x v="0"/>
    <n v="34"/>
    <x v="1"/>
    <n v="3"/>
    <n v="48030"/>
    <n v="13"/>
    <x v="14"/>
    <n v="2"/>
    <n v="89"/>
    <s v="Chennai"/>
    <x v="1"/>
  </r>
  <r>
    <x v="349"/>
    <x v="1"/>
    <x v="1"/>
    <n v="28"/>
    <x v="0"/>
    <n v="11"/>
    <n v="43243"/>
    <n v="8"/>
    <x v="5"/>
    <n v="3"/>
    <n v="91"/>
    <s v="Mumbai"/>
    <x v="0"/>
  </r>
  <r>
    <x v="350"/>
    <x v="11"/>
    <x v="1"/>
    <n v="30"/>
    <x v="1"/>
    <n v="13"/>
    <n v="43285"/>
    <n v="15"/>
    <x v="8"/>
    <n v="3"/>
    <n v="91"/>
    <s v="Delhi"/>
    <x v="0"/>
  </r>
  <r>
    <x v="351"/>
    <x v="2"/>
    <x v="3"/>
    <n v="38"/>
    <x v="1"/>
    <n v="9"/>
    <n v="43320"/>
    <n v="10"/>
    <x v="2"/>
    <n v="3"/>
    <n v="99"/>
    <s v="Hyderabad"/>
    <x v="0"/>
  </r>
  <r>
    <x v="352"/>
    <x v="11"/>
    <x v="1"/>
    <n v="35"/>
    <x v="1"/>
    <n v="13"/>
    <n v="43333"/>
    <n v="9"/>
    <x v="5"/>
    <n v="5"/>
    <n v="90"/>
    <s v="Mumbai"/>
    <x v="0"/>
  </r>
  <r>
    <x v="353"/>
    <x v="15"/>
    <x v="0"/>
    <n v="37"/>
    <x v="0"/>
    <n v="3"/>
    <n v="51542"/>
    <n v="8"/>
    <x v="5"/>
    <n v="3"/>
    <n v="90"/>
    <s v="Bangalore"/>
    <x v="0"/>
  </r>
  <r>
    <x v="354"/>
    <x v="2"/>
    <x v="0"/>
    <n v="34"/>
    <x v="1"/>
    <n v="15"/>
    <n v="43500"/>
    <n v="8"/>
    <x v="3"/>
    <n v="1"/>
    <n v="87"/>
    <s v="Bangalore"/>
    <x v="1"/>
  </r>
  <r>
    <x v="355"/>
    <x v="18"/>
    <x v="3"/>
    <n v="22"/>
    <x v="1"/>
    <n v="12"/>
    <n v="43521"/>
    <n v="6"/>
    <x v="4"/>
    <n v="3"/>
    <n v="89"/>
    <s v="Chennai"/>
    <x v="1"/>
  </r>
  <r>
    <x v="356"/>
    <x v="17"/>
    <x v="1"/>
    <n v="39"/>
    <x v="0"/>
    <n v="1"/>
    <n v="34985"/>
    <n v="7"/>
    <x v="11"/>
    <n v="1"/>
    <n v="94"/>
    <s v="Pune"/>
    <x v="0"/>
  </r>
  <r>
    <x v="357"/>
    <x v="12"/>
    <x v="1"/>
    <n v="28"/>
    <x v="1"/>
    <n v="5"/>
    <n v="43536"/>
    <n v="11"/>
    <x v="7"/>
    <n v="1"/>
    <n v="90"/>
    <s v="Chennai"/>
    <x v="0"/>
  </r>
  <r>
    <x v="358"/>
    <x v="5"/>
    <x v="1"/>
    <n v="30"/>
    <x v="1"/>
    <n v="3"/>
    <n v="58120"/>
    <n v="14"/>
    <x v="3"/>
    <n v="1"/>
    <n v="92"/>
    <s v="Delhi"/>
    <x v="0"/>
  </r>
  <r>
    <x v="359"/>
    <x v="9"/>
    <x v="2"/>
    <n v="22"/>
    <x v="1"/>
    <n v="3"/>
    <n v="70112"/>
    <n v="15"/>
    <x v="11"/>
    <n v="1"/>
    <n v="98"/>
    <s v="Pune"/>
    <x v="0"/>
  </r>
  <r>
    <x v="360"/>
    <x v="8"/>
    <x v="0"/>
    <n v="30"/>
    <x v="1"/>
    <n v="8"/>
    <n v="43605"/>
    <n v="8"/>
    <x v="6"/>
    <n v="3"/>
    <n v="99"/>
    <s v="Hyderabad"/>
    <x v="0"/>
  </r>
  <r>
    <x v="361"/>
    <x v="16"/>
    <x v="1"/>
    <n v="37"/>
    <x v="0"/>
    <n v="2"/>
    <n v="33005"/>
    <n v="7"/>
    <x v="10"/>
    <n v="3"/>
    <n v="100"/>
    <s v="Mumbai"/>
    <x v="0"/>
  </r>
  <r>
    <x v="362"/>
    <x v="12"/>
    <x v="3"/>
    <n v="35"/>
    <x v="0"/>
    <n v="6"/>
    <n v="43715"/>
    <n v="14"/>
    <x v="3"/>
    <n v="1"/>
    <n v="92"/>
    <s v="Pune"/>
    <x v="0"/>
  </r>
  <r>
    <x v="363"/>
    <x v="10"/>
    <x v="3"/>
    <n v="38"/>
    <x v="1"/>
    <n v="11"/>
    <n v="43819"/>
    <n v="8"/>
    <x v="11"/>
    <n v="1"/>
    <n v="88"/>
    <s v="Delhi"/>
    <x v="1"/>
  </r>
  <r>
    <x v="364"/>
    <x v="18"/>
    <x v="3"/>
    <n v="27"/>
    <x v="0"/>
    <n v="2"/>
    <n v="43594"/>
    <n v="8"/>
    <x v="14"/>
    <n v="5"/>
    <n v="97"/>
    <s v="Chennai"/>
    <x v="0"/>
  </r>
  <r>
    <x v="365"/>
    <x v="10"/>
    <x v="3"/>
    <n v="31"/>
    <x v="1"/>
    <n v="10"/>
    <n v="43860"/>
    <n v="5"/>
    <x v="11"/>
    <n v="5"/>
    <n v="86"/>
    <s v="Chennai"/>
    <x v="1"/>
  </r>
  <r>
    <x v="366"/>
    <x v="1"/>
    <x v="1"/>
    <n v="34"/>
    <x v="1"/>
    <n v="15"/>
    <n v="43880"/>
    <n v="3"/>
    <x v="15"/>
    <n v="4"/>
    <n v="97"/>
    <s v="Pune"/>
    <x v="0"/>
  </r>
  <r>
    <x v="367"/>
    <x v="12"/>
    <x v="1"/>
    <n v="31"/>
    <x v="0"/>
    <n v="15"/>
    <n v="43892"/>
    <n v="12"/>
    <x v="0"/>
    <n v="1"/>
    <n v="98"/>
    <s v="Chennai"/>
    <x v="0"/>
  </r>
  <r>
    <x v="368"/>
    <x v="11"/>
    <x v="1"/>
    <n v="30"/>
    <x v="0"/>
    <n v="2"/>
    <n v="65525"/>
    <n v="5"/>
    <x v="6"/>
    <n v="1"/>
    <n v="92"/>
    <s v="Hyderabad"/>
    <x v="0"/>
  </r>
  <r>
    <x v="369"/>
    <x v="12"/>
    <x v="3"/>
    <n v="38"/>
    <x v="0"/>
    <n v="4"/>
    <n v="37773"/>
    <n v="10"/>
    <x v="15"/>
    <n v="1"/>
    <n v="92"/>
    <s v="Delhi"/>
    <x v="0"/>
  </r>
  <r>
    <x v="370"/>
    <x v="15"/>
    <x v="2"/>
    <n v="25"/>
    <x v="0"/>
    <n v="13"/>
    <n v="43901"/>
    <n v="7"/>
    <x v="9"/>
    <n v="5"/>
    <n v="86"/>
    <s v="Hyderabad"/>
    <x v="1"/>
  </r>
  <r>
    <x v="371"/>
    <x v="18"/>
    <x v="3"/>
    <n v="38"/>
    <x v="1"/>
    <n v="8"/>
    <n v="43905"/>
    <n v="12"/>
    <x v="10"/>
    <n v="3"/>
    <n v="99"/>
    <s v="Bangalore"/>
    <x v="0"/>
  </r>
  <r>
    <x v="372"/>
    <x v="18"/>
    <x v="2"/>
    <n v="34"/>
    <x v="0"/>
    <n v="6"/>
    <n v="43906"/>
    <n v="13"/>
    <x v="13"/>
    <n v="4"/>
    <n v="88"/>
    <s v="Mumbai"/>
    <x v="1"/>
  </r>
  <r>
    <x v="373"/>
    <x v="14"/>
    <x v="0"/>
    <n v="27"/>
    <x v="1"/>
    <n v="13"/>
    <n v="43918"/>
    <n v="12"/>
    <x v="9"/>
    <n v="1"/>
    <n v="88"/>
    <s v="Bangalore"/>
    <x v="1"/>
  </r>
  <r>
    <x v="374"/>
    <x v="6"/>
    <x v="3"/>
    <n v="31"/>
    <x v="0"/>
    <n v="8"/>
    <n v="44255"/>
    <n v="7"/>
    <x v="7"/>
    <n v="2"/>
    <n v="91"/>
    <s v="Bangalore"/>
    <x v="0"/>
  </r>
  <r>
    <x v="375"/>
    <x v="6"/>
    <x v="2"/>
    <n v="29"/>
    <x v="1"/>
    <n v="6"/>
    <n v="44595"/>
    <n v="15"/>
    <x v="0"/>
    <n v="1"/>
    <n v="94"/>
    <s v="Delhi"/>
    <x v="0"/>
  </r>
  <r>
    <x v="376"/>
    <x v="19"/>
    <x v="0"/>
    <n v="36"/>
    <x v="0"/>
    <n v="14"/>
    <n v="44631"/>
    <n v="8"/>
    <x v="9"/>
    <n v="2"/>
    <n v="87"/>
    <s v="Pune"/>
    <x v="1"/>
  </r>
  <r>
    <x v="377"/>
    <x v="5"/>
    <x v="1"/>
    <n v="33"/>
    <x v="1"/>
    <n v="6"/>
    <n v="44763"/>
    <n v="15"/>
    <x v="8"/>
    <n v="5"/>
    <n v="97"/>
    <s v="Mumbai"/>
    <x v="0"/>
  </r>
  <r>
    <x v="378"/>
    <x v="8"/>
    <x v="2"/>
    <n v="37"/>
    <x v="0"/>
    <n v="2"/>
    <n v="69879"/>
    <n v="4"/>
    <x v="5"/>
    <n v="1"/>
    <n v="96"/>
    <s v="Hyderabad"/>
    <x v="0"/>
  </r>
  <r>
    <x v="379"/>
    <x v="16"/>
    <x v="3"/>
    <n v="37"/>
    <x v="1"/>
    <n v="3"/>
    <n v="39087"/>
    <n v="10"/>
    <x v="14"/>
    <n v="5"/>
    <n v="89"/>
    <s v="Mumbai"/>
    <x v="1"/>
  </r>
  <r>
    <x v="380"/>
    <x v="3"/>
    <x v="1"/>
    <n v="29"/>
    <x v="0"/>
    <n v="10"/>
    <n v="44774"/>
    <n v="10"/>
    <x v="15"/>
    <n v="1"/>
    <n v="86"/>
    <s v="Mumbai"/>
    <x v="1"/>
  </r>
  <r>
    <x v="381"/>
    <x v="15"/>
    <x v="0"/>
    <n v="24"/>
    <x v="0"/>
    <n v="14"/>
    <n v="44890"/>
    <n v="8"/>
    <x v="12"/>
    <n v="3"/>
    <n v="93"/>
    <s v="Hyderabad"/>
    <x v="0"/>
  </r>
  <r>
    <x v="382"/>
    <x v="7"/>
    <x v="0"/>
    <n v="33"/>
    <x v="0"/>
    <n v="9"/>
    <n v="44916"/>
    <n v="6"/>
    <x v="2"/>
    <n v="5"/>
    <n v="94"/>
    <s v="Chennai"/>
    <x v="0"/>
  </r>
  <r>
    <x v="383"/>
    <x v="12"/>
    <x v="0"/>
    <n v="35"/>
    <x v="0"/>
    <n v="7"/>
    <n v="45134"/>
    <n v="10"/>
    <x v="11"/>
    <n v="4"/>
    <n v="86"/>
    <s v="Chennai"/>
    <x v="1"/>
  </r>
  <r>
    <x v="384"/>
    <x v="0"/>
    <x v="1"/>
    <n v="26"/>
    <x v="1"/>
    <n v="8"/>
    <n v="45247"/>
    <n v="15"/>
    <x v="9"/>
    <n v="1"/>
    <n v="90"/>
    <s v="Delhi"/>
    <x v="0"/>
  </r>
  <r>
    <x v="385"/>
    <x v="12"/>
    <x v="2"/>
    <n v="36"/>
    <x v="0"/>
    <n v="10"/>
    <n v="45329"/>
    <n v="10"/>
    <x v="1"/>
    <n v="5"/>
    <n v="88"/>
    <s v="Delhi"/>
    <x v="1"/>
  </r>
  <r>
    <x v="386"/>
    <x v="8"/>
    <x v="2"/>
    <n v="26"/>
    <x v="1"/>
    <n v="10"/>
    <n v="45333"/>
    <n v="12"/>
    <x v="15"/>
    <n v="3"/>
    <n v="93"/>
    <s v="Bangalore"/>
    <x v="0"/>
  </r>
  <r>
    <x v="387"/>
    <x v="13"/>
    <x v="2"/>
    <n v="36"/>
    <x v="0"/>
    <n v="14"/>
    <n v="45459"/>
    <n v="11"/>
    <x v="13"/>
    <n v="5"/>
    <n v="98"/>
    <s v="Hyderabad"/>
    <x v="0"/>
  </r>
  <r>
    <x v="388"/>
    <x v="7"/>
    <x v="2"/>
    <n v="27"/>
    <x v="0"/>
    <n v="5"/>
    <n v="45508"/>
    <n v="9"/>
    <x v="13"/>
    <n v="1"/>
    <n v="91"/>
    <s v="Delhi"/>
    <x v="0"/>
  </r>
  <r>
    <x v="389"/>
    <x v="6"/>
    <x v="2"/>
    <n v="27"/>
    <x v="1"/>
    <n v="9"/>
    <n v="45524"/>
    <n v="9"/>
    <x v="5"/>
    <n v="2"/>
    <n v="89"/>
    <s v="Chennai"/>
    <x v="1"/>
  </r>
  <r>
    <x v="390"/>
    <x v="11"/>
    <x v="2"/>
    <n v="39"/>
    <x v="0"/>
    <n v="2"/>
    <n v="72928"/>
    <n v="9"/>
    <x v="14"/>
    <n v="5"/>
    <n v="99"/>
    <s v="Pune"/>
    <x v="0"/>
  </r>
  <r>
    <x v="391"/>
    <x v="3"/>
    <x v="2"/>
    <n v="39"/>
    <x v="0"/>
    <n v="2"/>
    <n v="66607"/>
    <n v="11"/>
    <x v="0"/>
    <n v="1"/>
    <n v="96"/>
    <s v="Bangalore"/>
    <x v="0"/>
  </r>
  <r>
    <x v="392"/>
    <x v="2"/>
    <x v="0"/>
    <n v="28"/>
    <x v="1"/>
    <n v="8"/>
    <n v="45589"/>
    <n v="8"/>
    <x v="15"/>
    <n v="4"/>
    <n v="94"/>
    <s v="Delhi"/>
    <x v="0"/>
  </r>
  <r>
    <x v="393"/>
    <x v="4"/>
    <x v="3"/>
    <n v="26"/>
    <x v="0"/>
    <n v="4"/>
    <n v="76658"/>
    <n v="8"/>
    <x v="12"/>
    <n v="4"/>
    <n v="93"/>
    <s v="Delhi"/>
    <x v="0"/>
  </r>
  <r>
    <x v="394"/>
    <x v="14"/>
    <x v="3"/>
    <n v="22"/>
    <x v="0"/>
    <n v="2"/>
    <n v="31673"/>
    <n v="8"/>
    <x v="9"/>
    <n v="3"/>
    <n v="94"/>
    <s v="Chennai"/>
    <x v="0"/>
  </r>
  <r>
    <x v="395"/>
    <x v="17"/>
    <x v="2"/>
    <n v="27"/>
    <x v="1"/>
    <n v="5"/>
    <n v="45604"/>
    <n v="13"/>
    <x v="15"/>
    <n v="3"/>
    <n v="97"/>
    <s v="Pune"/>
    <x v="0"/>
  </r>
  <r>
    <x v="396"/>
    <x v="11"/>
    <x v="1"/>
    <n v="32"/>
    <x v="0"/>
    <n v="7"/>
    <n v="45630"/>
    <n v="13"/>
    <x v="3"/>
    <n v="5"/>
    <n v="90"/>
    <s v="Hyderabad"/>
    <x v="0"/>
  </r>
  <r>
    <x v="397"/>
    <x v="10"/>
    <x v="1"/>
    <n v="38"/>
    <x v="0"/>
    <n v="14"/>
    <n v="45664"/>
    <n v="3"/>
    <x v="7"/>
    <n v="1"/>
    <n v="95"/>
    <s v="Pune"/>
    <x v="0"/>
  </r>
  <r>
    <x v="398"/>
    <x v="9"/>
    <x v="0"/>
    <n v="22"/>
    <x v="0"/>
    <n v="6"/>
    <n v="45809"/>
    <n v="15"/>
    <x v="13"/>
    <n v="5"/>
    <n v="87"/>
    <s v="Delhi"/>
    <x v="1"/>
  </r>
  <r>
    <x v="399"/>
    <x v="19"/>
    <x v="0"/>
    <n v="31"/>
    <x v="1"/>
    <n v="2"/>
    <n v="78092"/>
    <n v="15"/>
    <x v="0"/>
    <n v="2"/>
    <n v="86"/>
    <s v="Mumbai"/>
    <x v="1"/>
  </r>
  <r>
    <x v="400"/>
    <x v="3"/>
    <x v="3"/>
    <n v="27"/>
    <x v="0"/>
    <n v="9"/>
    <n v="45828"/>
    <n v="9"/>
    <x v="12"/>
    <n v="4"/>
    <n v="89"/>
    <s v="Chennai"/>
    <x v="1"/>
  </r>
  <r>
    <x v="401"/>
    <x v="8"/>
    <x v="0"/>
    <n v="23"/>
    <x v="0"/>
    <n v="8"/>
    <n v="45845"/>
    <n v="3"/>
    <x v="7"/>
    <n v="1"/>
    <n v="85"/>
    <s v="Bangalore"/>
    <x v="1"/>
  </r>
  <r>
    <x v="402"/>
    <x v="6"/>
    <x v="3"/>
    <n v="25"/>
    <x v="0"/>
    <n v="1"/>
    <n v="62920"/>
    <n v="3"/>
    <x v="3"/>
    <n v="4"/>
    <n v="85"/>
    <s v="Bangalore"/>
    <x v="1"/>
  </r>
  <r>
    <x v="403"/>
    <x v="18"/>
    <x v="2"/>
    <n v="32"/>
    <x v="1"/>
    <n v="2"/>
    <n v="45317"/>
    <n v="6"/>
    <x v="8"/>
    <n v="1"/>
    <n v="96"/>
    <s v="Bangalore"/>
    <x v="0"/>
  </r>
  <r>
    <x v="404"/>
    <x v="14"/>
    <x v="3"/>
    <n v="26"/>
    <x v="0"/>
    <n v="6"/>
    <n v="46183"/>
    <n v="9"/>
    <x v="9"/>
    <n v="3"/>
    <n v="85"/>
    <s v="Chennai"/>
    <x v="1"/>
  </r>
  <r>
    <x v="405"/>
    <x v="6"/>
    <x v="0"/>
    <n v="38"/>
    <x v="1"/>
    <n v="14"/>
    <n v="46340"/>
    <n v="13"/>
    <x v="0"/>
    <n v="2"/>
    <n v="95"/>
    <s v="Bangalore"/>
    <x v="0"/>
  </r>
  <r>
    <x v="406"/>
    <x v="5"/>
    <x v="3"/>
    <n v="24"/>
    <x v="1"/>
    <n v="14"/>
    <n v="46480"/>
    <n v="12"/>
    <x v="15"/>
    <n v="1"/>
    <n v="88"/>
    <s v="Mumbai"/>
    <x v="1"/>
  </r>
  <r>
    <x v="407"/>
    <x v="14"/>
    <x v="2"/>
    <n v="31"/>
    <x v="1"/>
    <n v="9"/>
    <n v="46518"/>
    <n v="4"/>
    <x v="12"/>
    <n v="3"/>
    <n v="88"/>
    <s v="Mumbai"/>
    <x v="1"/>
  </r>
  <r>
    <x v="408"/>
    <x v="11"/>
    <x v="1"/>
    <n v="23"/>
    <x v="0"/>
    <n v="5"/>
    <n v="46526"/>
    <n v="4"/>
    <x v="15"/>
    <n v="1"/>
    <n v="98"/>
    <s v="Delhi"/>
    <x v="0"/>
  </r>
  <r>
    <x v="409"/>
    <x v="3"/>
    <x v="3"/>
    <n v="23"/>
    <x v="1"/>
    <n v="3"/>
    <n v="30226"/>
    <n v="4"/>
    <x v="12"/>
    <n v="2"/>
    <n v="96"/>
    <s v="Delhi"/>
    <x v="0"/>
  </r>
  <r>
    <x v="410"/>
    <x v="2"/>
    <x v="3"/>
    <n v="24"/>
    <x v="0"/>
    <n v="13"/>
    <n v="46527"/>
    <n v="3"/>
    <x v="4"/>
    <n v="1"/>
    <n v="91"/>
    <s v="Hyderabad"/>
    <x v="0"/>
  </r>
  <r>
    <x v="411"/>
    <x v="15"/>
    <x v="3"/>
    <n v="24"/>
    <x v="0"/>
    <n v="11"/>
    <n v="46582"/>
    <n v="15"/>
    <x v="15"/>
    <n v="3"/>
    <n v="89"/>
    <s v="Hyderabad"/>
    <x v="1"/>
  </r>
  <r>
    <x v="412"/>
    <x v="11"/>
    <x v="1"/>
    <n v="34"/>
    <x v="1"/>
    <n v="15"/>
    <n v="46601"/>
    <n v="13"/>
    <x v="8"/>
    <n v="2"/>
    <n v="96"/>
    <s v="Hyderabad"/>
    <x v="0"/>
  </r>
  <r>
    <x v="413"/>
    <x v="16"/>
    <x v="1"/>
    <n v="38"/>
    <x v="1"/>
    <n v="1"/>
    <n v="69349"/>
    <n v="10"/>
    <x v="4"/>
    <n v="2"/>
    <n v="91"/>
    <s v="Chennai"/>
    <x v="0"/>
  </r>
  <r>
    <x v="414"/>
    <x v="4"/>
    <x v="0"/>
    <n v="38"/>
    <x v="0"/>
    <n v="6"/>
    <n v="46749"/>
    <n v="7"/>
    <x v="3"/>
    <n v="1"/>
    <n v="94"/>
    <s v="Hyderabad"/>
    <x v="0"/>
  </r>
  <r>
    <x v="415"/>
    <x v="1"/>
    <x v="1"/>
    <n v="38"/>
    <x v="0"/>
    <n v="15"/>
    <n v="46842"/>
    <n v="13"/>
    <x v="10"/>
    <n v="1"/>
    <n v="90"/>
    <s v="Delhi"/>
    <x v="0"/>
  </r>
  <r>
    <x v="416"/>
    <x v="18"/>
    <x v="1"/>
    <n v="22"/>
    <x v="1"/>
    <n v="11"/>
    <n v="46954"/>
    <n v="15"/>
    <x v="8"/>
    <n v="3"/>
    <n v="91"/>
    <s v="Hyderabad"/>
    <x v="0"/>
  </r>
  <r>
    <x v="417"/>
    <x v="15"/>
    <x v="0"/>
    <n v="40"/>
    <x v="1"/>
    <n v="4"/>
    <n v="64630"/>
    <n v="4"/>
    <x v="0"/>
    <n v="1"/>
    <n v="97"/>
    <s v="Mumbai"/>
    <x v="0"/>
  </r>
  <r>
    <x v="418"/>
    <x v="5"/>
    <x v="0"/>
    <n v="38"/>
    <x v="0"/>
    <n v="13"/>
    <n v="47053"/>
    <n v="7"/>
    <x v="3"/>
    <n v="1"/>
    <n v="96"/>
    <s v="Mumbai"/>
    <x v="0"/>
  </r>
  <r>
    <x v="419"/>
    <x v="10"/>
    <x v="3"/>
    <n v="22"/>
    <x v="0"/>
    <n v="15"/>
    <n v="47217"/>
    <n v="5"/>
    <x v="2"/>
    <n v="3"/>
    <n v="96"/>
    <s v="Delhi"/>
    <x v="0"/>
  </r>
  <r>
    <x v="420"/>
    <x v="3"/>
    <x v="1"/>
    <n v="24"/>
    <x v="1"/>
    <n v="4"/>
    <n v="26664"/>
    <n v="14"/>
    <x v="7"/>
    <n v="2"/>
    <n v="86"/>
    <s v="Bangalore"/>
    <x v="1"/>
  </r>
  <r>
    <x v="421"/>
    <x v="10"/>
    <x v="3"/>
    <n v="29"/>
    <x v="0"/>
    <n v="15"/>
    <n v="47228"/>
    <n v="13"/>
    <x v="3"/>
    <n v="4"/>
    <n v="90"/>
    <s v="Pune"/>
    <x v="0"/>
  </r>
  <r>
    <x v="422"/>
    <x v="5"/>
    <x v="0"/>
    <n v="29"/>
    <x v="1"/>
    <n v="3"/>
    <n v="57668"/>
    <n v="4"/>
    <x v="0"/>
    <n v="4"/>
    <n v="100"/>
    <s v="Bangalore"/>
    <x v="0"/>
  </r>
  <r>
    <x v="423"/>
    <x v="0"/>
    <x v="0"/>
    <n v="32"/>
    <x v="0"/>
    <n v="11"/>
    <n v="47356"/>
    <n v="10"/>
    <x v="13"/>
    <n v="5"/>
    <n v="95"/>
    <s v="Bangalore"/>
    <x v="0"/>
  </r>
  <r>
    <x v="424"/>
    <x v="3"/>
    <x v="2"/>
    <n v="34"/>
    <x v="0"/>
    <n v="9"/>
    <n v="47386"/>
    <n v="3"/>
    <x v="8"/>
    <n v="4"/>
    <n v="86"/>
    <s v="Pune"/>
    <x v="1"/>
  </r>
  <r>
    <x v="425"/>
    <x v="10"/>
    <x v="0"/>
    <n v="27"/>
    <x v="0"/>
    <n v="10"/>
    <n v="47507"/>
    <n v="14"/>
    <x v="0"/>
    <n v="5"/>
    <n v="93"/>
    <s v="Hyderabad"/>
    <x v="0"/>
  </r>
  <r>
    <x v="426"/>
    <x v="15"/>
    <x v="3"/>
    <n v="25"/>
    <x v="0"/>
    <n v="11"/>
    <n v="47563"/>
    <n v="4"/>
    <x v="13"/>
    <n v="2"/>
    <n v="94"/>
    <s v="Bangalore"/>
    <x v="0"/>
  </r>
  <r>
    <x v="427"/>
    <x v="5"/>
    <x v="1"/>
    <n v="30"/>
    <x v="1"/>
    <n v="9"/>
    <n v="47723"/>
    <n v="3"/>
    <x v="6"/>
    <n v="2"/>
    <n v="86"/>
    <s v="Delhi"/>
    <x v="1"/>
  </r>
  <r>
    <x v="428"/>
    <x v="8"/>
    <x v="0"/>
    <n v="36"/>
    <x v="0"/>
    <n v="4"/>
    <n v="71194"/>
    <n v="5"/>
    <x v="10"/>
    <n v="3"/>
    <n v="92"/>
    <s v="Bangalore"/>
    <x v="0"/>
  </r>
  <r>
    <x v="429"/>
    <x v="15"/>
    <x v="0"/>
    <n v="38"/>
    <x v="1"/>
    <n v="3"/>
    <n v="54123"/>
    <n v="6"/>
    <x v="10"/>
    <n v="4"/>
    <n v="97"/>
    <s v="Bangalore"/>
    <x v="0"/>
  </r>
  <r>
    <x v="430"/>
    <x v="14"/>
    <x v="2"/>
    <n v="39"/>
    <x v="0"/>
    <n v="1"/>
    <n v="31389"/>
    <n v="12"/>
    <x v="10"/>
    <n v="4"/>
    <n v="99"/>
    <s v="Chennai"/>
    <x v="0"/>
  </r>
  <r>
    <x v="431"/>
    <x v="9"/>
    <x v="3"/>
    <n v="31"/>
    <x v="0"/>
    <n v="8"/>
    <n v="47805"/>
    <n v="15"/>
    <x v="14"/>
    <n v="1"/>
    <n v="88"/>
    <s v="Delhi"/>
    <x v="1"/>
  </r>
  <r>
    <x v="432"/>
    <x v="14"/>
    <x v="3"/>
    <n v="38"/>
    <x v="1"/>
    <n v="9"/>
    <n v="47827"/>
    <n v="3"/>
    <x v="0"/>
    <n v="1"/>
    <n v="95"/>
    <s v="Hyderabad"/>
    <x v="0"/>
  </r>
  <r>
    <x v="433"/>
    <x v="7"/>
    <x v="3"/>
    <n v="24"/>
    <x v="0"/>
    <n v="14"/>
    <n v="48017"/>
    <n v="13"/>
    <x v="5"/>
    <n v="3"/>
    <n v="87"/>
    <s v="Mumbai"/>
    <x v="1"/>
  </r>
  <r>
    <x v="434"/>
    <x v="8"/>
    <x v="3"/>
    <n v="33"/>
    <x v="0"/>
    <n v="5"/>
    <n v="48089"/>
    <n v="10"/>
    <x v="8"/>
    <n v="4"/>
    <n v="90"/>
    <s v="Bangalore"/>
    <x v="0"/>
  </r>
  <r>
    <x v="435"/>
    <x v="8"/>
    <x v="2"/>
    <n v="38"/>
    <x v="0"/>
    <n v="2"/>
    <n v="52688"/>
    <n v="9"/>
    <x v="14"/>
    <n v="2"/>
    <n v="89"/>
    <s v="Delhi"/>
    <x v="1"/>
  </r>
  <r>
    <x v="436"/>
    <x v="8"/>
    <x v="0"/>
    <n v="38"/>
    <x v="0"/>
    <n v="10"/>
    <n v="48173"/>
    <n v="8"/>
    <x v="9"/>
    <n v="4"/>
    <n v="91"/>
    <s v="Hyderabad"/>
    <x v="0"/>
  </r>
  <r>
    <x v="437"/>
    <x v="13"/>
    <x v="0"/>
    <n v="24"/>
    <x v="1"/>
    <n v="11"/>
    <n v="48408"/>
    <n v="8"/>
    <x v="5"/>
    <n v="2"/>
    <n v="93"/>
    <s v="Delhi"/>
    <x v="0"/>
  </r>
  <r>
    <x v="438"/>
    <x v="8"/>
    <x v="2"/>
    <n v="30"/>
    <x v="1"/>
    <n v="10"/>
    <n v="48503"/>
    <n v="13"/>
    <x v="9"/>
    <n v="4"/>
    <n v="92"/>
    <s v="Delhi"/>
    <x v="0"/>
  </r>
  <r>
    <x v="439"/>
    <x v="16"/>
    <x v="1"/>
    <n v="31"/>
    <x v="0"/>
    <n v="12"/>
    <n v="48510"/>
    <n v="6"/>
    <x v="0"/>
    <n v="5"/>
    <n v="86"/>
    <s v="Hyderabad"/>
    <x v="1"/>
  </r>
  <r>
    <x v="440"/>
    <x v="8"/>
    <x v="0"/>
    <n v="35"/>
    <x v="0"/>
    <n v="12"/>
    <n v="48783"/>
    <n v="14"/>
    <x v="7"/>
    <n v="4"/>
    <n v="88"/>
    <s v="Hyderabad"/>
    <x v="1"/>
  </r>
  <r>
    <x v="441"/>
    <x v="2"/>
    <x v="3"/>
    <n v="35"/>
    <x v="0"/>
    <n v="15"/>
    <n v="49071"/>
    <n v="13"/>
    <x v="1"/>
    <n v="4"/>
    <n v="96"/>
    <s v="Hyderabad"/>
    <x v="0"/>
  </r>
  <r>
    <x v="442"/>
    <x v="8"/>
    <x v="2"/>
    <n v="36"/>
    <x v="1"/>
    <n v="5"/>
    <n v="49089"/>
    <n v="14"/>
    <x v="13"/>
    <n v="5"/>
    <n v="98"/>
    <s v="Bangalore"/>
    <x v="0"/>
  </r>
  <r>
    <x v="443"/>
    <x v="7"/>
    <x v="3"/>
    <n v="38"/>
    <x v="0"/>
    <n v="14"/>
    <n v="49179"/>
    <n v="11"/>
    <x v="9"/>
    <n v="3"/>
    <n v="98"/>
    <s v="Bangalore"/>
    <x v="0"/>
  </r>
  <r>
    <x v="444"/>
    <x v="18"/>
    <x v="0"/>
    <n v="25"/>
    <x v="1"/>
    <n v="3"/>
    <n v="55469"/>
    <n v="9"/>
    <x v="8"/>
    <n v="1"/>
    <n v="85"/>
    <s v="Bangalore"/>
    <x v="1"/>
  </r>
  <r>
    <x v="445"/>
    <x v="14"/>
    <x v="0"/>
    <n v="32"/>
    <x v="0"/>
    <n v="7"/>
    <n v="49181"/>
    <n v="4"/>
    <x v="8"/>
    <n v="2"/>
    <n v="93"/>
    <s v="Bangalore"/>
    <x v="0"/>
  </r>
  <r>
    <x v="446"/>
    <x v="8"/>
    <x v="0"/>
    <n v="34"/>
    <x v="0"/>
    <n v="3"/>
    <n v="67031"/>
    <n v="12"/>
    <x v="4"/>
    <n v="1"/>
    <n v="99"/>
    <s v="Chennai"/>
    <x v="0"/>
  </r>
  <r>
    <x v="447"/>
    <x v="10"/>
    <x v="2"/>
    <n v="24"/>
    <x v="0"/>
    <n v="9"/>
    <n v="49186"/>
    <n v="3"/>
    <x v="9"/>
    <n v="3"/>
    <n v="89"/>
    <s v="Delhi"/>
    <x v="1"/>
  </r>
  <r>
    <x v="448"/>
    <x v="9"/>
    <x v="1"/>
    <n v="36"/>
    <x v="1"/>
    <n v="12"/>
    <n v="49197"/>
    <n v="3"/>
    <x v="7"/>
    <n v="4"/>
    <n v="100"/>
    <s v="Chennai"/>
    <x v="0"/>
  </r>
  <r>
    <x v="449"/>
    <x v="16"/>
    <x v="3"/>
    <n v="40"/>
    <x v="1"/>
    <n v="13"/>
    <n v="49299"/>
    <n v="5"/>
    <x v="4"/>
    <n v="3"/>
    <n v="95"/>
    <s v="Mumbai"/>
    <x v="0"/>
  </r>
  <r>
    <x v="450"/>
    <x v="14"/>
    <x v="0"/>
    <n v="33"/>
    <x v="1"/>
    <n v="12"/>
    <n v="49385"/>
    <n v="11"/>
    <x v="7"/>
    <n v="5"/>
    <n v="91"/>
    <s v="Pune"/>
    <x v="0"/>
  </r>
  <r>
    <x v="451"/>
    <x v="12"/>
    <x v="2"/>
    <n v="32"/>
    <x v="0"/>
    <n v="3"/>
    <n v="78971"/>
    <n v="5"/>
    <x v="7"/>
    <n v="3"/>
    <n v="96"/>
    <s v="Delhi"/>
    <x v="0"/>
  </r>
  <r>
    <x v="452"/>
    <x v="1"/>
    <x v="2"/>
    <n v="30"/>
    <x v="0"/>
    <n v="4"/>
    <n v="28161"/>
    <n v="5"/>
    <x v="4"/>
    <n v="5"/>
    <n v="89"/>
    <s v="Bangalore"/>
    <x v="1"/>
  </r>
  <r>
    <x v="453"/>
    <x v="13"/>
    <x v="2"/>
    <n v="25"/>
    <x v="1"/>
    <n v="6"/>
    <n v="49455"/>
    <n v="11"/>
    <x v="6"/>
    <n v="5"/>
    <n v="94"/>
    <s v="Hyderabad"/>
    <x v="0"/>
  </r>
  <r>
    <x v="454"/>
    <x v="18"/>
    <x v="0"/>
    <n v="39"/>
    <x v="0"/>
    <n v="3"/>
    <n v="51327"/>
    <n v="3"/>
    <x v="9"/>
    <n v="3"/>
    <n v="97"/>
    <s v="Bangalore"/>
    <x v="0"/>
  </r>
  <r>
    <x v="455"/>
    <x v="11"/>
    <x v="2"/>
    <n v="38"/>
    <x v="0"/>
    <n v="14"/>
    <n v="49731"/>
    <n v="3"/>
    <x v="0"/>
    <n v="2"/>
    <n v="89"/>
    <s v="Hyderabad"/>
    <x v="1"/>
  </r>
  <r>
    <x v="456"/>
    <x v="15"/>
    <x v="1"/>
    <n v="22"/>
    <x v="0"/>
    <n v="7"/>
    <n v="49753"/>
    <n v="7"/>
    <x v="3"/>
    <n v="5"/>
    <n v="92"/>
    <s v="Delhi"/>
    <x v="0"/>
  </r>
  <r>
    <x v="457"/>
    <x v="7"/>
    <x v="3"/>
    <n v="31"/>
    <x v="0"/>
    <n v="13"/>
    <n v="49757"/>
    <n v="9"/>
    <x v="12"/>
    <n v="2"/>
    <n v="87"/>
    <s v="Chennai"/>
    <x v="1"/>
  </r>
  <r>
    <x v="458"/>
    <x v="19"/>
    <x v="0"/>
    <n v="40"/>
    <x v="0"/>
    <n v="3"/>
    <n v="71868"/>
    <n v="5"/>
    <x v="13"/>
    <n v="2"/>
    <n v="88"/>
    <s v="Chennai"/>
    <x v="1"/>
  </r>
  <r>
    <x v="459"/>
    <x v="18"/>
    <x v="1"/>
    <n v="39"/>
    <x v="0"/>
    <n v="14"/>
    <n v="49969"/>
    <n v="10"/>
    <x v="13"/>
    <n v="1"/>
    <n v="94"/>
    <s v="Pune"/>
    <x v="0"/>
  </r>
  <r>
    <x v="460"/>
    <x v="2"/>
    <x v="2"/>
    <n v="22"/>
    <x v="0"/>
    <n v="12"/>
    <n v="49985"/>
    <n v="5"/>
    <x v="10"/>
    <n v="2"/>
    <n v="85"/>
    <s v="Pune"/>
    <x v="1"/>
  </r>
  <r>
    <x v="461"/>
    <x v="10"/>
    <x v="1"/>
    <n v="34"/>
    <x v="0"/>
    <n v="3"/>
    <n v="48449"/>
    <n v="6"/>
    <x v="10"/>
    <n v="1"/>
    <n v="95"/>
    <s v="Chennai"/>
    <x v="0"/>
  </r>
  <r>
    <x v="462"/>
    <x v="15"/>
    <x v="2"/>
    <n v="30"/>
    <x v="1"/>
    <n v="12"/>
    <n v="50030"/>
    <n v="9"/>
    <x v="2"/>
    <n v="1"/>
    <n v="94"/>
    <s v="Hyderabad"/>
    <x v="0"/>
  </r>
  <r>
    <x v="463"/>
    <x v="17"/>
    <x v="1"/>
    <n v="39"/>
    <x v="1"/>
    <n v="10"/>
    <n v="50032"/>
    <n v="14"/>
    <x v="13"/>
    <n v="2"/>
    <n v="88"/>
    <s v="Hyderabad"/>
    <x v="1"/>
  </r>
  <r>
    <x v="464"/>
    <x v="2"/>
    <x v="3"/>
    <n v="39"/>
    <x v="0"/>
    <n v="8"/>
    <n v="50036"/>
    <n v="12"/>
    <x v="2"/>
    <n v="4"/>
    <n v="87"/>
    <s v="Pune"/>
    <x v="1"/>
  </r>
  <r>
    <x v="465"/>
    <x v="15"/>
    <x v="0"/>
    <n v="29"/>
    <x v="0"/>
    <n v="7"/>
    <n v="50092"/>
    <n v="14"/>
    <x v="9"/>
    <n v="4"/>
    <n v="100"/>
    <s v="Chennai"/>
    <x v="0"/>
  </r>
  <r>
    <x v="466"/>
    <x v="7"/>
    <x v="3"/>
    <n v="24"/>
    <x v="1"/>
    <n v="13"/>
    <n v="50111"/>
    <n v="15"/>
    <x v="12"/>
    <n v="1"/>
    <n v="88"/>
    <s v="Chennai"/>
    <x v="1"/>
  </r>
  <r>
    <x v="467"/>
    <x v="6"/>
    <x v="0"/>
    <n v="30"/>
    <x v="0"/>
    <n v="5"/>
    <n v="50118"/>
    <n v="13"/>
    <x v="6"/>
    <n v="1"/>
    <n v="91"/>
    <s v="Delhi"/>
    <x v="0"/>
  </r>
  <r>
    <x v="468"/>
    <x v="10"/>
    <x v="2"/>
    <n v="39"/>
    <x v="1"/>
    <n v="7"/>
    <n v="50193"/>
    <n v="9"/>
    <x v="15"/>
    <n v="1"/>
    <n v="96"/>
    <s v="Pune"/>
    <x v="0"/>
  </r>
  <r>
    <x v="469"/>
    <x v="9"/>
    <x v="3"/>
    <n v="24"/>
    <x v="0"/>
    <n v="5"/>
    <n v="50265"/>
    <n v="9"/>
    <x v="6"/>
    <n v="5"/>
    <n v="93"/>
    <s v="Pune"/>
    <x v="0"/>
  </r>
  <r>
    <x v="470"/>
    <x v="13"/>
    <x v="3"/>
    <n v="28"/>
    <x v="1"/>
    <n v="3"/>
    <n v="28485"/>
    <n v="3"/>
    <x v="5"/>
    <n v="4"/>
    <n v="91"/>
    <s v="Bangalore"/>
    <x v="0"/>
  </r>
  <r>
    <x v="471"/>
    <x v="15"/>
    <x v="1"/>
    <n v="31"/>
    <x v="1"/>
    <n v="10"/>
    <n v="50363"/>
    <n v="15"/>
    <x v="3"/>
    <n v="3"/>
    <n v="99"/>
    <s v="Mumbai"/>
    <x v="0"/>
  </r>
  <r>
    <x v="472"/>
    <x v="7"/>
    <x v="3"/>
    <n v="28"/>
    <x v="0"/>
    <n v="3"/>
    <n v="28307"/>
    <n v="8"/>
    <x v="6"/>
    <n v="3"/>
    <n v="91"/>
    <s v="Delhi"/>
    <x v="0"/>
  </r>
  <r>
    <x v="473"/>
    <x v="1"/>
    <x v="3"/>
    <n v="37"/>
    <x v="0"/>
    <n v="4"/>
    <n v="39334"/>
    <n v="13"/>
    <x v="3"/>
    <n v="5"/>
    <n v="93"/>
    <s v="Hyderabad"/>
    <x v="0"/>
  </r>
  <r>
    <x v="474"/>
    <x v="10"/>
    <x v="3"/>
    <n v="32"/>
    <x v="0"/>
    <n v="13"/>
    <n v="50387"/>
    <n v="7"/>
    <x v="14"/>
    <n v="4"/>
    <n v="89"/>
    <s v="Mumbai"/>
    <x v="1"/>
  </r>
  <r>
    <x v="475"/>
    <x v="0"/>
    <x v="0"/>
    <n v="27"/>
    <x v="1"/>
    <n v="11"/>
    <n v="50498"/>
    <n v="9"/>
    <x v="4"/>
    <n v="4"/>
    <n v="85"/>
    <s v="Hyderabad"/>
    <x v="1"/>
  </r>
  <r>
    <x v="476"/>
    <x v="19"/>
    <x v="1"/>
    <n v="37"/>
    <x v="0"/>
    <n v="6"/>
    <n v="50504"/>
    <n v="10"/>
    <x v="2"/>
    <n v="1"/>
    <n v="99"/>
    <s v="Delhi"/>
    <x v="0"/>
  </r>
  <r>
    <x v="477"/>
    <x v="4"/>
    <x v="2"/>
    <n v="40"/>
    <x v="0"/>
    <n v="13"/>
    <n v="50507"/>
    <n v="13"/>
    <x v="14"/>
    <n v="4"/>
    <n v="85"/>
    <s v="Mumbai"/>
    <x v="1"/>
  </r>
  <r>
    <x v="478"/>
    <x v="13"/>
    <x v="1"/>
    <n v="38"/>
    <x v="1"/>
    <n v="8"/>
    <n v="50527"/>
    <n v="14"/>
    <x v="15"/>
    <n v="3"/>
    <n v="94"/>
    <s v="Mumbai"/>
    <x v="0"/>
  </r>
  <r>
    <x v="479"/>
    <x v="10"/>
    <x v="2"/>
    <n v="35"/>
    <x v="1"/>
    <n v="13"/>
    <n v="50592"/>
    <n v="12"/>
    <x v="11"/>
    <n v="4"/>
    <n v="89"/>
    <s v="Pune"/>
    <x v="1"/>
  </r>
  <r>
    <x v="480"/>
    <x v="0"/>
    <x v="0"/>
    <n v="23"/>
    <x v="1"/>
    <n v="6"/>
    <n v="50611"/>
    <n v="10"/>
    <x v="1"/>
    <n v="1"/>
    <n v="85"/>
    <s v="Delhi"/>
    <x v="1"/>
  </r>
  <r>
    <x v="481"/>
    <x v="3"/>
    <x v="2"/>
    <n v="31"/>
    <x v="1"/>
    <n v="6"/>
    <n v="50711"/>
    <n v="3"/>
    <x v="8"/>
    <n v="2"/>
    <n v="95"/>
    <s v="Hyderabad"/>
    <x v="0"/>
  </r>
  <r>
    <x v="482"/>
    <x v="8"/>
    <x v="3"/>
    <n v="27"/>
    <x v="0"/>
    <n v="7"/>
    <n v="50714"/>
    <n v="8"/>
    <x v="11"/>
    <n v="3"/>
    <n v="86"/>
    <s v="Pune"/>
    <x v="1"/>
  </r>
  <r>
    <x v="483"/>
    <x v="12"/>
    <x v="1"/>
    <n v="35"/>
    <x v="1"/>
    <n v="12"/>
    <n v="50779"/>
    <n v="4"/>
    <x v="10"/>
    <n v="4"/>
    <n v="99"/>
    <s v="Delhi"/>
    <x v="0"/>
  </r>
  <r>
    <x v="484"/>
    <x v="3"/>
    <x v="1"/>
    <n v="40"/>
    <x v="0"/>
    <n v="5"/>
    <n v="50849"/>
    <n v="5"/>
    <x v="1"/>
    <n v="3"/>
    <n v="90"/>
    <s v="Mumbai"/>
    <x v="0"/>
  </r>
  <r>
    <x v="485"/>
    <x v="17"/>
    <x v="2"/>
    <n v="25"/>
    <x v="0"/>
    <n v="1"/>
    <n v="60500"/>
    <n v="8"/>
    <x v="10"/>
    <n v="5"/>
    <n v="92"/>
    <s v="Mumbai"/>
    <x v="0"/>
  </r>
  <r>
    <x v="486"/>
    <x v="15"/>
    <x v="1"/>
    <n v="22"/>
    <x v="0"/>
    <n v="2"/>
    <n v="55104"/>
    <n v="13"/>
    <x v="12"/>
    <n v="2"/>
    <n v="91"/>
    <s v="Delhi"/>
    <x v="0"/>
  </r>
  <r>
    <x v="487"/>
    <x v="8"/>
    <x v="1"/>
    <n v="25"/>
    <x v="0"/>
    <n v="13"/>
    <n v="50968"/>
    <n v="12"/>
    <x v="11"/>
    <n v="3"/>
    <n v="98"/>
    <s v="Chennai"/>
    <x v="0"/>
  </r>
  <r>
    <x v="488"/>
    <x v="2"/>
    <x v="1"/>
    <n v="40"/>
    <x v="0"/>
    <n v="2"/>
    <n v="56295"/>
    <n v="9"/>
    <x v="15"/>
    <n v="5"/>
    <n v="97"/>
    <s v="Delhi"/>
    <x v="0"/>
  </r>
  <r>
    <x v="489"/>
    <x v="2"/>
    <x v="0"/>
    <n v="27"/>
    <x v="1"/>
    <n v="2"/>
    <n v="29743"/>
    <n v="6"/>
    <x v="2"/>
    <n v="2"/>
    <n v="92"/>
    <s v="Hyderabad"/>
    <x v="0"/>
  </r>
  <r>
    <x v="490"/>
    <x v="15"/>
    <x v="1"/>
    <n v="38"/>
    <x v="0"/>
    <n v="12"/>
    <n v="51087"/>
    <n v="3"/>
    <x v="11"/>
    <n v="5"/>
    <n v="99"/>
    <s v="Delhi"/>
    <x v="0"/>
  </r>
  <r>
    <x v="491"/>
    <x v="15"/>
    <x v="1"/>
    <n v="33"/>
    <x v="0"/>
    <n v="15"/>
    <n v="51226"/>
    <n v="15"/>
    <x v="6"/>
    <n v="3"/>
    <n v="99"/>
    <s v="Pune"/>
    <x v="0"/>
  </r>
  <r>
    <x v="492"/>
    <x v="19"/>
    <x v="2"/>
    <n v="26"/>
    <x v="0"/>
    <n v="2"/>
    <n v="46424"/>
    <n v="3"/>
    <x v="4"/>
    <n v="4"/>
    <n v="89"/>
    <s v="Mumbai"/>
    <x v="1"/>
  </r>
  <r>
    <x v="493"/>
    <x v="10"/>
    <x v="1"/>
    <n v="36"/>
    <x v="0"/>
    <n v="2"/>
    <n v="62610"/>
    <n v="3"/>
    <x v="8"/>
    <n v="2"/>
    <n v="88"/>
    <s v="Delhi"/>
    <x v="1"/>
  </r>
  <r>
    <x v="494"/>
    <x v="9"/>
    <x v="0"/>
    <n v="26"/>
    <x v="1"/>
    <n v="7"/>
    <n v="51259"/>
    <n v="6"/>
    <x v="1"/>
    <n v="5"/>
    <n v="91"/>
    <s v="Chennai"/>
    <x v="0"/>
  </r>
  <r>
    <x v="495"/>
    <x v="10"/>
    <x v="0"/>
    <n v="36"/>
    <x v="0"/>
    <n v="12"/>
    <n v="51269"/>
    <n v="5"/>
    <x v="12"/>
    <n v="1"/>
    <n v="91"/>
    <s v="Mumbai"/>
    <x v="0"/>
  </r>
  <r>
    <x v="496"/>
    <x v="19"/>
    <x v="3"/>
    <n v="35"/>
    <x v="0"/>
    <n v="7"/>
    <n v="51309"/>
    <n v="11"/>
    <x v="3"/>
    <n v="2"/>
    <n v="85"/>
    <s v="Bangalore"/>
    <x v="1"/>
  </r>
  <r>
    <x v="497"/>
    <x v="6"/>
    <x v="1"/>
    <n v="33"/>
    <x v="1"/>
    <n v="7"/>
    <n v="51353"/>
    <n v="10"/>
    <x v="6"/>
    <n v="2"/>
    <n v="96"/>
    <s v="Chennai"/>
    <x v="0"/>
  </r>
  <r>
    <x v="498"/>
    <x v="3"/>
    <x v="3"/>
    <n v="24"/>
    <x v="0"/>
    <n v="10"/>
    <n v="51438"/>
    <n v="13"/>
    <x v="4"/>
    <n v="5"/>
    <n v="89"/>
    <s v="Chennai"/>
    <x v="1"/>
  </r>
  <r>
    <x v="499"/>
    <x v="10"/>
    <x v="0"/>
    <n v="39"/>
    <x v="1"/>
    <n v="15"/>
    <n v="51488"/>
    <n v="9"/>
    <x v="7"/>
    <n v="1"/>
    <n v="88"/>
    <s v="Chennai"/>
    <x v="1"/>
  </r>
  <r>
    <x v="500"/>
    <x v="17"/>
    <x v="3"/>
    <n v="30"/>
    <x v="1"/>
    <n v="5"/>
    <n v="51571"/>
    <n v="4"/>
    <x v="12"/>
    <n v="3"/>
    <n v="88"/>
    <s v="Bangalore"/>
    <x v="1"/>
  </r>
  <r>
    <x v="501"/>
    <x v="18"/>
    <x v="1"/>
    <n v="24"/>
    <x v="0"/>
    <n v="10"/>
    <n v="51584"/>
    <n v="15"/>
    <x v="14"/>
    <n v="4"/>
    <n v="86"/>
    <s v="Pune"/>
    <x v="1"/>
  </r>
  <r>
    <x v="502"/>
    <x v="19"/>
    <x v="0"/>
    <n v="32"/>
    <x v="0"/>
    <n v="7"/>
    <n v="51630"/>
    <n v="15"/>
    <x v="6"/>
    <n v="3"/>
    <n v="85"/>
    <s v="Pune"/>
    <x v="1"/>
  </r>
  <r>
    <x v="503"/>
    <x v="16"/>
    <x v="3"/>
    <n v="39"/>
    <x v="1"/>
    <n v="5"/>
    <n v="51728"/>
    <n v="14"/>
    <x v="6"/>
    <n v="3"/>
    <n v="91"/>
    <s v="Bangalore"/>
    <x v="0"/>
  </r>
  <r>
    <x v="504"/>
    <x v="1"/>
    <x v="2"/>
    <n v="31"/>
    <x v="0"/>
    <n v="9"/>
    <n v="51740"/>
    <n v="15"/>
    <x v="1"/>
    <n v="5"/>
    <n v="89"/>
    <s v="Mumbai"/>
    <x v="1"/>
  </r>
  <r>
    <x v="505"/>
    <x v="1"/>
    <x v="2"/>
    <n v="23"/>
    <x v="1"/>
    <n v="5"/>
    <n v="51900"/>
    <n v="3"/>
    <x v="12"/>
    <n v="4"/>
    <n v="96"/>
    <s v="Pune"/>
    <x v="0"/>
  </r>
  <r>
    <x v="506"/>
    <x v="13"/>
    <x v="0"/>
    <n v="30"/>
    <x v="0"/>
    <n v="6"/>
    <n v="51986"/>
    <n v="14"/>
    <x v="6"/>
    <n v="1"/>
    <n v="100"/>
    <s v="Mumbai"/>
    <x v="0"/>
  </r>
  <r>
    <x v="507"/>
    <x v="9"/>
    <x v="3"/>
    <n v="28"/>
    <x v="1"/>
    <n v="15"/>
    <n v="52074"/>
    <n v="6"/>
    <x v="6"/>
    <n v="4"/>
    <n v="87"/>
    <s v="Pune"/>
    <x v="1"/>
  </r>
  <r>
    <x v="508"/>
    <x v="13"/>
    <x v="1"/>
    <n v="34"/>
    <x v="0"/>
    <n v="13"/>
    <n v="52079"/>
    <n v="9"/>
    <x v="14"/>
    <n v="5"/>
    <n v="99"/>
    <s v="Bangalore"/>
    <x v="0"/>
  </r>
  <r>
    <x v="509"/>
    <x v="1"/>
    <x v="1"/>
    <n v="33"/>
    <x v="0"/>
    <n v="15"/>
    <n v="52092"/>
    <n v="12"/>
    <x v="10"/>
    <n v="2"/>
    <n v="90"/>
    <s v="Pune"/>
    <x v="0"/>
  </r>
  <r>
    <x v="510"/>
    <x v="12"/>
    <x v="2"/>
    <n v="31"/>
    <x v="0"/>
    <n v="1"/>
    <n v="30374"/>
    <n v="9"/>
    <x v="10"/>
    <n v="4"/>
    <n v="92"/>
    <s v="Mumbai"/>
    <x v="0"/>
  </r>
  <r>
    <x v="511"/>
    <x v="9"/>
    <x v="2"/>
    <n v="35"/>
    <x v="0"/>
    <n v="10"/>
    <n v="52130"/>
    <n v="9"/>
    <x v="7"/>
    <n v="1"/>
    <n v="94"/>
    <s v="Mumbai"/>
    <x v="0"/>
  </r>
  <r>
    <x v="512"/>
    <x v="7"/>
    <x v="2"/>
    <n v="35"/>
    <x v="0"/>
    <n v="9"/>
    <n v="52185"/>
    <n v="10"/>
    <x v="6"/>
    <n v="4"/>
    <n v="92"/>
    <s v="Chennai"/>
    <x v="0"/>
  </r>
  <r>
    <x v="513"/>
    <x v="9"/>
    <x v="3"/>
    <n v="29"/>
    <x v="0"/>
    <n v="4"/>
    <n v="30761"/>
    <n v="13"/>
    <x v="8"/>
    <n v="3"/>
    <n v="86"/>
    <s v="Bangalore"/>
    <x v="1"/>
  </r>
  <r>
    <x v="514"/>
    <x v="12"/>
    <x v="0"/>
    <n v="24"/>
    <x v="0"/>
    <n v="6"/>
    <n v="52290"/>
    <n v="3"/>
    <x v="8"/>
    <n v="3"/>
    <n v="89"/>
    <s v="Chennai"/>
    <x v="1"/>
  </r>
  <r>
    <x v="515"/>
    <x v="3"/>
    <x v="3"/>
    <n v="25"/>
    <x v="1"/>
    <n v="15"/>
    <n v="52308"/>
    <n v="12"/>
    <x v="15"/>
    <n v="5"/>
    <n v="90"/>
    <s v="Bangalore"/>
    <x v="0"/>
  </r>
  <r>
    <x v="516"/>
    <x v="4"/>
    <x v="0"/>
    <n v="30"/>
    <x v="1"/>
    <n v="6"/>
    <n v="52334"/>
    <n v="4"/>
    <x v="5"/>
    <n v="3"/>
    <n v="88"/>
    <s v="Pune"/>
    <x v="1"/>
  </r>
  <r>
    <x v="517"/>
    <x v="11"/>
    <x v="3"/>
    <n v="23"/>
    <x v="0"/>
    <n v="6"/>
    <n v="52431"/>
    <n v="6"/>
    <x v="14"/>
    <n v="5"/>
    <n v="100"/>
    <s v="Mumbai"/>
    <x v="0"/>
  </r>
  <r>
    <x v="518"/>
    <x v="11"/>
    <x v="3"/>
    <n v="35"/>
    <x v="0"/>
    <n v="14"/>
    <n v="52496"/>
    <n v="8"/>
    <x v="15"/>
    <n v="5"/>
    <n v="97"/>
    <s v="Hyderabad"/>
    <x v="0"/>
  </r>
  <r>
    <x v="519"/>
    <x v="5"/>
    <x v="2"/>
    <n v="31"/>
    <x v="0"/>
    <n v="15"/>
    <n v="52538"/>
    <n v="6"/>
    <x v="11"/>
    <n v="5"/>
    <n v="86"/>
    <s v="Pune"/>
    <x v="1"/>
  </r>
  <r>
    <x v="520"/>
    <x v="19"/>
    <x v="2"/>
    <n v="28"/>
    <x v="1"/>
    <n v="11"/>
    <n v="52581"/>
    <n v="3"/>
    <x v="1"/>
    <n v="3"/>
    <n v="100"/>
    <s v="Delhi"/>
    <x v="0"/>
  </r>
  <r>
    <x v="521"/>
    <x v="2"/>
    <x v="2"/>
    <n v="33"/>
    <x v="0"/>
    <n v="8"/>
    <n v="52648"/>
    <n v="9"/>
    <x v="0"/>
    <n v="3"/>
    <n v="94"/>
    <s v="Pune"/>
    <x v="0"/>
  </r>
  <r>
    <x v="522"/>
    <x v="1"/>
    <x v="0"/>
    <n v="31"/>
    <x v="0"/>
    <n v="4"/>
    <n v="69364"/>
    <n v="12"/>
    <x v="14"/>
    <n v="5"/>
    <n v="94"/>
    <s v="Delhi"/>
    <x v="0"/>
  </r>
  <r>
    <x v="523"/>
    <x v="4"/>
    <x v="2"/>
    <n v="33"/>
    <x v="1"/>
    <n v="3"/>
    <n v="68178"/>
    <n v="12"/>
    <x v="10"/>
    <n v="2"/>
    <n v="91"/>
    <s v="Pune"/>
    <x v="0"/>
  </r>
  <r>
    <x v="524"/>
    <x v="19"/>
    <x v="2"/>
    <n v="34"/>
    <x v="1"/>
    <n v="12"/>
    <n v="52685"/>
    <n v="14"/>
    <x v="3"/>
    <n v="5"/>
    <n v="93"/>
    <s v="Chennai"/>
    <x v="0"/>
  </r>
  <r>
    <x v="525"/>
    <x v="8"/>
    <x v="1"/>
    <n v="22"/>
    <x v="1"/>
    <n v="15"/>
    <n v="52695"/>
    <n v="14"/>
    <x v="8"/>
    <n v="1"/>
    <n v="96"/>
    <s v="Delhi"/>
    <x v="0"/>
  </r>
  <r>
    <x v="526"/>
    <x v="8"/>
    <x v="0"/>
    <n v="36"/>
    <x v="1"/>
    <n v="14"/>
    <n v="52708"/>
    <n v="8"/>
    <x v="11"/>
    <n v="2"/>
    <n v="89"/>
    <s v="Delhi"/>
    <x v="1"/>
  </r>
  <r>
    <x v="527"/>
    <x v="0"/>
    <x v="1"/>
    <n v="37"/>
    <x v="0"/>
    <n v="14"/>
    <n v="52763"/>
    <n v="4"/>
    <x v="3"/>
    <n v="1"/>
    <n v="94"/>
    <s v="Hyderabad"/>
    <x v="0"/>
  </r>
  <r>
    <x v="528"/>
    <x v="16"/>
    <x v="0"/>
    <n v="39"/>
    <x v="1"/>
    <n v="4"/>
    <n v="64942"/>
    <n v="12"/>
    <x v="15"/>
    <n v="3"/>
    <n v="94"/>
    <s v="Bangalore"/>
    <x v="0"/>
  </r>
  <r>
    <x v="529"/>
    <x v="10"/>
    <x v="1"/>
    <n v="28"/>
    <x v="0"/>
    <n v="1"/>
    <n v="49651"/>
    <n v="6"/>
    <x v="12"/>
    <n v="2"/>
    <n v="95"/>
    <s v="Delhi"/>
    <x v="0"/>
  </r>
  <r>
    <x v="530"/>
    <x v="18"/>
    <x v="0"/>
    <n v="26"/>
    <x v="0"/>
    <n v="2"/>
    <n v="48042"/>
    <n v="14"/>
    <x v="3"/>
    <n v="2"/>
    <n v="96"/>
    <s v="Pune"/>
    <x v="0"/>
  </r>
  <r>
    <x v="531"/>
    <x v="1"/>
    <x v="2"/>
    <n v="33"/>
    <x v="0"/>
    <n v="13"/>
    <n v="52816"/>
    <n v="10"/>
    <x v="5"/>
    <n v="4"/>
    <n v="85"/>
    <s v="Hyderabad"/>
    <x v="1"/>
  </r>
  <r>
    <x v="532"/>
    <x v="4"/>
    <x v="2"/>
    <n v="39"/>
    <x v="0"/>
    <n v="14"/>
    <n v="52857"/>
    <n v="9"/>
    <x v="5"/>
    <n v="5"/>
    <n v="93"/>
    <s v="Mumbai"/>
    <x v="0"/>
  </r>
  <r>
    <x v="533"/>
    <x v="3"/>
    <x v="3"/>
    <n v="28"/>
    <x v="0"/>
    <n v="11"/>
    <n v="52868"/>
    <n v="4"/>
    <x v="0"/>
    <n v="1"/>
    <n v="88"/>
    <s v="Pune"/>
    <x v="1"/>
  </r>
  <r>
    <x v="534"/>
    <x v="19"/>
    <x v="3"/>
    <n v="30"/>
    <x v="1"/>
    <n v="4"/>
    <n v="77846"/>
    <n v="11"/>
    <x v="6"/>
    <n v="3"/>
    <n v="92"/>
    <s v="Chennai"/>
    <x v="0"/>
  </r>
  <r>
    <x v="535"/>
    <x v="15"/>
    <x v="2"/>
    <n v="22"/>
    <x v="1"/>
    <n v="13"/>
    <n v="53047"/>
    <n v="14"/>
    <x v="3"/>
    <n v="5"/>
    <n v="85"/>
    <s v="Mumbai"/>
    <x v="1"/>
  </r>
  <r>
    <x v="536"/>
    <x v="3"/>
    <x v="2"/>
    <n v="30"/>
    <x v="0"/>
    <n v="4"/>
    <n v="62805"/>
    <n v="15"/>
    <x v="12"/>
    <n v="2"/>
    <n v="93"/>
    <s v="Chennai"/>
    <x v="0"/>
  </r>
  <r>
    <x v="537"/>
    <x v="10"/>
    <x v="1"/>
    <n v="33"/>
    <x v="1"/>
    <n v="5"/>
    <n v="53049"/>
    <n v="15"/>
    <x v="15"/>
    <n v="3"/>
    <n v="89"/>
    <s v="Bangalore"/>
    <x v="1"/>
  </r>
  <r>
    <x v="538"/>
    <x v="11"/>
    <x v="2"/>
    <n v="25"/>
    <x v="0"/>
    <n v="10"/>
    <n v="53098"/>
    <n v="15"/>
    <x v="1"/>
    <n v="4"/>
    <n v="85"/>
    <s v="Pune"/>
    <x v="1"/>
  </r>
  <r>
    <x v="539"/>
    <x v="10"/>
    <x v="3"/>
    <n v="32"/>
    <x v="1"/>
    <n v="7"/>
    <n v="53244"/>
    <n v="9"/>
    <x v="8"/>
    <n v="3"/>
    <n v="88"/>
    <s v="Chennai"/>
    <x v="1"/>
  </r>
  <r>
    <x v="540"/>
    <x v="16"/>
    <x v="3"/>
    <n v="35"/>
    <x v="0"/>
    <n v="11"/>
    <n v="53316"/>
    <n v="8"/>
    <x v="2"/>
    <n v="5"/>
    <n v="97"/>
    <s v="Mumbai"/>
    <x v="0"/>
  </r>
  <r>
    <x v="541"/>
    <x v="18"/>
    <x v="3"/>
    <n v="31"/>
    <x v="0"/>
    <n v="13"/>
    <n v="53453"/>
    <n v="9"/>
    <x v="11"/>
    <n v="1"/>
    <n v="100"/>
    <s v="Mumbai"/>
    <x v="0"/>
  </r>
  <r>
    <x v="542"/>
    <x v="7"/>
    <x v="1"/>
    <n v="29"/>
    <x v="1"/>
    <n v="2"/>
    <n v="77066"/>
    <n v="5"/>
    <x v="5"/>
    <n v="1"/>
    <n v="99"/>
    <s v="Delhi"/>
    <x v="0"/>
  </r>
  <r>
    <x v="543"/>
    <x v="6"/>
    <x v="1"/>
    <n v="22"/>
    <x v="1"/>
    <n v="12"/>
    <n v="53454"/>
    <n v="8"/>
    <x v="9"/>
    <n v="3"/>
    <n v="85"/>
    <s v="Chennai"/>
    <x v="1"/>
  </r>
  <r>
    <x v="544"/>
    <x v="9"/>
    <x v="0"/>
    <n v="25"/>
    <x v="0"/>
    <n v="2"/>
    <n v="66424"/>
    <n v="6"/>
    <x v="15"/>
    <n v="5"/>
    <n v="91"/>
    <s v="Pune"/>
    <x v="0"/>
  </r>
  <r>
    <x v="545"/>
    <x v="12"/>
    <x v="1"/>
    <n v="25"/>
    <x v="0"/>
    <n v="4"/>
    <n v="44139"/>
    <n v="14"/>
    <x v="10"/>
    <n v="5"/>
    <n v="89"/>
    <s v="Delhi"/>
    <x v="1"/>
  </r>
  <r>
    <x v="546"/>
    <x v="12"/>
    <x v="0"/>
    <n v="23"/>
    <x v="1"/>
    <n v="5"/>
    <n v="53855"/>
    <n v="10"/>
    <x v="8"/>
    <n v="1"/>
    <n v="88"/>
    <s v="Delhi"/>
    <x v="1"/>
  </r>
  <r>
    <x v="547"/>
    <x v="7"/>
    <x v="3"/>
    <n v="33"/>
    <x v="0"/>
    <n v="5"/>
    <n v="53985"/>
    <n v="15"/>
    <x v="0"/>
    <n v="2"/>
    <n v="85"/>
    <s v="Delhi"/>
    <x v="1"/>
  </r>
  <r>
    <x v="548"/>
    <x v="1"/>
    <x v="3"/>
    <n v="23"/>
    <x v="0"/>
    <n v="12"/>
    <n v="54057"/>
    <n v="10"/>
    <x v="12"/>
    <n v="2"/>
    <n v="85"/>
    <s v="Bangalore"/>
    <x v="1"/>
  </r>
  <r>
    <x v="549"/>
    <x v="16"/>
    <x v="2"/>
    <n v="34"/>
    <x v="1"/>
    <n v="10"/>
    <n v="54085"/>
    <n v="14"/>
    <x v="7"/>
    <n v="2"/>
    <n v="86"/>
    <s v="Chennai"/>
    <x v="1"/>
  </r>
  <r>
    <x v="550"/>
    <x v="8"/>
    <x v="2"/>
    <n v="33"/>
    <x v="0"/>
    <n v="8"/>
    <n v="54136"/>
    <n v="5"/>
    <x v="6"/>
    <n v="1"/>
    <n v="85"/>
    <s v="Hyderabad"/>
    <x v="1"/>
  </r>
  <r>
    <x v="551"/>
    <x v="6"/>
    <x v="2"/>
    <n v="38"/>
    <x v="0"/>
    <n v="1"/>
    <n v="31910"/>
    <n v="12"/>
    <x v="13"/>
    <n v="1"/>
    <n v="98"/>
    <s v="Delhi"/>
    <x v="0"/>
  </r>
  <r>
    <x v="552"/>
    <x v="8"/>
    <x v="2"/>
    <n v="37"/>
    <x v="0"/>
    <n v="8"/>
    <n v="54449"/>
    <n v="8"/>
    <x v="4"/>
    <n v="2"/>
    <n v="89"/>
    <s v="Delhi"/>
    <x v="1"/>
  </r>
  <r>
    <x v="553"/>
    <x v="6"/>
    <x v="0"/>
    <n v="30"/>
    <x v="1"/>
    <n v="3"/>
    <n v="58426"/>
    <n v="6"/>
    <x v="9"/>
    <n v="1"/>
    <n v="85"/>
    <s v="Bangalore"/>
    <x v="1"/>
  </r>
  <r>
    <x v="554"/>
    <x v="14"/>
    <x v="3"/>
    <n v="39"/>
    <x v="0"/>
    <n v="9"/>
    <n v="54495"/>
    <n v="12"/>
    <x v="3"/>
    <n v="3"/>
    <n v="90"/>
    <s v="Mumbai"/>
    <x v="0"/>
  </r>
  <r>
    <x v="555"/>
    <x v="8"/>
    <x v="1"/>
    <n v="37"/>
    <x v="0"/>
    <n v="10"/>
    <n v="54611"/>
    <n v="7"/>
    <x v="2"/>
    <n v="5"/>
    <n v="95"/>
    <s v="Hyderabad"/>
    <x v="0"/>
  </r>
  <r>
    <x v="556"/>
    <x v="11"/>
    <x v="1"/>
    <n v="38"/>
    <x v="1"/>
    <n v="7"/>
    <n v="54630"/>
    <n v="15"/>
    <x v="0"/>
    <n v="4"/>
    <n v="85"/>
    <s v="Bangalore"/>
    <x v="1"/>
  </r>
  <r>
    <x v="557"/>
    <x v="16"/>
    <x v="3"/>
    <n v="27"/>
    <x v="1"/>
    <n v="6"/>
    <n v="54654"/>
    <n v="9"/>
    <x v="7"/>
    <n v="2"/>
    <n v="98"/>
    <s v="Bangalore"/>
    <x v="0"/>
  </r>
  <r>
    <x v="558"/>
    <x v="9"/>
    <x v="0"/>
    <n v="38"/>
    <x v="0"/>
    <n v="6"/>
    <n v="54672"/>
    <n v="7"/>
    <x v="6"/>
    <n v="1"/>
    <n v="87"/>
    <s v="Chennai"/>
    <x v="1"/>
  </r>
  <r>
    <x v="559"/>
    <x v="4"/>
    <x v="0"/>
    <n v="30"/>
    <x v="0"/>
    <n v="8"/>
    <n v="54721"/>
    <n v="5"/>
    <x v="9"/>
    <n v="1"/>
    <n v="89"/>
    <s v="Pune"/>
    <x v="1"/>
  </r>
  <r>
    <x v="560"/>
    <x v="8"/>
    <x v="0"/>
    <n v="25"/>
    <x v="0"/>
    <n v="8"/>
    <n v="54822"/>
    <n v="5"/>
    <x v="7"/>
    <n v="2"/>
    <n v="92"/>
    <s v="Chennai"/>
    <x v="0"/>
  </r>
  <r>
    <x v="561"/>
    <x v="15"/>
    <x v="3"/>
    <n v="28"/>
    <x v="1"/>
    <n v="5"/>
    <n v="54843"/>
    <n v="8"/>
    <x v="14"/>
    <n v="1"/>
    <n v="100"/>
    <s v="Chennai"/>
    <x v="0"/>
  </r>
  <r>
    <x v="562"/>
    <x v="16"/>
    <x v="0"/>
    <n v="23"/>
    <x v="1"/>
    <n v="7"/>
    <n v="54945"/>
    <n v="3"/>
    <x v="7"/>
    <n v="4"/>
    <n v="90"/>
    <s v="Mumbai"/>
    <x v="0"/>
  </r>
  <r>
    <x v="563"/>
    <x v="18"/>
    <x v="2"/>
    <n v="40"/>
    <x v="1"/>
    <n v="10"/>
    <n v="55023"/>
    <n v="14"/>
    <x v="0"/>
    <n v="5"/>
    <n v="95"/>
    <s v="Bangalore"/>
    <x v="0"/>
  </r>
  <r>
    <x v="564"/>
    <x v="3"/>
    <x v="0"/>
    <n v="38"/>
    <x v="0"/>
    <n v="3"/>
    <n v="51572"/>
    <n v="6"/>
    <x v="8"/>
    <n v="4"/>
    <n v="99"/>
    <s v="Chennai"/>
    <x v="0"/>
  </r>
  <r>
    <x v="565"/>
    <x v="15"/>
    <x v="1"/>
    <n v="32"/>
    <x v="0"/>
    <n v="10"/>
    <n v="55119"/>
    <n v="6"/>
    <x v="1"/>
    <n v="3"/>
    <n v="99"/>
    <s v="Chennai"/>
    <x v="0"/>
  </r>
  <r>
    <x v="566"/>
    <x v="4"/>
    <x v="2"/>
    <n v="24"/>
    <x v="0"/>
    <n v="7"/>
    <n v="55142"/>
    <n v="9"/>
    <x v="9"/>
    <n v="2"/>
    <n v="97"/>
    <s v="Delhi"/>
    <x v="0"/>
  </r>
  <r>
    <x v="567"/>
    <x v="5"/>
    <x v="2"/>
    <n v="27"/>
    <x v="1"/>
    <n v="9"/>
    <n v="55207"/>
    <n v="3"/>
    <x v="12"/>
    <n v="2"/>
    <n v="99"/>
    <s v="Bangalore"/>
    <x v="0"/>
  </r>
  <r>
    <x v="568"/>
    <x v="1"/>
    <x v="2"/>
    <n v="31"/>
    <x v="0"/>
    <n v="4"/>
    <n v="43779"/>
    <n v="15"/>
    <x v="4"/>
    <n v="1"/>
    <n v="90"/>
    <s v="Chennai"/>
    <x v="0"/>
  </r>
  <r>
    <x v="569"/>
    <x v="8"/>
    <x v="3"/>
    <n v="29"/>
    <x v="0"/>
    <n v="1"/>
    <n v="41921"/>
    <n v="9"/>
    <x v="9"/>
    <n v="5"/>
    <n v="92"/>
    <s v="Bangalore"/>
    <x v="0"/>
  </r>
  <r>
    <x v="570"/>
    <x v="5"/>
    <x v="0"/>
    <n v="35"/>
    <x v="1"/>
    <n v="12"/>
    <n v="55273"/>
    <n v="14"/>
    <x v="13"/>
    <n v="1"/>
    <n v="98"/>
    <s v="Hyderabad"/>
    <x v="0"/>
  </r>
  <r>
    <x v="571"/>
    <x v="10"/>
    <x v="0"/>
    <n v="38"/>
    <x v="1"/>
    <n v="3"/>
    <n v="34896"/>
    <n v="5"/>
    <x v="5"/>
    <n v="1"/>
    <n v="100"/>
    <s v="Chennai"/>
    <x v="0"/>
  </r>
  <r>
    <x v="572"/>
    <x v="16"/>
    <x v="1"/>
    <n v="37"/>
    <x v="0"/>
    <n v="12"/>
    <n v="55287"/>
    <n v="5"/>
    <x v="3"/>
    <n v="5"/>
    <n v="85"/>
    <s v="Chennai"/>
    <x v="1"/>
  </r>
  <r>
    <x v="573"/>
    <x v="5"/>
    <x v="1"/>
    <n v="37"/>
    <x v="0"/>
    <n v="12"/>
    <n v="55382"/>
    <n v="4"/>
    <x v="9"/>
    <n v="2"/>
    <n v="91"/>
    <s v="Delhi"/>
    <x v="0"/>
  </r>
  <r>
    <x v="574"/>
    <x v="19"/>
    <x v="2"/>
    <n v="26"/>
    <x v="1"/>
    <n v="3"/>
    <n v="58756"/>
    <n v="3"/>
    <x v="10"/>
    <n v="1"/>
    <n v="93"/>
    <s v="Bangalore"/>
    <x v="0"/>
  </r>
  <r>
    <x v="575"/>
    <x v="10"/>
    <x v="1"/>
    <n v="31"/>
    <x v="0"/>
    <n v="7"/>
    <n v="55410"/>
    <n v="3"/>
    <x v="8"/>
    <n v="1"/>
    <n v="98"/>
    <s v="Hyderabad"/>
    <x v="0"/>
  </r>
  <r>
    <x v="576"/>
    <x v="19"/>
    <x v="2"/>
    <n v="23"/>
    <x v="0"/>
    <n v="7"/>
    <n v="55413"/>
    <n v="12"/>
    <x v="7"/>
    <n v="5"/>
    <n v="100"/>
    <s v="Delhi"/>
    <x v="0"/>
  </r>
  <r>
    <x v="577"/>
    <x v="17"/>
    <x v="1"/>
    <n v="40"/>
    <x v="1"/>
    <n v="3"/>
    <n v="46506"/>
    <n v="6"/>
    <x v="4"/>
    <n v="1"/>
    <n v="100"/>
    <s v="Bangalore"/>
    <x v="0"/>
  </r>
  <r>
    <x v="578"/>
    <x v="14"/>
    <x v="0"/>
    <n v="38"/>
    <x v="1"/>
    <n v="13"/>
    <n v="55439"/>
    <n v="6"/>
    <x v="14"/>
    <n v="5"/>
    <n v="98"/>
    <s v="Hyderabad"/>
    <x v="0"/>
  </r>
  <r>
    <x v="579"/>
    <x v="5"/>
    <x v="2"/>
    <n v="38"/>
    <x v="1"/>
    <n v="9"/>
    <n v="55487"/>
    <n v="8"/>
    <x v="11"/>
    <n v="3"/>
    <n v="96"/>
    <s v="Mumbai"/>
    <x v="0"/>
  </r>
  <r>
    <x v="580"/>
    <x v="12"/>
    <x v="3"/>
    <n v="36"/>
    <x v="1"/>
    <n v="15"/>
    <n v="55514"/>
    <n v="3"/>
    <x v="4"/>
    <n v="3"/>
    <n v="100"/>
    <s v="Bangalore"/>
    <x v="0"/>
  </r>
  <r>
    <x v="581"/>
    <x v="10"/>
    <x v="1"/>
    <n v="35"/>
    <x v="0"/>
    <n v="12"/>
    <n v="55540"/>
    <n v="7"/>
    <x v="3"/>
    <n v="2"/>
    <n v="88"/>
    <s v="Pune"/>
    <x v="1"/>
  </r>
  <r>
    <x v="582"/>
    <x v="5"/>
    <x v="0"/>
    <n v="40"/>
    <x v="1"/>
    <n v="6"/>
    <n v="55610"/>
    <n v="10"/>
    <x v="12"/>
    <n v="1"/>
    <n v="90"/>
    <s v="Mumbai"/>
    <x v="0"/>
  </r>
  <r>
    <x v="583"/>
    <x v="9"/>
    <x v="0"/>
    <n v="32"/>
    <x v="1"/>
    <n v="2"/>
    <n v="74105"/>
    <n v="12"/>
    <x v="1"/>
    <n v="2"/>
    <n v="97"/>
    <s v="Delhi"/>
    <x v="0"/>
  </r>
  <r>
    <x v="584"/>
    <x v="19"/>
    <x v="1"/>
    <n v="29"/>
    <x v="0"/>
    <n v="4"/>
    <n v="43096"/>
    <n v="10"/>
    <x v="8"/>
    <n v="5"/>
    <n v="90"/>
    <s v="Hyderabad"/>
    <x v="0"/>
  </r>
  <r>
    <x v="585"/>
    <x v="16"/>
    <x v="0"/>
    <n v="33"/>
    <x v="0"/>
    <n v="10"/>
    <n v="55647"/>
    <n v="15"/>
    <x v="1"/>
    <n v="2"/>
    <n v="100"/>
    <s v="Hyderabad"/>
    <x v="0"/>
  </r>
  <r>
    <x v="586"/>
    <x v="15"/>
    <x v="2"/>
    <n v="32"/>
    <x v="0"/>
    <n v="6"/>
    <n v="55647"/>
    <n v="13"/>
    <x v="12"/>
    <n v="5"/>
    <n v="94"/>
    <s v="Bangalore"/>
    <x v="0"/>
  </r>
  <r>
    <x v="587"/>
    <x v="16"/>
    <x v="1"/>
    <n v="27"/>
    <x v="0"/>
    <n v="10"/>
    <n v="55668"/>
    <n v="6"/>
    <x v="8"/>
    <n v="2"/>
    <n v="98"/>
    <s v="Delhi"/>
    <x v="0"/>
  </r>
  <r>
    <x v="588"/>
    <x v="12"/>
    <x v="0"/>
    <n v="35"/>
    <x v="1"/>
    <n v="4"/>
    <n v="51421"/>
    <n v="10"/>
    <x v="8"/>
    <n v="3"/>
    <n v="96"/>
    <s v="Mumbai"/>
    <x v="0"/>
  </r>
  <r>
    <x v="589"/>
    <x v="3"/>
    <x v="3"/>
    <n v="26"/>
    <x v="1"/>
    <n v="13"/>
    <n v="55717"/>
    <n v="14"/>
    <x v="11"/>
    <n v="4"/>
    <n v="87"/>
    <s v="Pune"/>
    <x v="1"/>
  </r>
  <r>
    <x v="590"/>
    <x v="3"/>
    <x v="2"/>
    <n v="33"/>
    <x v="0"/>
    <n v="12"/>
    <n v="55753"/>
    <n v="4"/>
    <x v="11"/>
    <n v="2"/>
    <n v="90"/>
    <s v="Mumbai"/>
    <x v="0"/>
  </r>
  <r>
    <x v="591"/>
    <x v="7"/>
    <x v="3"/>
    <n v="37"/>
    <x v="0"/>
    <n v="1"/>
    <n v="47113"/>
    <n v="4"/>
    <x v="12"/>
    <n v="2"/>
    <n v="99"/>
    <s v="Mumbai"/>
    <x v="0"/>
  </r>
  <r>
    <x v="592"/>
    <x v="12"/>
    <x v="2"/>
    <n v="25"/>
    <x v="0"/>
    <n v="7"/>
    <n v="55753"/>
    <n v="6"/>
    <x v="3"/>
    <n v="1"/>
    <n v="96"/>
    <s v="Chennai"/>
    <x v="0"/>
  </r>
  <r>
    <x v="593"/>
    <x v="19"/>
    <x v="1"/>
    <n v="31"/>
    <x v="1"/>
    <n v="4"/>
    <n v="49119"/>
    <n v="11"/>
    <x v="2"/>
    <n v="2"/>
    <n v="90"/>
    <s v="Hyderabad"/>
    <x v="0"/>
  </r>
  <r>
    <x v="594"/>
    <x v="3"/>
    <x v="2"/>
    <n v="29"/>
    <x v="1"/>
    <n v="3"/>
    <n v="27788"/>
    <n v="12"/>
    <x v="13"/>
    <n v="3"/>
    <n v="88"/>
    <s v="Bangalore"/>
    <x v="1"/>
  </r>
  <r>
    <x v="595"/>
    <x v="4"/>
    <x v="3"/>
    <n v="39"/>
    <x v="0"/>
    <n v="9"/>
    <n v="55784"/>
    <n v="13"/>
    <x v="3"/>
    <n v="5"/>
    <n v="85"/>
    <s v="Hyderabad"/>
    <x v="1"/>
  </r>
  <r>
    <x v="596"/>
    <x v="11"/>
    <x v="3"/>
    <n v="26"/>
    <x v="1"/>
    <n v="12"/>
    <n v="55889"/>
    <n v="12"/>
    <x v="9"/>
    <n v="3"/>
    <n v="95"/>
    <s v="Mumbai"/>
    <x v="0"/>
  </r>
  <r>
    <x v="597"/>
    <x v="2"/>
    <x v="1"/>
    <n v="40"/>
    <x v="0"/>
    <n v="11"/>
    <n v="55919"/>
    <n v="5"/>
    <x v="7"/>
    <n v="5"/>
    <n v="92"/>
    <s v="Bangalore"/>
    <x v="0"/>
  </r>
  <r>
    <x v="598"/>
    <x v="12"/>
    <x v="1"/>
    <n v="30"/>
    <x v="1"/>
    <n v="1"/>
    <n v="28491"/>
    <n v="10"/>
    <x v="5"/>
    <n v="1"/>
    <n v="86"/>
    <s v="Mumbai"/>
    <x v="1"/>
  </r>
  <r>
    <x v="599"/>
    <x v="9"/>
    <x v="2"/>
    <n v="39"/>
    <x v="1"/>
    <n v="15"/>
    <n v="55974"/>
    <n v="6"/>
    <x v="13"/>
    <n v="3"/>
    <n v="89"/>
    <s v="Mumbai"/>
    <x v="1"/>
  </r>
  <r>
    <x v="600"/>
    <x v="18"/>
    <x v="0"/>
    <n v="36"/>
    <x v="1"/>
    <n v="1"/>
    <n v="75488"/>
    <n v="8"/>
    <x v="7"/>
    <n v="3"/>
    <n v="87"/>
    <s v="Chennai"/>
    <x v="1"/>
  </r>
  <r>
    <x v="601"/>
    <x v="10"/>
    <x v="2"/>
    <n v="34"/>
    <x v="1"/>
    <n v="10"/>
    <n v="56170"/>
    <n v="12"/>
    <x v="15"/>
    <n v="3"/>
    <n v="89"/>
    <s v="Delhi"/>
    <x v="1"/>
  </r>
  <r>
    <x v="602"/>
    <x v="3"/>
    <x v="1"/>
    <n v="35"/>
    <x v="1"/>
    <n v="14"/>
    <n v="56191"/>
    <n v="9"/>
    <x v="8"/>
    <n v="1"/>
    <n v="93"/>
    <s v="Pune"/>
    <x v="0"/>
  </r>
  <r>
    <x v="603"/>
    <x v="19"/>
    <x v="0"/>
    <n v="37"/>
    <x v="0"/>
    <n v="12"/>
    <n v="56352"/>
    <n v="15"/>
    <x v="5"/>
    <n v="1"/>
    <n v="90"/>
    <s v="Delhi"/>
    <x v="0"/>
  </r>
  <r>
    <x v="604"/>
    <x v="12"/>
    <x v="0"/>
    <n v="29"/>
    <x v="0"/>
    <n v="9"/>
    <n v="56505"/>
    <n v="8"/>
    <x v="10"/>
    <n v="1"/>
    <n v="95"/>
    <s v="Bangalore"/>
    <x v="0"/>
  </r>
  <r>
    <x v="605"/>
    <x v="8"/>
    <x v="3"/>
    <n v="27"/>
    <x v="1"/>
    <n v="5"/>
    <n v="56535"/>
    <n v="5"/>
    <x v="10"/>
    <n v="4"/>
    <n v="95"/>
    <s v="Hyderabad"/>
    <x v="0"/>
  </r>
  <r>
    <x v="606"/>
    <x v="8"/>
    <x v="3"/>
    <n v="37"/>
    <x v="0"/>
    <n v="10"/>
    <n v="56540"/>
    <n v="5"/>
    <x v="15"/>
    <n v="3"/>
    <n v="86"/>
    <s v="Hyderabad"/>
    <x v="1"/>
  </r>
  <r>
    <x v="607"/>
    <x v="5"/>
    <x v="0"/>
    <n v="26"/>
    <x v="0"/>
    <n v="13"/>
    <n v="56603"/>
    <n v="5"/>
    <x v="4"/>
    <n v="3"/>
    <n v="91"/>
    <s v="Delhi"/>
    <x v="0"/>
  </r>
  <r>
    <x v="608"/>
    <x v="17"/>
    <x v="2"/>
    <n v="38"/>
    <x v="0"/>
    <n v="15"/>
    <n v="56625"/>
    <n v="11"/>
    <x v="13"/>
    <n v="4"/>
    <n v="100"/>
    <s v="Mumbai"/>
    <x v="0"/>
  </r>
  <r>
    <x v="609"/>
    <x v="10"/>
    <x v="0"/>
    <n v="24"/>
    <x v="1"/>
    <n v="11"/>
    <n v="56689"/>
    <n v="7"/>
    <x v="7"/>
    <n v="2"/>
    <n v="96"/>
    <s v="Delhi"/>
    <x v="0"/>
  </r>
  <r>
    <x v="610"/>
    <x v="1"/>
    <x v="2"/>
    <n v="25"/>
    <x v="0"/>
    <n v="8"/>
    <n v="56769"/>
    <n v="14"/>
    <x v="6"/>
    <n v="4"/>
    <n v="89"/>
    <s v="Delhi"/>
    <x v="1"/>
  </r>
  <r>
    <x v="611"/>
    <x v="6"/>
    <x v="2"/>
    <n v="36"/>
    <x v="1"/>
    <n v="10"/>
    <n v="56872"/>
    <n v="8"/>
    <x v="4"/>
    <n v="2"/>
    <n v="85"/>
    <s v="Hyderabad"/>
    <x v="1"/>
  </r>
  <r>
    <x v="612"/>
    <x v="6"/>
    <x v="1"/>
    <n v="33"/>
    <x v="0"/>
    <n v="7"/>
    <n v="56888"/>
    <n v="12"/>
    <x v="1"/>
    <n v="5"/>
    <n v="98"/>
    <s v="Bangalore"/>
    <x v="0"/>
  </r>
  <r>
    <x v="613"/>
    <x v="2"/>
    <x v="0"/>
    <n v="26"/>
    <x v="1"/>
    <n v="5"/>
    <n v="56972"/>
    <n v="13"/>
    <x v="10"/>
    <n v="2"/>
    <n v="89"/>
    <s v="Bangalore"/>
    <x v="1"/>
  </r>
  <r>
    <x v="614"/>
    <x v="10"/>
    <x v="2"/>
    <n v="30"/>
    <x v="0"/>
    <n v="6"/>
    <n v="56977"/>
    <n v="11"/>
    <x v="8"/>
    <n v="3"/>
    <n v="95"/>
    <s v="Mumbai"/>
    <x v="0"/>
  </r>
  <r>
    <x v="615"/>
    <x v="17"/>
    <x v="2"/>
    <n v="32"/>
    <x v="1"/>
    <n v="7"/>
    <n v="57164"/>
    <n v="5"/>
    <x v="1"/>
    <n v="1"/>
    <n v="94"/>
    <s v="Delhi"/>
    <x v="0"/>
  </r>
  <r>
    <x v="616"/>
    <x v="12"/>
    <x v="2"/>
    <n v="33"/>
    <x v="1"/>
    <n v="14"/>
    <n v="57267"/>
    <n v="9"/>
    <x v="9"/>
    <n v="5"/>
    <n v="96"/>
    <s v="Bangalore"/>
    <x v="0"/>
  </r>
  <r>
    <x v="617"/>
    <x v="13"/>
    <x v="3"/>
    <n v="40"/>
    <x v="0"/>
    <n v="11"/>
    <n v="57298"/>
    <n v="8"/>
    <x v="5"/>
    <n v="3"/>
    <n v="85"/>
    <s v="Chennai"/>
    <x v="1"/>
  </r>
  <r>
    <x v="618"/>
    <x v="1"/>
    <x v="1"/>
    <n v="24"/>
    <x v="1"/>
    <n v="10"/>
    <n v="57445"/>
    <n v="13"/>
    <x v="2"/>
    <n v="5"/>
    <n v="95"/>
    <s v="Bangalore"/>
    <x v="0"/>
  </r>
  <r>
    <x v="619"/>
    <x v="11"/>
    <x v="0"/>
    <n v="22"/>
    <x v="0"/>
    <n v="8"/>
    <n v="57478"/>
    <n v="7"/>
    <x v="1"/>
    <n v="4"/>
    <n v="88"/>
    <s v="Chennai"/>
    <x v="1"/>
  </r>
  <r>
    <x v="620"/>
    <x v="14"/>
    <x v="1"/>
    <n v="36"/>
    <x v="0"/>
    <n v="8"/>
    <n v="57510"/>
    <n v="8"/>
    <x v="7"/>
    <n v="4"/>
    <n v="97"/>
    <s v="Mumbai"/>
    <x v="0"/>
  </r>
  <r>
    <x v="621"/>
    <x v="3"/>
    <x v="2"/>
    <n v="35"/>
    <x v="1"/>
    <n v="10"/>
    <n v="57547"/>
    <n v="8"/>
    <x v="8"/>
    <n v="5"/>
    <n v="97"/>
    <s v="Hyderabad"/>
    <x v="0"/>
  </r>
  <r>
    <x v="622"/>
    <x v="6"/>
    <x v="2"/>
    <n v="36"/>
    <x v="0"/>
    <n v="15"/>
    <n v="57642"/>
    <n v="13"/>
    <x v="12"/>
    <n v="5"/>
    <n v="93"/>
    <s v="Mumbai"/>
    <x v="0"/>
  </r>
  <r>
    <x v="623"/>
    <x v="2"/>
    <x v="2"/>
    <n v="26"/>
    <x v="1"/>
    <n v="11"/>
    <n v="57734"/>
    <n v="5"/>
    <x v="3"/>
    <n v="3"/>
    <n v="90"/>
    <s v="Delhi"/>
    <x v="0"/>
  </r>
  <r>
    <x v="624"/>
    <x v="2"/>
    <x v="2"/>
    <n v="22"/>
    <x v="0"/>
    <n v="6"/>
    <n v="57781"/>
    <n v="11"/>
    <x v="0"/>
    <n v="5"/>
    <n v="99"/>
    <s v="Delhi"/>
    <x v="0"/>
  </r>
  <r>
    <x v="625"/>
    <x v="19"/>
    <x v="3"/>
    <n v="28"/>
    <x v="0"/>
    <n v="13"/>
    <n v="57958"/>
    <n v="5"/>
    <x v="1"/>
    <n v="4"/>
    <n v="94"/>
    <s v="Pune"/>
    <x v="0"/>
  </r>
  <r>
    <x v="626"/>
    <x v="1"/>
    <x v="3"/>
    <n v="27"/>
    <x v="1"/>
    <n v="11"/>
    <n v="57960"/>
    <n v="13"/>
    <x v="2"/>
    <n v="1"/>
    <n v="95"/>
    <s v="Hyderabad"/>
    <x v="0"/>
  </r>
  <r>
    <x v="627"/>
    <x v="4"/>
    <x v="0"/>
    <n v="26"/>
    <x v="0"/>
    <n v="2"/>
    <n v="50872"/>
    <n v="15"/>
    <x v="15"/>
    <n v="2"/>
    <n v="98"/>
    <s v="Mumbai"/>
    <x v="0"/>
  </r>
  <r>
    <x v="628"/>
    <x v="15"/>
    <x v="3"/>
    <n v="23"/>
    <x v="0"/>
    <n v="2"/>
    <n v="73954"/>
    <n v="9"/>
    <x v="13"/>
    <n v="3"/>
    <n v="100"/>
    <s v="Hyderabad"/>
    <x v="0"/>
  </r>
  <r>
    <x v="629"/>
    <x v="7"/>
    <x v="2"/>
    <n v="40"/>
    <x v="0"/>
    <n v="10"/>
    <n v="57993"/>
    <n v="13"/>
    <x v="10"/>
    <n v="4"/>
    <n v="96"/>
    <s v="Mumbai"/>
    <x v="0"/>
  </r>
  <r>
    <x v="630"/>
    <x v="3"/>
    <x v="2"/>
    <n v="37"/>
    <x v="1"/>
    <n v="9"/>
    <n v="58112"/>
    <n v="14"/>
    <x v="1"/>
    <n v="1"/>
    <n v="90"/>
    <s v="Chennai"/>
    <x v="0"/>
  </r>
  <r>
    <x v="631"/>
    <x v="15"/>
    <x v="2"/>
    <n v="24"/>
    <x v="0"/>
    <n v="10"/>
    <n v="58118"/>
    <n v="11"/>
    <x v="0"/>
    <n v="2"/>
    <n v="89"/>
    <s v="Hyderabad"/>
    <x v="1"/>
  </r>
  <r>
    <x v="632"/>
    <x v="8"/>
    <x v="0"/>
    <n v="40"/>
    <x v="0"/>
    <n v="9"/>
    <n v="58225"/>
    <n v="3"/>
    <x v="12"/>
    <n v="2"/>
    <n v="88"/>
    <s v="Hyderabad"/>
    <x v="1"/>
  </r>
  <r>
    <x v="633"/>
    <x v="5"/>
    <x v="2"/>
    <n v="33"/>
    <x v="1"/>
    <n v="13"/>
    <n v="58452"/>
    <n v="5"/>
    <x v="3"/>
    <n v="1"/>
    <n v="90"/>
    <s v="Mumbai"/>
    <x v="0"/>
  </r>
  <r>
    <x v="634"/>
    <x v="17"/>
    <x v="2"/>
    <n v="25"/>
    <x v="0"/>
    <n v="11"/>
    <n v="58690"/>
    <n v="5"/>
    <x v="0"/>
    <n v="4"/>
    <n v="92"/>
    <s v="Bangalore"/>
    <x v="0"/>
  </r>
  <r>
    <x v="635"/>
    <x v="19"/>
    <x v="3"/>
    <n v="32"/>
    <x v="1"/>
    <n v="6"/>
    <n v="58694"/>
    <n v="13"/>
    <x v="0"/>
    <n v="3"/>
    <n v="98"/>
    <s v="Delhi"/>
    <x v="0"/>
  </r>
  <r>
    <x v="636"/>
    <x v="3"/>
    <x v="3"/>
    <n v="32"/>
    <x v="0"/>
    <n v="13"/>
    <n v="58740"/>
    <n v="7"/>
    <x v="14"/>
    <n v="2"/>
    <n v="95"/>
    <s v="Pune"/>
    <x v="0"/>
  </r>
  <r>
    <x v="637"/>
    <x v="13"/>
    <x v="3"/>
    <n v="28"/>
    <x v="0"/>
    <n v="6"/>
    <n v="58872"/>
    <n v="13"/>
    <x v="8"/>
    <n v="3"/>
    <n v="99"/>
    <s v="Bangalore"/>
    <x v="0"/>
  </r>
  <r>
    <x v="638"/>
    <x v="10"/>
    <x v="3"/>
    <n v="28"/>
    <x v="1"/>
    <n v="12"/>
    <n v="58874"/>
    <n v="13"/>
    <x v="12"/>
    <n v="2"/>
    <n v="99"/>
    <s v="Chennai"/>
    <x v="0"/>
  </r>
  <r>
    <x v="639"/>
    <x v="12"/>
    <x v="3"/>
    <n v="23"/>
    <x v="1"/>
    <n v="15"/>
    <n v="58893"/>
    <n v="8"/>
    <x v="8"/>
    <n v="2"/>
    <n v="90"/>
    <s v="Mumbai"/>
    <x v="0"/>
  </r>
  <r>
    <x v="640"/>
    <x v="18"/>
    <x v="3"/>
    <n v="26"/>
    <x v="1"/>
    <n v="11"/>
    <n v="58930"/>
    <n v="5"/>
    <x v="14"/>
    <n v="2"/>
    <n v="92"/>
    <s v="Delhi"/>
    <x v="0"/>
  </r>
  <r>
    <x v="641"/>
    <x v="7"/>
    <x v="0"/>
    <n v="39"/>
    <x v="0"/>
    <n v="6"/>
    <n v="58953"/>
    <n v="5"/>
    <x v="15"/>
    <n v="2"/>
    <n v="97"/>
    <s v="Pune"/>
    <x v="0"/>
  </r>
  <r>
    <x v="642"/>
    <x v="3"/>
    <x v="3"/>
    <n v="34"/>
    <x v="1"/>
    <n v="6"/>
    <n v="58956"/>
    <n v="3"/>
    <x v="3"/>
    <n v="4"/>
    <n v="91"/>
    <s v="Pune"/>
    <x v="0"/>
  </r>
  <r>
    <x v="643"/>
    <x v="6"/>
    <x v="0"/>
    <n v="39"/>
    <x v="1"/>
    <n v="15"/>
    <n v="59000"/>
    <n v="12"/>
    <x v="8"/>
    <n v="5"/>
    <n v="97"/>
    <s v="Pune"/>
    <x v="0"/>
  </r>
  <r>
    <x v="644"/>
    <x v="19"/>
    <x v="1"/>
    <n v="37"/>
    <x v="1"/>
    <n v="13"/>
    <n v="59079"/>
    <n v="15"/>
    <x v="1"/>
    <n v="5"/>
    <n v="92"/>
    <s v="Chennai"/>
    <x v="0"/>
  </r>
  <r>
    <x v="645"/>
    <x v="0"/>
    <x v="2"/>
    <n v="23"/>
    <x v="1"/>
    <n v="4"/>
    <n v="25075"/>
    <n v="10"/>
    <x v="8"/>
    <n v="3"/>
    <n v="96"/>
    <s v="Bangalore"/>
    <x v="0"/>
  </r>
  <r>
    <x v="646"/>
    <x v="10"/>
    <x v="2"/>
    <n v="27"/>
    <x v="1"/>
    <n v="2"/>
    <n v="31057"/>
    <n v="3"/>
    <x v="14"/>
    <n v="2"/>
    <n v="96"/>
    <s v="Hyderabad"/>
    <x v="0"/>
  </r>
  <r>
    <x v="647"/>
    <x v="2"/>
    <x v="1"/>
    <n v="27"/>
    <x v="0"/>
    <n v="13"/>
    <n v="59222"/>
    <n v="7"/>
    <x v="12"/>
    <n v="3"/>
    <n v="88"/>
    <s v="Bangalore"/>
    <x v="1"/>
  </r>
  <r>
    <x v="648"/>
    <x v="10"/>
    <x v="0"/>
    <n v="25"/>
    <x v="1"/>
    <n v="4"/>
    <n v="61121"/>
    <n v="10"/>
    <x v="6"/>
    <n v="5"/>
    <n v="85"/>
    <s v="Bangalore"/>
    <x v="1"/>
  </r>
  <r>
    <x v="649"/>
    <x v="16"/>
    <x v="0"/>
    <n v="39"/>
    <x v="0"/>
    <n v="4"/>
    <n v="67849"/>
    <n v="6"/>
    <x v="10"/>
    <n v="4"/>
    <n v="90"/>
    <s v="Mumbai"/>
    <x v="0"/>
  </r>
  <r>
    <x v="650"/>
    <x v="0"/>
    <x v="3"/>
    <n v="34"/>
    <x v="1"/>
    <n v="5"/>
    <n v="59266"/>
    <n v="15"/>
    <x v="1"/>
    <n v="5"/>
    <n v="93"/>
    <s v="Pune"/>
    <x v="0"/>
  </r>
  <r>
    <x v="651"/>
    <x v="11"/>
    <x v="1"/>
    <n v="25"/>
    <x v="1"/>
    <n v="14"/>
    <n v="59355"/>
    <n v="12"/>
    <x v="5"/>
    <n v="1"/>
    <n v="97"/>
    <s v="Hyderabad"/>
    <x v="0"/>
  </r>
  <r>
    <x v="652"/>
    <x v="4"/>
    <x v="0"/>
    <n v="28"/>
    <x v="0"/>
    <n v="11"/>
    <n v="59465"/>
    <n v="7"/>
    <x v="11"/>
    <n v="1"/>
    <n v="100"/>
    <s v="Mumbai"/>
    <x v="0"/>
  </r>
  <r>
    <x v="653"/>
    <x v="4"/>
    <x v="0"/>
    <n v="26"/>
    <x v="1"/>
    <n v="12"/>
    <n v="59495"/>
    <n v="13"/>
    <x v="6"/>
    <n v="5"/>
    <n v="98"/>
    <s v="Delhi"/>
    <x v="0"/>
  </r>
  <r>
    <x v="654"/>
    <x v="16"/>
    <x v="2"/>
    <n v="34"/>
    <x v="1"/>
    <n v="8"/>
    <n v="59582"/>
    <n v="13"/>
    <x v="8"/>
    <n v="5"/>
    <n v="99"/>
    <s v="Hyderabad"/>
    <x v="0"/>
  </r>
  <r>
    <x v="655"/>
    <x v="0"/>
    <x v="3"/>
    <n v="38"/>
    <x v="1"/>
    <n v="10"/>
    <n v="59673"/>
    <n v="9"/>
    <x v="11"/>
    <n v="5"/>
    <n v="95"/>
    <s v="Chennai"/>
    <x v="0"/>
  </r>
  <r>
    <x v="656"/>
    <x v="7"/>
    <x v="3"/>
    <n v="36"/>
    <x v="1"/>
    <n v="9"/>
    <n v="59729"/>
    <n v="3"/>
    <x v="13"/>
    <n v="3"/>
    <n v="86"/>
    <s v="Chennai"/>
    <x v="1"/>
  </r>
  <r>
    <x v="657"/>
    <x v="4"/>
    <x v="1"/>
    <n v="33"/>
    <x v="1"/>
    <n v="11"/>
    <n v="59755"/>
    <n v="3"/>
    <x v="7"/>
    <n v="5"/>
    <n v="92"/>
    <s v="Chennai"/>
    <x v="0"/>
  </r>
  <r>
    <x v="658"/>
    <x v="18"/>
    <x v="3"/>
    <n v="27"/>
    <x v="1"/>
    <n v="7"/>
    <n v="59942"/>
    <n v="13"/>
    <x v="2"/>
    <n v="2"/>
    <n v="90"/>
    <s v="Mumbai"/>
    <x v="0"/>
  </r>
  <r>
    <x v="659"/>
    <x v="14"/>
    <x v="3"/>
    <n v="28"/>
    <x v="1"/>
    <n v="5"/>
    <n v="60090"/>
    <n v="13"/>
    <x v="14"/>
    <n v="5"/>
    <n v="93"/>
    <s v="Chennai"/>
    <x v="0"/>
  </r>
  <r>
    <x v="660"/>
    <x v="17"/>
    <x v="2"/>
    <n v="33"/>
    <x v="0"/>
    <n v="2"/>
    <n v="53672"/>
    <n v="13"/>
    <x v="8"/>
    <n v="3"/>
    <n v="87"/>
    <s v="Bangalore"/>
    <x v="1"/>
  </r>
  <r>
    <x v="661"/>
    <x v="11"/>
    <x v="2"/>
    <n v="36"/>
    <x v="1"/>
    <n v="2"/>
    <n v="65925"/>
    <n v="12"/>
    <x v="6"/>
    <n v="4"/>
    <n v="92"/>
    <s v="Pune"/>
    <x v="0"/>
  </r>
  <r>
    <x v="662"/>
    <x v="14"/>
    <x v="0"/>
    <n v="40"/>
    <x v="1"/>
    <n v="15"/>
    <n v="60169"/>
    <n v="10"/>
    <x v="4"/>
    <n v="3"/>
    <n v="89"/>
    <s v="Hyderabad"/>
    <x v="1"/>
  </r>
  <r>
    <x v="663"/>
    <x v="13"/>
    <x v="3"/>
    <n v="39"/>
    <x v="0"/>
    <n v="6"/>
    <n v="60185"/>
    <n v="15"/>
    <x v="11"/>
    <n v="3"/>
    <n v="86"/>
    <s v="Delhi"/>
    <x v="1"/>
  </r>
  <r>
    <x v="664"/>
    <x v="12"/>
    <x v="2"/>
    <n v="30"/>
    <x v="1"/>
    <n v="15"/>
    <n v="60197"/>
    <n v="9"/>
    <x v="11"/>
    <n v="5"/>
    <n v="96"/>
    <s v="Bangalore"/>
    <x v="0"/>
  </r>
  <r>
    <x v="665"/>
    <x v="14"/>
    <x v="3"/>
    <n v="27"/>
    <x v="1"/>
    <n v="13"/>
    <n v="60204"/>
    <n v="15"/>
    <x v="15"/>
    <n v="1"/>
    <n v="91"/>
    <s v="Delhi"/>
    <x v="0"/>
  </r>
  <r>
    <x v="666"/>
    <x v="11"/>
    <x v="0"/>
    <n v="26"/>
    <x v="0"/>
    <n v="13"/>
    <n v="60238"/>
    <n v="15"/>
    <x v="15"/>
    <n v="3"/>
    <n v="94"/>
    <s v="Mumbai"/>
    <x v="0"/>
  </r>
  <r>
    <x v="667"/>
    <x v="18"/>
    <x v="1"/>
    <n v="26"/>
    <x v="1"/>
    <n v="5"/>
    <n v="60301"/>
    <n v="12"/>
    <x v="5"/>
    <n v="5"/>
    <n v="94"/>
    <s v="Hyderabad"/>
    <x v="0"/>
  </r>
  <r>
    <x v="668"/>
    <x v="4"/>
    <x v="3"/>
    <n v="28"/>
    <x v="1"/>
    <n v="12"/>
    <n v="60304"/>
    <n v="15"/>
    <x v="6"/>
    <n v="2"/>
    <n v="97"/>
    <s v="Pune"/>
    <x v="0"/>
  </r>
  <r>
    <x v="669"/>
    <x v="9"/>
    <x v="3"/>
    <n v="27"/>
    <x v="1"/>
    <n v="12"/>
    <n v="60342"/>
    <n v="8"/>
    <x v="10"/>
    <n v="4"/>
    <n v="95"/>
    <s v="Delhi"/>
    <x v="0"/>
  </r>
  <r>
    <x v="670"/>
    <x v="13"/>
    <x v="0"/>
    <n v="24"/>
    <x v="0"/>
    <n v="7"/>
    <n v="60513"/>
    <n v="8"/>
    <x v="13"/>
    <n v="1"/>
    <n v="91"/>
    <s v="Mumbai"/>
    <x v="0"/>
  </r>
  <r>
    <x v="671"/>
    <x v="17"/>
    <x v="0"/>
    <n v="22"/>
    <x v="1"/>
    <n v="14"/>
    <n v="60700"/>
    <n v="9"/>
    <x v="5"/>
    <n v="3"/>
    <n v="99"/>
    <s v="Mumbai"/>
    <x v="0"/>
  </r>
  <r>
    <x v="672"/>
    <x v="10"/>
    <x v="3"/>
    <n v="22"/>
    <x v="1"/>
    <n v="15"/>
    <n v="60768"/>
    <n v="3"/>
    <x v="13"/>
    <n v="4"/>
    <n v="92"/>
    <s v="Pune"/>
    <x v="0"/>
  </r>
  <r>
    <x v="673"/>
    <x v="18"/>
    <x v="3"/>
    <n v="33"/>
    <x v="1"/>
    <n v="3"/>
    <n v="63638"/>
    <n v="13"/>
    <x v="2"/>
    <n v="2"/>
    <n v="93"/>
    <s v="Pune"/>
    <x v="0"/>
  </r>
  <r>
    <x v="674"/>
    <x v="16"/>
    <x v="2"/>
    <n v="33"/>
    <x v="0"/>
    <n v="9"/>
    <n v="60842"/>
    <n v="5"/>
    <x v="5"/>
    <n v="2"/>
    <n v="87"/>
    <s v="Chennai"/>
    <x v="1"/>
  </r>
  <r>
    <x v="675"/>
    <x v="4"/>
    <x v="2"/>
    <n v="34"/>
    <x v="0"/>
    <n v="1"/>
    <n v="79818"/>
    <n v="6"/>
    <x v="11"/>
    <n v="5"/>
    <n v="92"/>
    <s v="Hyderabad"/>
    <x v="0"/>
  </r>
  <r>
    <x v="676"/>
    <x v="17"/>
    <x v="0"/>
    <n v="28"/>
    <x v="1"/>
    <n v="4"/>
    <n v="58269"/>
    <n v="12"/>
    <x v="5"/>
    <n v="1"/>
    <n v="88"/>
    <s v="Chennai"/>
    <x v="1"/>
  </r>
  <r>
    <x v="677"/>
    <x v="8"/>
    <x v="3"/>
    <n v="22"/>
    <x v="1"/>
    <n v="14"/>
    <n v="60946"/>
    <n v="9"/>
    <x v="1"/>
    <n v="5"/>
    <n v="93"/>
    <s v="Pune"/>
    <x v="0"/>
  </r>
  <r>
    <x v="678"/>
    <x v="3"/>
    <x v="0"/>
    <n v="31"/>
    <x v="1"/>
    <n v="9"/>
    <n v="60967"/>
    <n v="9"/>
    <x v="10"/>
    <n v="5"/>
    <n v="100"/>
    <s v="Hyderabad"/>
    <x v="0"/>
  </r>
  <r>
    <x v="679"/>
    <x v="17"/>
    <x v="3"/>
    <n v="23"/>
    <x v="0"/>
    <n v="12"/>
    <n v="61225"/>
    <n v="13"/>
    <x v="4"/>
    <n v="5"/>
    <n v="86"/>
    <s v="Delhi"/>
    <x v="1"/>
  </r>
  <r>
    <x v="680"/>
    <x v="1"/>
    <x v="3"/>
    <n v="33"/>
    <x v="0"/>
    <n v="1"/>
    <n v="60040"/>
    <n v="6"/>
    <x v="11"/>
    <n v="5"/>
    <n v="98"/>
    <s v="Mumbai"/>
    <x v="0"/>
  </r>
  <r>
    <x v="681"/>
    <x v="12"/>
    <x v="3"/>
    <n v="29"/>
    <x v="0"/>
    <n v="1"/>
    <n v="38611"/>
    <n v="5"/>
    <x v="1"/>
    <n v="5"/>
    <n v="86"/>
    <s v="Pune"/>
    <x v="1"/>
  </r>
  <r>
    <x v="682"/>
    <x v="7"/>
    <x v="2"/>
    <n v="32"/>
    <x v="0"/>
    <n v="4"/>
    <n v="52321"/>
    <n v="8"/>
    <x v="6"/>
    <n v="4"/>
    <n v="92"/>
    <s v="Chennai"/>
    <x v="0"/>
  </r>
  <r>
    <x v="683"/>
    <x v="7"/>
    <x v="3"/>
    <n v="39"/>
    <x v="1"/>
    <n v="1"/>
    <n v="47902"/>
    <n v="10"/>
    <x v="4"/>
    <n v="1"/>
    <n v="97"/>
    <s v="Chennai"/>
    <x v="0"/>
  </r>
  <r>
    <x v="684"/>
    <x v="10"/>
    <x v="1"/>
    <n v="31"/>
    <x v="0"/>
    <n v="4"/>
    <n v="58909"/>
    <n v="10"/>
    <x v="7"/>
    <n v="4"/>
    <n v="89"/>
    <s v="Delhi"/>
    <x v="1"/>
  </r>
  <r>
    <x v="685"/>
    <x v="9"/>
    <x v="0"/>
    <n v="35"/>
    <x v="0"/>
    <n v="11"/>
    <n v="61411"/>
    <n v="6"/>
    <x v="14"/>
    <n v="4"/>
    <n v="92"/>
    <s v="Mumbai"/>
    <x v="0"/>
  </r>
  <r>
    <x v="686"/>
    <x v="13"/>
    <x v="3"/>
    <n v="25"/>
    <x v="0"/>
    <n v="10"/>
    <n v="61488"/>
    <n v="11"/>
    <x v="14"/>
    <n v="1"/>
    <n v="99"/>
    <s v="Hyderabad"/>
    <x v="0"/>
  </r>
  <r>
    <x v="687"/>
    <x v="0"/>
    <x v="2"/>
    <n v="27"/>
    <x v="1"/>
    <n v="9"/>
    <n v="61493"/>
    <n v="4"/>
    <x v="7"/>
    <n v="4"/>
    <n v="85"/>
    <s v="Mumbai"/>
    <x v="1"/>
  </r>
  <r>
    <x v="688"/>
    <x v="1"/>
    <x v="2"/>
    <n v="22"/>
    <x v="1"/>
    <n v="2"/>
    <n v="36546"/>
    <n v="11"/>
    <x v="13"/>
    <n v="5"/>
    <n v="96"/>
    <s v="Pune"/>
    <x v="0"/>
  </r>
  <r>
    <x v="689"/>
    <x v="1"/>
    <x v="0"/>
    <n v="29"/>
    <x v="0"/>
    <n v="2"/>
    <n v="33668"/>
    <n v="10"/>
    <x v="4"/>
    <n v="4"/>
    <n v="85"/>
    <s v="Delhi"/>
    <x v="1"/>
  </r>
  <r>
    <x v="690"/>
    <x v="9"/>
    <x v="1"/>
    <n v="37"/>
    <x v="1"/>
    <n v="7"/>
    <n v="61685"/>
    <n v="6"/>
    <x v="3"/>
    <n v="3"/>
    <n v="86"/>
    <s v="Chennai"/>
    <x v="1"/>
  </r>
  <r>
    <x v="691"/>
    <x v="11"/>
    <x v="1"/>
    <n v="23"/>
    <x v="1"/>
    <n v="14"/>
    <n v="61777"/>
    <n v="13"/>
    <x v="14"/>
    <n v="4"/>
    <n v="86"/>
    <s v="Hyderabad"/>
    <x v="1"/>
  </r>
  <r>
    <x v="692"/>
    <x v="15"/>
    <x v="2"/>
    <n v="27"/>
    <x v="0"/>
    <n v="5"/>
    <n v="61779"/>
    <n v="6"/>
    <x v="11"/>
    <n v="2"/>
    <n v="93"/>
    <s v="Mumbai"/>
    <x v="0"/>
  </r>
  <r>
    <x v="693"/>
    <x v="5"/>
    <x v="3"/>
    <n v="38"/>
    <x v="1"/>
    <n v="1"/>
    <n v="63566"/>
    <n v="15"/>
    <x v="12"/>
    <n v="3"/>
    <n v="94"/>
    <s v="Hyderabad"/>
    <x v="0"/>
  </r>
  <r>
    <x v="694"/>
    <x v="3"/>
    <x v="0"/>
    <n v="23"/>
    <x v="0"/>
    <n v="1"/>
    <n v="54295"/>
    <n v="10"/>
    <x v="13"/>
    <n v="4"/>
    <n v="94"/>
    <s v="Chennai"/>
    <x v="0"/>
  </r>
  <r>
    <x v="695"/>
    <x v="16"/>
    <x v="3"/>
    <n v="29"/>
    <x v="0"/>
    <n v="15"/>
    <n v="61847"/>
    <n v="7"/>
    <x v="8"/>
    <n v="1"/>
    <n v="88"/>
    <s v="Pune"/>
    <x v="1"/>
  </r>
  <r>
    <x v="696"/>
    <x v="8"/>
    <x v="2"/>
    <n v="36"/>
    <x v="0"/>
    <n v="11"/>
    <n v="61878"/>
    <n v="9"/>
    <x v="11"/>
    <n v="1"/>
    <n v="97"/>
    <s v="Mumbai"/>
    <x v="0"/>
  </r>
  <r>
    <x v="697"/>
    <x v="12"/>
    <x v="0"/>
    <n v="23"/>
    <x v="1"/>
    <n v="8"/>
    <n v="61982"/>
    <n v="3"/>
    <x v="11"/>
    <n v="1"/>
    <n v="85"/>
    <s v="Chennai"/>
    <x v="1"/>
  </r>
  <r>
    <x v="698"/>
    <x v="14"/>
    <x v="1"/>
    <n v="39"/>
    <x v="0"/>
    <n v="11"/>
    <n v="62072"/>
    <n v="7"/>
    <x v="11"/>
    <n v="3"/>
    <n v="90"/>
    <s v="Mumbai"/>
    <x v="0"/>
  </r>
  <r>
    <x v="699"/>
    <x v="2"/>
    <x v="0"/>
    <n v="40"/>
    <x v="1"/>
    <n v="8"/>
    <n v="62083"/>
    <n v="7"/>
    <x v="15"/>
    <n v="2"/>
    <n v="97"/>
    <s v="Chennai"/>
    <x v="0"/>
  </r>
  <r>
    <x v="700"/>
    <x v="14"/>
    <x v="2"/>
    <n v="36"/>
    <x v="1"/>
    <n v="10"/>
    <n v="62179"/>
    <n v="6"/>
    <x v="14"/>
    <n v="5"/>
    <n v="90"/>
    <s v="Hyderabad"/>
    <x v="0"/>
  </r>
  <r>
    <x v="701"/>
    <x v="16"/>
    <x v="1"/>
    <n v="34"/>
    <x v="1"/>
    <n v="8"/>
    <n v="62224"/>
    <n v="6"/>
    <x v="14"/>
    <n v="1"/>
    <n v="87"/>
    <s v="Chennai"/>
    <x v="1"/>
  </r>
  <r>
    <x v="702"/>
    <x v="9"/>
    <x v="1"/>
    <n v="31"/>
    <x v="1"/>
    <n v="3"/>
    <n v="36106"/>
    <n v="9"/>
    <x v="4"/>
    <n v="2"/>
    <n v="87"/>
    <s v="Bangalore"/>
    <x v="1"/>
  </r>
  <r>
    <x v="703"/>
    <x v="11"/>
    <x v="3"/>
    <n v="33"/>
    <x v="1"/>
    <n v="8"/>
    <n v="62295"/>
    <n v="4"/>
    <x v="4"/>
    <n v="5"/>
    <n v="94"/>
    <s v="Hyderabad"/>
    <x v="0"/>
  </r>
  <r>
    <x v="704"/>
    <x v="14"/>
    <x v="1"/>
    <n v="32"/>
    <x v="1"/>
    <n v="14"/>
    <n v="62346"/>
    <n v="12"/>
    <x v="7"/>
    <n v="2"/>
    <n v="97"/>
    <s v="Bangalore"/>
    <x v="0"/>
  </r>
  <r>
    <x v="705"/>
    <x v="4"/>
    <x v="2"/>
    <n v="34"/>
    <x v="1"/>
    <n v="15"/>
    <n v="62356"/>
    <n v="5"/>
    <x v="6"/>
    <n v="2"/>
    <n v="97"/>
    <s v="Delhi"/>
    <x v="0"/>
  </r>
  <r>
    <x v="706"/>
    <x v="0"/>
    <x v="1"/>
    <n v="39"/>
    <x v="1"/>
    <n v="7"/>
    <n v="62373"/>
    <n v="15"/>
    <x v="3"/>
    <n v="5"/>
    <n v="100"/>
    <s v="Mumbai"/>
    <x v="0"/>
  </r>
  <r>
    <x v="707"/>
    <x v="19"/>
    <x v="2"/>
    <n v="31"/>
    <x v="1"/>
    <n v="5"/>
    <n v="62380"/>
    <n v="4"/>
    <x v="9"/>
    <n v="2"/>
    <n v="89"/>
    <s v="Hyderabad"/>
    <x v="1"/>
  </r>
  <r>
    <x v="708"/>
    <x v="14"/>
    <x v="2"/>
    <n v="34"/>
    <x v="1"/>
    <n v="6"/>
    <n v="62532"/>
    <n v="13"/>
    <x v="10"/>
    <n v="3"/>
    <n v="86"/>
    <s v="Bangalore"/>
    <x v="1"/>
  </r>
  <r>
    <x v="709"/>
    <x v="15"/>
    <x v="2"/>
    <n v="36"/>
    <x v="0"/>
    <n v="6"/>
    <n v="62694"/>
    <n v="7"/>
    <x v="2"/>
    <n v="2"/>
    <n v="93"/>
    <s v="Hyderabad"/>
    <x v="0"/>
  </r>
  <r>
    <x v="710"/>
    <x v="0"/>
    <x v="1"/>
    <n v="39"/>
    <x v="0"/>
    <n v="1"/>
    <n v="64229"/>
    <n v="14"/>
    <x v="0"/>
    <n v="4"/>
    <n v="100"/>
    <s v="Chennai"/>
    <x v="0"/>
  </r>
  <r>
    <x v="711"/>
    <x v="13"/>
    <x v="0"/>
    <n v="32"/>
    <x v="1"/>
    <n v="8"/>
    <n v="62704"/>
    <n v="10"/>
    <x v="1"/>
    <n v="3"/>
    <n v="85"/>
    <s v="Chennai"/>
    <x v="1"/>
  </r>
  <r>
    <x v="712"/>
    <x v="12"/>
    <x v="2"/>
    <n v="33"/>
    <x v="0"/>
    <n v="11"/>
    <n v="62892"/>
    <n v="4"/>
    <x v="12"/>
    <n v="4"/>
    <n v="85"/>
    <s v="Mumbai"/>
    <x v="1"/>
  </r>
  <r>
    <x v="713"/>
    <x v="5"/>
    <x v="0"/>
    <n v="34"/>
    <x v="0"/>
    <n v="13"/>
    <n v="63016"/>
    <n v="13"/>
    <x v="6"/>
    <n v="4"/>
    <n v="93"/>
    <s v="Hyderabad"/>
    <x v="0"/>
  </r>
  <r>
    <x v="714"/>
    <x v="12"/>
    <x v="0"/>
    <n v="25"/>
    <x v="0"/>
    <n v="5"/>
    <n v="63107"/>
    <n v="7"/>
    <x v="14"/>
    <n v="3"/>
    <n v="85"/>
    <s v="Mumbai"/>
    <x v="1"/>
  </r>
  <r>
    <x v="715"/>
    <x v="11"/>
    <x v="1"/>
    <n v="36"/>
    <x v="0"/>
    <n v="3"/>
    <n v="46803"/>
    <n v="3"/>
    <x v="14"/>
    <n v="1"/>
    <n v="85"/>
    <s v="Delhi"/>
    <x v="1"/>
  </r>
  <r>
    <x v="716"/>
    <x v="3"/>
    <x v="2"/>
    <n v="33"/>
    <x v="0"/>
    <n v="3"/>
    <n v="30382"/>
    <n v="11"/>
    <x v="1"/>
    <n v="1"/>
    <n v="88"/>
    <s v="Mumbai"/>
    <x v="1"/>
  </r>
  <r>
    <x v="717"/>
    <x v="6"/>
    <x v="3"/>
    <n v="33"/>
    <x v="1"/>
    <n v="5"/>
    <n v="63111"/>
    <n v="12"/>
    <x v="3"/>
    <n v="1"/>
    <n v="95"/>
    <s v="Delhi"/>
    <x v="0"/>
  </r>
  <r>
    <x v="718"/>
    <x v="8"/>
    <x v="1"/>
    <n v="36"/>
    <x v="0"/>
    <n v="15"/>
    <n v="63136"/>
    <n v="8"/>
    <x v="8"/>
    <n v="4"/>
    <n v="92"/>
    <s v="Chennai"/>
    <x v="0"/>
  </r>
  <r>
    <x v="719"/>
    <x v="5"/>
    <x v="0"/>
    <n v="35"/>
    <x v="1"/>
    <n v="13"/>
    <n v="63153"/>
    <n v="5"/>
    <x v="6"/>
    <n v="3"/>
    <n v="91"/>
    <s v="Hyderabad"/>
    <x v="0"/>
  </r>
  <r>
    <x v="720"/>
    <x v="2"/>
    <x v="1"/>
    <n v="26"/>
    <x v="0"/>
    <n v="10"/>
    <n v="63222"/>
    <n v="7"/>
    <x v="12"/>
    <n v="2"/>
    <n v="87"/>
    <s v="Bangalore"/>
    <x v="1"/>
  </r>
  <r>
    <x v="721"/>
    <x v="15"/>
    <x v="1"/>
    <n v="24"/>
    <x v="0"/>
    <n v="9"/>
    <n v="63268"/>
    <n v="9"/>
    <x v="8"/>
    <n v="5"/>
    <n v="95"/>
    <s v="Chennai"/>
    <x v="0"/>
  </r>
  <r>
    <x v="722"/>
    <x v="10"/>
    <x v="0"/>
    <n v="29"/>
    <x v="0"/>
    <n v="5"/>
    <n v="63398"/>
    <n v="10"/>
    <x v="8"/>
    <n v="3"/>
    <n v="87"/>
    <s v="Chennai"/>
    <x v="1"/>
  </r>
  <r>
    <x v="723"/>
    <x v="2"/>
    <x v="1"/>
    <n v="32"/>
    <x v="1"/>
    <n v="11"/>
    <n v="63673"/>
    <n v="5"/>
    <x v="11"/>
    <n v="1"/>
    <n v="87"/>
    <s v="Pune"/>
    <x v="1"/>
  </r>
  <r>
    <x v="724"/>
    <x v="1"/>
    <x v="2"/>
    <n v="38"/>
    <x v="1"/>
    <n v="12"/>
    <n v="63711"/>
    <n v="15"/>
    <x v="10"/>
    <n v="3"/>
    <n v="94"/>
    <s v="Mumbai"/>
    <x v="0"/>
  </r>
  <r>
    <x v="725"/>
    <x v="5"/>
    <x v="2"/>
    <n v="39"/>
    <x v="1"/>
    <n v="4"/>
    <n v="76635"/>
    <n v="12"/>
    <x v="9"/>
    <n v="3"/>
    <n v="87"/>
    <s v="Mumbai"/>
    <x v="1"/>
  </r>
  <r>
    <x v="726"/>
    <x v="17"/>
    <x v="2"/>
    <n v="26"/>
    <x v="1"/>
    <n v="7"/>
    <n v="63858"/>
    <n v="6"/>
    <x v="10"/>
    <n v="5"/>
    <n v="92"/>
    <s v="Pune"/>
    <x v="0"/>
  </r>
  <r>
    <x v="727"/>
    <x v="11"/>
    <x v="0"/>
    <n v="40"/>
    <x v="1"/>
    <n v="1"/>
    <n v="31414"/>
    <n v="6"/>
    <x v="14"/>
    <n v="4"/>
    <n v="100"/>
    <s v="Bangalore"/>
    <x v="0"/>
  </r>
  <r>
    <x v="728"/>
    <x v="1"/>
    <x v="3"/>
    <n v="39"/>
    <x v="1"/>
    <n v="12"/>
    <n v="63943"/>
    <n v="15"/>
    <x v="0"/>
    <n v="4"/>
    <n v="95"/>
    <s v="Chennai"/>
    <x v="0"/>
  </r>
  <r>
    <x v="729"/>
    <x v="9"/>
    <x v="1"/>
    <n v="37"/>
    <x v="0"/>
    <n v="7"/>
    <n v="64028"/>
    <n v="8"/>
    <x v="10"/>
    <n v="5"/>
    <n v="90"/>
    <s v="Pune"/>
    <x v="0"/>
  </r>
  <r>
    <x v="730"/>
    <x v="7"/>
    <x v="0"/>
    <n v="28"/>
    <x v="0"/>
    <n v="13"/>
    <n v="64041"/>
    <n v="12"/>
    <x v="0"/>
    <n v="3"/>
    <n v="96"/>
    <s v="Delhi"/>
    <x v="0"/>
  </r>
  <r>
    <x v="731"/>
    <x v="17"/>
    <x v="0"/>
    <n v="40"/>
    <x v="0"/>
    <n v="8"/>
    <n v="64048"/>
    <n v="10"/>
    <x v="15"/>
    <n v="4"/>
    <n v="87"/>
    <s v="Bangalore"/>
    <x v="1"/>
  </r>
  <r>
    <x v="732"/>
    <x v="19"/>
    <x v="1"/>
    <n v="33"/>
    <x v="1"/>
    <n v="4"/>
    <n v="50835"/>
    <n v="6"/>
    <x v="15"/>
    <n v="3"/>
    <n v="86"/>
    <s v="Chennai"/>
    <x v="1"/>
  </r>
  <r>
    <x v="733"/>
    <x v="3"/>
    <x v="2"/>
    <n v="24"/>
    <x v="1"/>
    <n v="2"/>
    <n v="46387"/>
    <n v="6"/>
    <x v="13"/>
    <n v="4"/>
    <n v="96"/>
    <s v="Chennai"/>
    <x v="0"/>
  </r>
  <r>
    <x v="734"/>
    <x v="1"/>
    <x v="2"/>
    <n v="30"/>
    <x v="1"/>
    <n v="8"/>
    <n v="64104"/>
    <n v="13"/>
    <x v="10"/>
    <n v="3"/>
    <n v="93"/>
    <s v="Hyderabad"/>
    <x v="0"/>
  </r>
  <r>
    <x v="735"/>
    <x v="15"/>
    <x v="0"/>
    <n v="28"/>
    <x v="0"/>
    <n v="11"/>
    <n v="64181"/>
    <n v="15"/>
    <x v="13"/>
    <n v="4"/>
    <n v="89"/>
    <s v="Pune"/>
    <x v="1"/>
  </r>
  <r>
    <x v="736"/>
    <x v="7"/>
    <x v="1"/>
    <n v="31"/>
    <x v="1"/>
    <n v="4"/>
    <n v="28364"/>
    <n v="12"/>
    <x v="9"/>
    <n v="2"/>
    <n v="100"/>
    <s v="Pune"/>
    <x v="0"/>
  </r>
  <r>
    <x v="737"/>
    <x v="16"/>
    <x v="0"/>
    <n v="22"/>
    <x v="0"/>
    <n v="15"/>
    <n v="64463"/>
    <n v="8"/>
    <x v="5"/>
    <n v="4"/>
    <n v="87"/>
    <s v="Pune"/>
    <x v="1"/>
  </r>
  <r>
    <x v="738"/>
    <x v="5"/>
    <x v="1"/>
    <n v="24"/>
    <x v="0"/>
    <n v="10"/>
    <n v="64625"/>
    <n v="14"/>
    <x v="6"/>
    <n v="2"/>
    <n v="87"/>
    <s v="Delhi"/>
    <x v="1"/>
  </r>
  <r>
    <x v="739"/>
    <x v="19"/>
    <x v="1"/>
    <n v="29"/>
    <x v="1"/>
    <n v="10"/>
    <n v="64660"/>
    <n v="12"/>
    <x v="0"/>
    <n v="5"/>
    <n v="95"/>
    <s v="Chennai"/>
    <x v="0"/>
  </r>
  <r>
    <x v="740"/>
    <x v="15"/>
    <x v="0"/>
    <n v="32"/>
    <x v="1"/>
    <n v="14"/>
    <n v="64803"/>
    <n v="11"/>
    <x v="14"/>
    <n v="4"/>
    <n v="92"/>
    <s v="Hyderabad"/>
    <x v="0"/>
  </r>
  <r>
    <x v="741"/>
    <x v="6"/>
    <x v="1"/>
    <n v="34"/>
    <x v="1"/>
    <n v="6"/>
    <n v="64915"/>
    <n v="7"/>
    <x v="4"/>
    <n v="3"/>
    <n v="95"/>
    <s v="Mumbai"/>
    <x v="0"/>
  </r>
  <r>
    <x v="742"/>
    <x v="15"/>
    <x v="2"/>
    <n v="28"/>
    <x v="1"/>
    <n v="9"/>
    <n v="65062"/>
    <n v="11"/>
    <x v="11"/>
    <n v="4"/>
    <n v="96"/>
    <s v="Chennai"/>
    <x v="0"/>
  </r>
  <r>
    <x v="743"/>
    <x v="14"/>
    <x v="2"/>
    <n v="27"/>
    <x v="1"/>
    <n v="12"/>
    <n v="65112"/>
    <n v="15"/>
    <x v="2"/>
    <n v="1"/>
    <n v="87"/>
    <s v="Hyderabad"/>
    <x v="1"/>
  </r>
  <r>
    <x v="744"/>
    <x v="7"/>
    <x v="3"/>
    <n v="37"/>
    <x v="1"/>
    <n v="7"/>
    <n v="65122"/>
    <n v="6"/>
    <x v="13"/>
    <n v="4"/>
    <n v="89"/>
    <s v="Mumbai"/>
    <x v="1"/>
  </r>
  <r>
    <x v="745"/>
    <x v="7"/>
    <x v="1"/>
    <n v="39"/>
    <x v="0"/>
    <n v="10"/>
    <n v="65136"/>
    <n v="3"/>
    <x v="1"/>
    <n v="2"/>
    <n v="98"/>
    <s v="Pune"/>
    <x v="0"/>
  </r>
  <r>
    <x v="746"/>
    <x v="10"/>
    <x v="0"/>
    <n v="30"/>
    <x v="0"/>
    <n v="11"/>
    <n v="65189"/>
    <n v="15"/>
    <x v="10"/>
    <n v="2"/>
    <n v="86"/>
    <s v="Bangalore"/>
    <x v="1"/>
  </r>
  <r>
    <x v="747"/>
    <x v="4"/>
    <x v="2"/>
    <n v="27"/>
    <x v="1"/>
    <n v="5"/>
    <n v="65198"/>
    <n v="3"/>
    <x v="4"/>
    <n v="1"/>
    <n v="92"/>
    <s v="Hyderabad"/>
    <x v="0"/>
  </r>
  <r>
    <x v="748"/>
    <x v="17"/>
    <x v="2"/>
    <n v="39"/>
    <x v="0"/>
    <n v="15"/>
    <n v="65233"/>
    <n v="15"/>
    <x v="11"/>
    <n v="1"/>
    <n v="96"/>
    <s v="Chennai"/>
    <x v="0"/>
  </r>
  <r>
    <x v="749"/>
    <x v="13"/>
    <x v="2"/>
    <n v="37"/>
    <x v="0"/>
    <n v="2"/>
    <n v="55675"/>
    <n v="8"/>
    <x v="0"/>
    <n v="2"/>
    <n v="98"/>
    <s v="Chennai"/>
    <x v="0"/>
  </r>
  <r>
    <x v="750"/>
    <x v="1"/>
    <x v="2"/>
    <n v="35"/>
    <x v="1"/>
    <n v="2"/>
    <n v="36294"/>
    <n v="15"/>
    <x v="1"/>
    <n v="4"/>
    <n v="87"/>
    <s v="Hyderabad"/>
    <x v="1"/>
  </r>
  <r>
    <x v="751"/>
    <x v="16"/>
    <x v="3"/>
    <n v="31"/>
    <x v="0"/>
    <n v="15"/>
    <n v="65275"/>
    <n v="14"/>
    <x v="15"/>
    <n v="4"/>
    <n v="97"/>
    <s v="Hyderabad"/>
    <x v="0"/>
  </r>
  <r>
    <x v="752"/>
    <x v="4"/>
    <x v="3"/>
    <n v="30"/>
    <x v="1"/>
    <n v="11"/>
    <n v="65473"/>
    <n v="5"/>
    <x v="12"/>
    <n v="3"/>
    <n v="89"/>
    <s v="Bangalore"/>
    <x v="1"/>
  </r>
  <r>
    <x v="753"/>
    <x v="1"/>
    <x v="1"/>
    <n v="35"/>
    <x v="1"/>
    <n v="6"/>
    <n v="65583"/>
    <n v="4"/>
    <x v="15"/>
    <n v="1"/>
    <n v="87"/>
    <s v="Chennai"/>
    <x v="1"/>
  </r>
  <r>
    <x v="754"/>
    <x v="3"/>
    <x v="2"/>
    <n v="23"/>
    <x v="1"/>
    <n v="8"/>
    <n v="65686"/>
    <n v="4"/>
    <x v="6"/>
    <n v="4"/>
    <n v="94"/>
    <s v="Mumbai"/>
    <x v="0"/>
  </r>
  <r>
    <x v="755"/>
    <x v="10"/>
    <x v="1"/>
    <n v="32"/>
    <x v="1"/>
    <n v="8"/>
    <n v="65732"/>
    <n v="6"/>
    <x v="4"/>
    <n v="3"/>
    <n v="91"/>
    <s v="Bangalore"/>
    <x v="0"/>
  </r>
  <r>
    <x v="756"/>
    <x v="6"/>
    <x v="3"/>
    <n v="31"/>
    <x v="1"/>
    <n v="14"/>
    <n v="65770"/>
    <n v="6"/>
    <x v="2"/>
    <n v="3"/>
    <n v="97"/>
    <s v="Mumbai"/>
    <x v="0"/>
  </r>
  <r>
    <x v="757"/>
    <x v="0"/>
    <x v="2"/>
    <n v="35"/>
    <x v="1"/>
    <n v="1"/>
    <n v="58532"/>
    <n v="13"/>
    <x v="4"/>
    <n v="4"/>
    <n v="90"/>
    <s v="Delhi"/>
    <x v="0"/>
  </r>
  <r>
    <x v="758"/>
    <x v="18"/>
    <x v="1"/>
    <n v="24"/>
    <x v="0"/>
    <n v="6"/>
    <n v="65779"/>
    <n v="15"/>
    <x v="15"/>
    <n v="3"/>
    <n v="91"/>
    <s v="Delhi"/>
    <x v="0"/>
  </r>
  <r>
    <x v="759"/>
    <x v="14"/>
    <x v="0"/>
    <n v="32"/>
    <x v="1"/>
    <n v="13"/>
    <n v="65786"/>
    <n v="3"/>
    <x v="13"/>
    <n v="5"/>
    <n v="99"/>
    <s v="Bangalore"/>
    <x v="0"/>
  </r>
  <r>
    <x v="760"/>
    <x v="9"/>
    <x v="3"/>
    <n v="40"/>
    <x v="1"/>
    <n v="15"/>
    <n v="65839"/>
    <n v="10"/>
    <x v="8"/>
    <n v="1"/>
    <n v="93"/>
    <s v="Delhi"/>
    <x v="0"/>
  </r>
  <r>
    <x v="761"/>
    <x v="0"/>
    <x v="0"/>
    <n v="28"/>
    <x v="0"/>
    <n v="4"/>
    <n v="68844"/>
    <n v="15"/>
    <x v="8"/>
    <n v="4"/>
    <n v="91"/>
    <s v="Mumbai"/>
    <x v="0"/>
  </r>
  <r>
    <x v="762"/>
    <x v="1"/>
    <x v="0"/>
    <n v="33"/>
    <x v="0"/>
    <n v="11"/>
    <n v="65958"/>
    <n v="6"/>
    <x v="11"/>
    <n v="2"/>
    <n v="99"/>
    <s v="Hyderabad"/>
    <x v="0"/>
  </r>
  <r>
    <x v="763"/>
    <x v="10"/>
    <x v="3"/>
    <n v="38"/>
    <x v="0"/>
    <n v="9"/>
    <n v="66138"/>
    <n v="15"/>
    <x v="0"/>
    <n v="4"/>
    <n v="99"/>
    <s v="Delhi"/>
    <x v="0"/>
  </r>
  <r>
    <x v="764"/>
    <x v="0"/>
    <x v="0"/>
    <n v="38"/>
    <x v="1"/>
    <n v="12"/>
    <n v="66323"/>
    <n v="3"/>
    <x v="2"/>
    <n v="3"/>
    <n v="98"/>
    <s v="Chennai"/>
    <x v="0"/>
  </r>
  <r>
    <x v="765"/>
    <x v="17"/>
    <x v="2"/>
    <n v="32"/>
    <x v="0"/>
    <n v="12"/>
    <n v="66342"/>
    <n v="7"/>
    <x v="14"/>
    <n v="4"/>
    <n v="86"/>
    <s v="Bangalore"/>
    <x v="1"/>
  </r>
  <r>
    <x v="766"/>
    <x v="9"/>
    <x v="1"/>
    <n v="38"/>
    <x v="0"/>
    <n v="15"/>
    <n v="66562"/>
    <n v="14"/>
    <x v="11"/>
    <n v="1"/>
    <n v="93"/>
    <s v="Pune"/>
    <x v="0"/>
  </r>
  <r>
    <x v="767"/>
    <x v="1"/>
    <x v="0"/>
    <n v="38"/>
    <x v="1"/>
    <n v="12"/>
    <n v="66664"/>
    <n v="10"/>
    <x v="12"/>
    <n v="1"/>
    <n v="100"/>
    <s v="Mumbai"/>
    <x v="0"/>
  </r>
  <r>
    <x v="768"/>
    <x v="8"/>
    <x v="1"/>
    <n v="26"/>
    <x v="1"/>
    <n v="6"/>
    <n v="66767"/>
    <n v="7"/>
    <x v="1"/>
    <n v="3"/>
    <n v="85"/>
    <s v="Pune"/>
    <x v="1"/>
  </r>
  <r>
    <x v="769"/>
    <x v="12"/>
    <x v="2"/>
    <n v="28"/>
    <x v="1"/>
    <n v="7"/>
    <n v="66771"/>
    <n v="5"/>
    <x v="9"/>
    <n v="2"/>
    <n v="93"/>
    <s v="Pune"/>
    <x v="0"/>
  </r>
  <r>
    <x v="770"/>
    <x v="8"/>
    <x v="2"/>
    <n v="37"/>
    <x v="0"/>
    <n v="8"/>
    <n v="66787"/>
    <n v="6"/>
    <x v="10"/>
    <n v="2"/>
    <n v="91"/>
    <s v="Hyderabad"/>
    <x v="0"/>
  </r>
  <r>
    <x v="771"/>
    <x v="19"/>
    <x v="3"/>
    <n v="29"/>
    <x v="1"/>
    <n v="9"/>
    <n v="66813"/>
    <n v="12"/>
    <x v="0"/>
    <n v="3"/>
    <n v="95"/>
    <s v="Pune"/>
    <x v="0"/>
  </r>
  <r>
    <x v="772"/>
    <x v="14"/>
    <x v="2"/>
    <n v="23"/>
    <x v="1"/>
    <n v="13"/>
    <n v="66867"/>
    <n v="7"/>
    <x v="1"/>
    <n v="1"/>
    <n v="98"/>
    <s v="Delhi"/>
    <x v="0"/>
  </r>
  <r>
    <x v="773"/>
    <x v="19"/>
    <x v="0"/>
    <n v="29"/>
    <x v="0"/>
    <n v="7"/>
    <n v="66985"/>
    <n v="3"/>
    <x v="0"/>
    <n v="1"/>
    <n v="93"/>
    <s v="Mumbai"/>
    <x v="0"/>
  </r>
  <r>
    <x v="774"/>
    <x v="19"/>
    <x v="1"/>
    <n v="24"/>
    <x v="0"/>
    <n v="2"/>
    <n v="43037"/>
    <n v="4"/>
    <x v="0"/>
    <n v="4"/>
    <n v="90"/>
    <s v="Delhi"/>
    <x v="0"/>
  </r>
  <r>
    <x v="775"/>
    <x v="7"/>
    <x v="3"/>
    <n v="34"/>
    <x v="0"/>
    <n v="9"/>
    <n v="67051"/>
    <n v="5"/>
    <x v="6"/>
    <n v="1"/>
    <n v="92"/>
    <s v="Pune"/>
    <x v="0"/>
  </r>
  <r>
    <x v="776"/>
    <x v="12"/>
    <x v="1"/>
    <n v="38"/>
    <x v="0"/>
    <n v="2"/>
    <n v="54853"/>
    <n v="6"/>
    <x v="10"/>
    <n v="3"/>
    <n v="89"/>
    <s v="Mumbai"/>
    <x v="1"/>
  </r>
  <r>
    <x v="777"/>
    <x v="1"/>
    <x v="2"/>
    <n v="32"/>
    <x v="1"/>
    <n v="2"/>
    <n v="48319"/>
    <n v="10"/>
    <x v="8"/>
    <n v="1"/>
    <n v="86"/>
    <s v="Pune"/>
    <x v="1"/>
  </r>
  <r>
    <x v="778"/>
    <x v="13"/>
    <x v="0"/>
    <n v="35"/>
    <x v="1"/>
    <n v="6"/>
    <n v="67065"/>
    <n v="12"/>
    <x v="4"/>
    <n v="3"/>
    <n v="98"/>
    <s v="Hyderabad"/>
    <x v="0"/>
  </r>
  <r>
    <x v="779"/>
    <x v="2"/>
    <x v="3"/>
    <n v="23"/>
    <x v="1"/>
    <n v="15"/>
    <n v="67166"/>
    <n v="15"/>
    <x v="0"/>
    <n v="4"/>
    <n v="87"/>
    <s v="Pune"/>
    <x v="1"/>
  </r>
  <r>
    <x v="780"/>
    <x v="7"/>
    <x v="2"/>
    <n v="29"/>
    <x v="0"/>
    <n v="10"/>
    <n v="67203"/>
    <n v="4"/>
    <x v="13"/>
    <n v="4"/>
    <n v="93"/>
    <s v="Chennai"/>
    <x v="0"/>
  </r>
  <r>
    <x v="781"/>
    <x v="17"/>
    <x v="3"/>
    <n v="23"/>
    <x v="1"/>
    <n v="6"/>
    <n v="67517"/>
    <n v="12"/>
    <x v="8"/>
    <n v="3"/>
    <n v="87"/>
    <s v="Delhi"/>
    <x v="1"/>
  </r>
  <r>
    <x v="782"/>
    <x v="14"/>
    <x v="1"/>
    <n v="26"/>
    <x v="0"/>
    <n v="14"/>
    <n v="67518"/>
    <n v="11"/>
    <x v="7"/>
    <n v="5"/>
    <n v="90"/>
    <s v="Chennai"/>
    <x v="0"/>
  </r>
  <r>
    <x v="783"/>
    <x v="16"/>
    <x v="2"/>
    <n v="31"/>
    <x v="0"/>
    <n v="12"/>
    <n v="67540"/>
    <n v="3"/>
    <x v="5"/>
    <n v="2"/>
    <n v="100"/>
    <s v="Mumbai"/>
    <x v="0"/>
  </r>
  <r>
    <x v="784"/>
    <x v="6"/>
    <x v="2"/>
    <n v="32"/>
    <x v="0"/>
    <n v="14"/>
    <n v="67574"/>
    <n v="5"/>
    <x v="14"/>
    <n v="2"/>
    <n v="99"/>
    <s v="Hyderabad"/>
    <x v="0"/>
  </r>
  <r>
    <x v="785"/>
    <x v="12"/>
    <x v="0"/>
    <n v="40"/>
    <x v="0"/>
    <n v="9"/>
    <n v="67574"/>
    <n v="4"/>
    <x v="0"/>
    <n v="3"/>
    <n v="100"/>
    <s v="Chennai"/>
    <x v="0"/>
  </r>
  <r>
    <x v="786"/>
    <x v="15"/>
    <x v="0"/>
    <n v="22"/>
    <x v="1"/>
    <n v="1"/>
    <n v="70571"/>
    <n v="12"/>
    <x v="11"/>
    <n v="4"/>
    <n v="95"/>
    <s v="Pune"/>
    <x v="0"/>
  </r>
  <r>
    <x v="787"/>
    <x v="12"/>
    <x v="1"/>
    <n v="38"/>
    <x v="0"/>
    <n v="3"/>
    <n v="39338"/>
    <n v="14"/>
    <x v="8"/>
    <n v="5"/>
    <n v="91"/>
    <s v="Chennai"/>
    <x v="0"/>
  </r>
  <r>
    <x v="788"/>
    <x v="8"/>
    <x v="2"/>
    <n v="37"/>
    <x v="1"/>
    <n v="9"/>
    <n v="67695"/>
    <n v="11"/>
    <x v="9"/>
    <n v="5"/>
    <n v="86"/>
    <s v="Delhi"/>
    <x v="1"/>
  </r>
  <r>
    <x v="789"/>
    <x v="2"/>
    <x v="3"/>
    <n v="34"/>
    <x v="0"/>
    <n v="11"/>
    <n v="67715"/>
    <n v="13"/>
    <x v="0"/>
    <n v="5"/>
    <n v="88"/>
    <s v="Chennai"/>
    <x v="1"/>
  </r>
  <r>
    <x v="790"/>
    <x v="19"/>
    <x v="3"/>
    <n v="40"/>
    <x v="1"/>
    <n v="13"/>
    <n v="67783"/>
    <n v="10"/>
    <x v="5"/>
    <n v="4"/>
    <n v="94"/>
    <s v="Bangalore"/>
    <x v="0"/>
  </r>
  <r>
    <x v="791"/>
    <x v="9"/>
    <x v="1"/>
    <n v="39"/>
    <x v="0"/>
    <n v="10"/>
    <n v="68105"/>
    <n v="5"/>
    <x v="13"/>
    <n v="4"/>
    <n v="87"/>
    <s v="Bangalore"/>
    <x v="1"/>
  </r>
  <r>
    <x v="792"/>
    <x v="12"/>
    <x v="0"/>
    <n v="25"/>
    <x v="1"/>
    <n v="8"/>
    <n v="68164"/>
    <n v="10"/>
    <x v="15"/>
    <n v="5"/>
    <n v="95"/>
    <s v="Chennai"/>
    <x v="0"/>
  </r>
  <r>
    <x v="793"/>
    <x v="1"/>
    <x v="0"/>
    <n v="26"/>
    <x v="1"/>
    <n v="7"/>
    <n v="68341"/>
    <n v="6"/>
    <x v="2"/>
    <n v="5"/>
    <n v="99"/>
    <s v="Chennai"/>
    <x v="0"/>
  </r>
  <r>
    <x v="794"/>
    <x v="5"/>
    <x v="3"/>
    <n v="40"/>
    <x v="0"/>
    <n v="7"/>
    <n v="68473"/>
    <n v="9"/>
    <x v="1"/>
    <n v="2"/>
    <n v="96"/>
    <s v="Chennai"/>
    <x v="0"/>
  </r>
  <r>
    <x v="795"/>
    <x v="0"/>
    <x v="3"/>
    <n v="30"/>
    <x v="1"/>
    <n v="4"/>
    <n v="26852"/>
    <n v="8"/>
    <x v="7"/>
    <n v="5"/>
    <n v="90"/>
    <s v="Mumbai"/>
    <x v="0"/>
  </r>
  <r>
    <x v="796"/>
    <x v="5"/>
    <x v="2"/>
    <n v="37"/>
    <x v="1"/>
    <n v="1"/>
    <n v="32958"/>
    <n v="6"/>
    <x v="3"/>
    <n v="1"/>
    <n v="95"/>
    <s v="Mumbai"/>
    <x v="0"/>
  </r>
  <r>
    <x v="797"/>
    <x v="13"/>
    <x v="0"/>
    <n v="39"/>
    <x v="0"/>
    <n v="13"/>
    <n v="68584"/>
    <n v="9"/>
    <x v="10"/>
    <n v="1"/>
    <n v="86"/>
    <s v="Chennai"/>
    <x v="1"/>
  </r>
  <r>
    <x v="798"/>
    <x v="6"/>
    <x v="0"/>
    <n v="31"/>
    <x v="0"/>
    <n v="3"/>
    <n v="63199"/>
    <n v="7"/>
    <x v="0"/>
    <n v="3"/>
    <n v="97"/>
    <s v="Bangalore"/>
    <x v="0"/>
  </r>
  <r>
    <x v="799"/>
    <x v="4"/>
    <x v="2"/>
    <n v="40"/>
    <x v="0"/>
    <n v="12"/>
    <n v="68631"/>
    <n v="6"/>
    <x v="4"/>
    <n v="5"/>
    <n v="86"/>
    <s v="Pune"/>
    <x v="1"/>
  </r>
  <r>
    <x v="800"/>
    <x v="0"/>
    <x v="2"/>
    <n v="27"/>
    <x v="0"/>
    <n v="15"/>
    <n v="68675"/>
    <n v="7"/>
    <x v="0"/>
    <n v="3"/>
    <n v="90"/>
    <s v="Bangalore"/>
    <x v="0"/>
  </r>
  <r>
    <x v="801"/>
    <x v="0"/>
    <x v="0"/>
    <n v="26"/>
    <x v="0"/>
    <n v="13"/>
    <n v="68675"/>
    <n v="11"/>
    <x v="13"/>
    <n v="5"/>
    <n v="92"/>
    <s v="Hyderabad"/>
    <x v="0"/>
  </r>
  <r>
    <x v="802"/>
    <x v="2"/>
    <x v="0"/>
    <n v="24"/>
    <x v="0"/>
    <n v="8"/>
    <n v="68682"/>
    <n v="12"/>
    <x v="6"/>
    <n v="3"/>
    <n v="87"/>
    <s v="Bangalore"/>
    <x v="1"/>
  </r>
  <r>
    <x v="803"/>
    <x v="2"/>
    <x v="3"/>
    <n v="39"/>
    <x v="0"/>
    <n v="4"/>
    <n v="32375"/>
    <n v="10"/>
    <x v="8"/>
    <n v="1"/>
    <n v="92"/>
    <s v="Delhi"/>
    <x v="0"/>
  </r>
  <r>
    <x v="804"/>
    <x v="16"/>
    <x v="3"/>
    <n v="38"/>
    <x v="1"/>
    <n v="9"/>
    <n v="68694"/>
    <n v="6"/>
    <x v="13"/>
    <n v="1"/>
    <n v="96"/>
    <s v="Mumbai"/>
    <x v="0"/>
  </r>
  <r>
    <x v="805"/>
    <x v="0"/>
    <x v="0"/>
    <n v="27"/>
    <x v="0"/>
    <n v="2"/>
    <n v="45767"/>
    <n v="4"/>
    <x v="12"/>
    <n v="5"/>
    <n v="87"/>
    <s v="Delhi"/>
    <x v="1"/>
  </r>
  <r>
    <x v="806"/>
    <x v="16"/>
    <x v="3"/>
    <n v="31"/>
    <x v="0"/>
    <n v="11"/>
    <n v="68859"/>
    <n v="3"/>
    <x v="5"/>
    <n v="2"/>
    <n v="96"/>
    <s v="Delhi"/>
    <x v="0"/>
  </r>
  <r>
    <x v="807"/>
    <x v="18"/>
    <x v="0"/>
    <n v="30"/>
    <x v="1"/>
    <n v="9"/>
    <n v="68933"/>
    <n v="8"/>
    <x v="13"/>
    <n v="2"/>
    <n v="97"/>
    <s v="Hyderabad"/>
    <x v="0"/>
  </r>
  <r>
    <x v="808"/>
    <x v="6"/>
    <x v="0"/>
    <n v="26"/>
    <x v="1"/>
    <n v="6"/>
    <n v="68941"/>
    <n v="9"/>
    <x v="8"/>
    <n v="1"/>
    <n v="100"/>
    <s v="Bangalore"/>
    <x v="0"/>
  </r>
  <r>
    <x v="809"/>
    <x v="11"/>
    <x v="0"/>
    <n v="39"/>
    <x v="0"/>
    <n v="7"/>
    <n v="68953"/>
    <n v="7"/>
    <x v="14"/>
    <n v="3"/>
    <n v="97"/>
    <s v="Pune"/>
    <x v="0"/>
  </r>
  <r>
    <x v="810"/>
    <x v="11"/>
    <x v="0"/>
    <n v="39"/>
    <x v="1"/>
    <n v="5"/>
    <n v="68983"/>
    <n v="13"/>
    <x v="3"/>
    <n v="4"/>
    <n v="92"/>
    <s v="Bangalore"/>
    <x v="0"/>
  </r>
  <r>
    <x v="811"/>
    <x v="9"/>
    <x v="1"/>
    <n v="24"/>
    <x v="1"/>
    <n v="6"/>
    <n v="68992"/>
    <n v="13"/>
    <x v="1"/>
    <n v="2"/>
    <n v="98"/>
    <s v="Chennai"/>
    <x v="0"/>
  </r>
  <r>
    <x v="812"/>
    <x v="1"/>
    <x v="3"/>
    <n v="23"/>
    <x v="0"/>
    <n v="2"/>
    <n v="47483"/>
    <n v="4"/>
    <x v="7"/>
    <n v="1"/>
    <n v="88"/>
    <s v="Mumbai"/>
    <x v="1"/>
  </r>
  <r>
    <x v="813"/>
    <x v="19"/>
    <x v="1"/>
    <n v="25"/>
    <x v="0"/>
    <n v="5"/>
    <n v="69535"/>
    <n v="13"/>
    <x v="4"/>
    <n v="5"/>
    <n v="93"/>
    <s v="Mumbai"/>
    <x v="0"/>
  </r>
  <r>
    <x v="814"/>
    <x v="9"/>
    <x v="2"/>
    <n v="36"/>
    <x v="0"/>
    <n v="1"/>
    <n v="40418"/>
    <n v="15"/>
    <x v="15"/>
    <n v="1"/>
    <n v="96"/>
    <s v="Hyderabad"/>
    <x v="0"/>
  </r>
  <r>
    <x v="815"/>
    <x v="10"/>
    <x v="1"/>
    <n v="33"/>
    <x v="1"/>
    <n v="8"/>
    <n v="69587"/>
    <n v="3"/>
    <x v="6"/>
    <n v="2"/>
    <n v="93"/>
    <s v="Bangalore"/>
    <x v="0"/>
  </r>
  <r>
    <x v="816"/>
    <x v="6"/>
    <x v="1"/>
    <n v="28"/>
    <x v="0"/>
    <n v="10"/>
    <n v="69634"/>
    <n v="15"/>
    <x v="3"/>
    <n v="2"/>
    <n v="99"/>
    <s v="Pune"/>
    <x v="0"/>
  </r>
  <r>
    <x v="817"/>
    <x v="9"/>
    <x v="2"/>
    <n v="38"/>
    <x v="1"/>
    <n v="14"/>
    <n v="69650"/>
    <n v="5"/>
    <x v="13"/>
    <n v="3"/>
    <n v="94"/>
    <s v="Pune"/>
    <x v="0"/>
  </r>
  <r>
    <x v="818"/>
    <x v="9"/>
    <x v="3"/>
    <n v="25"/>
    <x v="1"/>
    <n v="5"/>
    <n v="69679"/>
    <n v="8"/>
    <x v="14"/>
    <n v="5"/>
    <n v="92"/>
    <s v="Chennai"/>
    <x v="0"/>
  </r>
  <r>
    <x v="819"/>
    <x v="12"/>
    <x v="1"/>
    <n v="25"/>
    <x v="1"/>
    <n v="14"/>
    <n v="69787"/>
    <n v="9"/>
    <x v="9"/>
    <n v="5"/>
    <n v="87"/>
    <s v="Bangalore"/>
    <x v="1"/>
  </r>
  <r>
    <x v="820"/>
    <x v="18"/>
    <x v="1"/>
    <n v="29"/>
    <x v="1"/>
    <n v="15"/>
    <n v="69802"/>
    <n v="6"/>
    <x v="11"/>
    <n v="3"/>
    <n v="91"/>
    <s v="Delhi"/>
    <x v="0"/>
  </r>
  <r>
    <x v="821"/>
    <x v="9"/>
    <x v="2"/>
    <n v="35"/>
    <x v="1"/>
    <n v="5"/>
    <n v="69810"/>
    <n v="11"/>
    <x v="8"/>
    <n v="5"/>
    <n v="97"/>
    <s v="Mumbai"/>
    <x v="0"/>
  </r>
  <r>
    <x v="822"/>
    <x v="11"/>
    <x v="3"/>
    <n v="31"/>
    <x v="1"/>
    <n v="14"/>
    <n v="69917"/>
    <n v="14"/>
    <x v="10"/>
    <n v="2"/>
    <n v="88"/>
    <s v="Pune"/>
    <x v="1"/>
  </r>
  <r>
    <x v="823"/>
    <x v="9"/>
    <x v="1"/>
    <n v="38"/>
    <x v="1"/>
    <n v="2"/>
    <n v="69734"/>
    <n v="13"/>
    <x v="4"/>
    <n v="5"/>
    <n v="89"/>
    <s v="Hyderabad"/>
    <x v="1"/>
  </r>
  <r>
    <x v="824"/>
    <x v="10"/>
    <x v="0"/>
    <n v="40"/>
    <x v="0"/>
    <n v="2"/>
    <n v="59916"/>
    <n v="10"/>
    <x v="9"/>
    <n v="1"/>
    <n v="98"/>
    <s v="Delhi"/>
    <x v="0"/>
  </r>
  <r>
    <x v="825"/>
    <x v="16"/>
    <x v="3"/>
    <n v="31"/>
    <x v="1"/>
    <n v="6"/>
    <n v="69943"/>
    <n v="5"/>
    <x v="8"/>
    <n v="5"/>
    <n v="87"/>
    <s v="Hyderabad"/>
    <x v="1"/>
  </r>
  <r>
    <x v="826"/>
    <x v="8"/>
    <x v="0"/>
    <n v="39"/>
    <x v="1"/>
    <n v="2"/>
    <n v="32567"/>
    <n v="12"/>
    <x v="15"/>
    <n v="1"/>
    <n v="93"/>
    <s v="Pune"/>
    <x v="0"/>
  </r>
  <r>
    <x v="827"/>
    <x v="4"/>
    <x v="2"/>
    <n v="26"/>
    <x v="0"/>
    <n v="15"/>
    <n v="69946"/>
    <n v="8"/>
    <x v="11"/>
    <n v="3"/>
    <n v="85"/>
    <s v="Hyderabad"/>
    <x v="1"/>
  </r>
  <r>
    <x v="828"/>
    <x v="18"/>
    <x v="2"/>
    <n v="28"/>
    <x v="1"/>
    <n v="1"/>
    <n v="71342"/>
    <n v="11"/>
    <x v="13"/>
    <n v="1"/>
    <n v="89"/>
    <s v="Pune"/>
    <x v="1"/>
  </r>
  <r>
    <x v="829"/>
    <x v="13"/>
    <x v="2"/>
    <n v="40"/>
    <x v="1"/>
    <n v="10"/>
    <n v="69960"/>
    <n v="12"/>
    <x v="4"/>
    <n v="1"/>
    <n v="89"/>
    <s v="Chennai"/>
    <x v="1"/>
  </r>
  <r>
    <x v="830"/>
    <x v="18"/>
    <x v="3"/>
    <n v="36"/>
    <x v="1"/>
    <n v="14"/>
    <n v="70024"/>
    <n v="8"/>
    <x v="1"/>
    <n v="5"/>
    <n v="96"/>
    <s v="Delhi"/>
    <x v="0"/>
  </r>
  <r>
    <x v="831"/>
    <x v="8"/>
    <x v="0"/>
    <n v="25"/>
    <x v="1"/>
    <n v="2"/>
    <n v="47078"/>
    <n v="9"/>
    <x v="3"/>
    <n v="3"/>
    <n v="100"/>
    <s v="Delhi"/>
    <x v="0"/>
  </r>
  <r>
    <x v="832"/>
    <x v="0"/>
    <x v="1"/>
    <n v="32"/>
    <x v="1"/>
    <n v="12"/>
    <n v="70242"/>
    <n v="6"/>
    <x v="5"/>
    <n v="1"/>
    <n v="87"/>
    <s v="Hyderabad"/>
    <x v="1"/>
  </r>
  <r>
    <x v="833"/>
    <x v="17"/>
    <x v="2"/>
    <n v="35"/>
    <x v="0"/>
    <n v="6"/>
    <n v="70256"/>
    <n v="4"/>
    <x v="7"/>
    <n v="5"/>
    <n v="87"/>
    <s v="Mumbai"/>
    <x v="1"/>
  </r>
  <r>
    <x v="834"/>
    <x v="4"/>
    <x v="0"/>
    <n v="39"/>
    <x v="0"/>
    <n v="4"/>
    <n v="42304"/>
    <n v="7"/>
    <x v="1"/>
    <n v="1"/>
    <n v="93"/>
    <s v="Bangalore"/>
    <x v="0"/>
  </r>
  <r>
    <x v="835"/>
    <x v="13"/>
    <x v="2"/>
    <n v="25"/>
    <x v="1"/>
    <n v="13"/>
    <n v="70293"/>
    <n v="9"/>
    <x v="0"/>
    <n v="4"/>
    <n v="100"/>
    <s v="Pune"/>
    <x v="0"/>
  </r>
  <r>
    <x v="836"/>
    <x v="15"/>
    <x v="3"/>
    <n v="35"/>
    <x v="0"/>
    <n v="7"/>
    <n v="70317"/>
    <n v="15"/>
    <x v="3"/>
    <n v="2"/>
    <n v="94"/>
    <s v="Hyderabad"/>
    <x v="0"/>
  </r>
  <r>
    <x v="837"/>
    <x v="3"/>
    <x v="2"/>
    <n v="29"/>
    <x v="1"/>
    <n v="10"/>
    <n v="70340"/>
    <n v="6"/>
    <x v="11"/>
    <n v="5"/>
    <n v="89"/>
    <s v="Mumbai"/>
    <x v="1"/>
  </r>
  <r>
    <x v="838"/>
    <x v="0"/>
    <x v="0"/>
    <n v="23"/>
    <x v="0"/>
    <n v="3"/>
    <n v="68014"/>
    <n v="8"/>
    <x v="4"/>
    <n v="2"/>
    <n v="98"/>
    <s v="Bangalore"/>
    <x v="0"/>
  </r>
  <r>
    <x v="839"/>
    <x v="13"/>
    <x v="3"/>
    <n v="38"/>
    <x v="1"/>
    <n v="8"/>
    <n v="70483"/>
    <n v="10"/>
    <x v="13"/>
    <n v="5"/>
    <n v="97"/>
    <s v="Chennai"/>
    <x v="0"/>
  </r>
  <r>
    <x v="840"/>
    <x v="13"/>
    <x v="0"/>
    <n v="24"/>
    <x v="1"/>
    <n v="1"/>
    <n v="44268"/>
    <n v="3"/>
    <x v="5"/>
    <n v="3"/>
    <n v="88"/>
    <s v="Pune"/>
    <x v="1"/>
  </r>
  <r>
    <x v="841"/>
    <x v="13"/>
    <x v="2"/>
    <n v="40"/>
    <x v="1"/>
    <n v="7"/>
    <n v="70483"/>
    <n v="14"/>
    <x v="15"/>
    <n v="2"/>
    <n v="88"/>
    <s v="Hyderabad"/>
    <x v="1"/>
  </r>
  <r>
    <x v="842"/>
    <x v="16"/>
    <x v="3"/>
    <n v="39"/>
    <x v="0"/>
    <n v="11"/>
    <n v="70671"/>
    <n v="12"/>
    <x v="6"/>
    <n v="2"/>
    <n v="85"/>
    <s v="Bangalore"/>
    <x v="1"/>
  </r>
  <r>
    <x v="843"/>
    <x v="7"/>
    <x v="0"/>
    <n v="27"/>
    <x v="0"/>
    <n v="4"/>
    <n v="66701"/>
    <n v="6"/>
    <x v="1"/>
    <n v="1"/>
    <n v="97"/>
    <s v="Delhi"/>
    <x v="0"/>
  </r>
  <r>
    <x v="844"/>
    <x v="16"/>
    <x v="3"/>
    <n v="36"/>
    <x v="1"/>
    <n v="7"/>
    <n v="70701"/>
    <n v="13"/>
    <x v="5"/>
    <n v="2"/>
    <n v="96"/>
    <s v="Chennai"/>
    <x v="0"/>
  </r>
  <r>
    <x v="845"/>
    <x v="4"/>
    <x v="2"/>
    <n v="32"/>
    <x v="0"/>
    <n v="13"/>
    <n v="70733"/>
    <n v="6"/>
    <x v="9"/>
    <n v="4"/>
    <n v="93"/>
    <s v="Pune"/>
    <x v="0"/>
  </r>
  <r>
    <x v="846"/>
    <x v="19"/>
    <x v="0"/>
    <n v="36"/>
    <x v="0"/>
    <n v="9"/>
    <n v="70767"/>
    <n v="8"/>
    <x v="14"/>
    <n v="3"/>
    <n v="90"/>
    <s v="Hyderabad"/>
    <x v="0"/>
  </r>
  <r>
    <x v="847"/>
    <x v="3"/>
    <x v="0"/>
    <n v="40"/>
    <x v="0"/>
    <n v="11"/>
    <n v="70826"/>
    <n v="9"/>
    <x v="0"/>
    <n v="2"/>
    <n v="94"/>
    <s v="Mumbai"/>
    <x v="0"/>
  </r>
  <r>
    <x v="848"/>
    <x v="8"/>
    <x v="0"/>
    <n v="38"/>
    <x v="1"/>
    <n v="3"/>
    <n v="46069"/>
    <n v="12"/>
    <x v="1"/>
    <n v="1"/>
    <n v="85"/>
    <s v="Mumbai"/>
    <x v="1"/>
  </r>
  <r>
    <x v="849"/>
    <x v="8"/>
    <x v="2"/>
    <n v="37"/>
    <x v="1"/>
    <n v="8"/>
    <n v="71183"/>
    <n v="11"/>
    <x v="2"/>
    <n v="1"/>
    <n v="100"/>
    <s v="Bangalore"/>
    <x v="0"/>
  </r>
  <r>
    <x v="850"/>
    <x v="1"/>
    <x v="1"/>
    <n v="39"/>
    <x v="1"/>
    <n v="8"/>
    <n v="71215"/>
    <n v="7"/>
    <x v="13"/>
    <n v="4"/>
    <n v="86"/>
    <s v="Delhi"/>
    <x v="1"/>
  </r>
  <r>
    <x v="851"/>
    <x v="12"/>
    <x v="3"/>
    <n v="38"/>
    <x v="1"/>
    <n v="2"/>
    <n v="62234"/>
    <n v="11"/>
    <x v="10"/>
    <n v="4"/>
    <n v="94"/>
    <s v="Chennai"/>
    <x v="0"/>
  </r>
  <r>
    <x v="852"/>
    <x v="6"/>
    <x v="1"/>
    <n v="22"/>
    <x v="0"/>
    <n v="15"/>
    <n v="71226"/>
    <n v="5"/>
    <x v="5"/>
    <n v="1"/>
    <n v="98"/>
    <s v="Bangalore"/>
    <x v="0"/>
  </r>
  <r>
    <x v="853"/>
    <x v="3"/>
    <x v="1"/>
    <n v="30"/>
    <x v="0"/>
    <n v="3"/>
    <n v="26438"/>
    <n v="14"/>
    <x v="0"/>
    <n v="3"/>
    <n v="94"/>
    <s v="Mumbai"/>
    <x v="0"/>
  </r>
  <r>
    <x v="854"/>
    <x v="12"/>
    <x v="3"/>
    <n v="27"/>
    <x v="1"/>
    <n v="11"/>
    <n v="71265"/>
    <n v="11"/>
    <x v="12"/>
    <n v="3"/>
    <n v="91"/>
    <s v="Delhi"/>
    <x v="0"/>
  </r>
  <r>
    <x v="855"/>
    <x v="3"/>
    <x v="1"/>
    <n v="26"/>
    <x v="1"/>
    <n v="12"/>
    <n v="71354"/>
    <n v="9"/>
    <x v="7"/>
    <n v="5"/>
    <n v="88"/>
    <s v="Hyderabad"/>
    <x v="1"/>
  </r>
  <r>
    <x v="856"/>
    <x v="8"/>
    <x v="3"/>
    <n v="22"/>
    <x v="0"/>
    <n v="9"/>
    <n v="71429"/>
    <n v="6"/>
    <x v="2"/>
    <n v="1"/>
    <n v="100"/>
    <s v="Pune"/>
    <x v="0"/>
  </r>
  <r>
    <x v="857"/>
    <x v="2"/>
    <x v="3"/>
    <n v="38"/>
    <x v="1"/>
    <n v="8"/>
    <n v="71490"/>
    <n v="11"/>
    <x v="6"/>
    <n v="1"/>
    <n v="94"/>
    <s v="Chennai"/>
    <x v="0"/>
  </r>
  <r>
    <x v="858"/>
    <x v="1"/>
    <x v="3"/>
    <n v="30"/>
    <x v="1"/>
    <n v="7"/>
    <n v="71560"/>
    <n v="6"/>
    <x v="14"/>
    <n v="5"/>
    <n v="92"/>
    <s v="Bangalore"/>
    <x v="0"/>
  </r>
  <r>
    <x v="859"/>
    <x v="19"/>
    <x v="0"/>
    <n v="31"/>
    <x v="1"/>
    <n v="9"/>
    <n v="71640"/>
    <n v="11"/>
    <x v="12"/>
    <n v="3"/>
    <n v="87"/>
    <s v="Delhi"/>
    <x v="1"/>
  </r>
  <r>
    <x v="860"/>
    <x v="17"/>
    <x v="0"/>
    <n v="24"/>
    <x v="0"/>
    <n v="2"/>
    <n v="62648"/>
    <n v="3"/>
    <x v="15"/>
    <n v="2"/>
    <n v="87"/>
    <s v="Delhi"/>
    <x v="1"/>
  </r>
  <r>
    <x v="861"/>
    <x v="2"/>
    <x v="1"/>
    <n v="40"/>
    <x v="0"/>
    <n v="4"/>
    <n v="38931"/>
    <n v="15"/>
    <x v="0"/>
    <n v="5"/>
    <n v="91"/>
    <s v="Chennai"/>
    <x v="0"/>
  </r>
  <r>
    <x v="862"/>
    <x v="2"/>
    <x v="2"/>
    <n v="31"/>
    <x v="0"/>
    <n v="12"/>
    <n v="71700"/>
    <n v="10"/>
    <x v="15"/>
    <n v="4"/>
    <n v="89"/>
    <s v="Mumbai"/>
    <x v="1"/>
  </r>
  <r>
    <x v="863"/>
    <x v="5"/>
    <x v="3"/>
    <n v="32"/>
    <x v="1"/>
    <n v="12"/>
    <n v="72027"/>
    <n v="10"/>
    <x v="2"/>
    <n v="4"/>
    <n v="95"/>
    <s v="Mumbai"/>
    <x v="0"/>
  </r>
  <r>
    <x v="864"/>
    <x v="19"/>
    <x v="3"/>
    <n v="23"/>
    <x v="1"/>
    <n v="13"/>
    <n v="72046"/>
    <n v="6"/>
    <x v="5"/>
    <n v="2"/>
    <n v="97"/>
    <s v="Delhi"/>
    <x v="0"/>
  </r>
  <r>
    <x v="865"/>
    <x v="11"/>
    <x v="1"/>
    <n v="29"/>
    <x v="1"/>
    <n v="8"/>
    <n v="72233"/>
    <n v="8"/>
    <x v="14"/>
    <n v="1"/>
    <n v="88"/>
    <s v="Mumbai"/>
    <x v="1"/>
  </r>
  <r>
    <x v="866"/>
    <x v="1"/>
    <x v="0"/>
    <n v="29"/>
    <x v="0"/>
    <n v="8"/>
    <n v="72387"/>
    <n v="5"/>
    <x v="13"/>
    <n v="3"/>
    <n v="92"/>
    <s v="Delhi"/>
    <x v="0"/>
  </r>
  <r>
    <x v="867"/>
    <x v="11"/>
    <x v="3"/>
    <n v="27"/>
    <x v="0"/>
    <n v="8"/>
    <n v="72406"/>
    <n v="14"/>
    <x v="9"/>
    <n v="5"/>
    <n v="85"/>
    <s v="Pune"/>
    <x v="1"/>
  </r>
  <r>
    <x v="868"/>
    <x v="15"/>
    <x v="0"/>
    <n v="31"/>
    <x v="1"/>
    <n v="2"/>
    <n v="30550"/>
    <n v="9"/>
    <x v="0"/>
    <n v="2"/>
    <n v="90"/>
    <s v="Mumbai"/>
    <x v="0"/>
  </r>
  <r>
    <x v="869"/>
    <x v="18"/>
    <x v="2"/>
    <n v="35"/>
    <x v="0"/>
    <n v="1"/>
    <n v="52211"/>
    <n v="14"/>
    <x v="8"/>
    <n v="5"/>
    <n v="95"/>
    <s v="Bangalore"/>
    <x v="0"/>
  </r>
  <r>
    <x v="870"/>
    <x v="7"/>
    <x v="0"/>
    <n v="22"/>
    <x v="1"/>
    <n v="15"/>
    <n v="72494"/>
    <n v="5"/>
    <x v="1"/>
    <n v="2"/>
    <n v="96"/>
    <s v="Chennai"/>
    <x v="0"/>
  </r>
  <r>
    <x v="871"/>
    <x v="10"/>
    <x v="0"/>
    <n v="34"/>
    <x v="1"/>
    <n v="4"/>
    <n v="51177"/>
    <n v="10"/>
    <x v="7"/>
    <n v="2"/>
    <n v="89"/>
    <s v="Delhi"/>
    <x v="1"/>
  </r>
  <r>
    <x v="872"/>
    <x v="2"/>
    <x v="1"/>
    <n v="35"/>
    <x v="0"/>
    <n v="14"/>
    <n v="72546"/>
    <n v="4"/>
    <x v="15"/>
    <n v="5"/>
    <n v="87"/>
    <s v="Hyderabad"/>
    <x v="1"/>
  </r>
  <r>
    <x v="873"/>
    <x v="18"/>
    <x v="0"/>
    <n v="23"/>
    <x v="0"/>
    <n v="5"/>
    <n v="72626"/>
    <n v="5"/>
    <x v="5"/>
    <n v="3"/>
    <n v="99"/>
    <s v="Hyderabad"/>
    <x v="0"/>
  </r>
  <r>
    <x v="874"/>
    <x v="9"/>
    <x v="2"/>
    <n v="34"/>
    <x v="1"/>
    <n v="4"/>
    <n v="66208"/>
    <n v="3"/>
    <x v="15"/>
    <n v="5"/>
    <n v="95"/>
    <s v="Chennai"/>
    <x v="0"/>
  </r>
  <r>
    <x v="875"/>
    <x v="1"/>
    <x v="3"/>
    <n v="39"/>
    <x v="1"/>
    <n v="7"/>
    <n v="72703"/>
    <n v="15"/>
    <x v="15"/>
    <n v="1"/>
    <n v="88"/>
    <s v="Chennai"/>
    <x v="1"/>
  </r>
  <r>
    <x v="876"/>
    <x v="15"/>
    <x v="1"/>
    <n v="35"/>
    <x v="1"/>
    <n v="15"/>
    <n v="72829"/>
    <n v="12"/>
    <x v="4"/>
    <n v="1"/>
    <n v="89"/>
    <s v="Pune"/>
    <x v="1"/>
  </r>
  <r>
    <x v="877"/>
    <x v="19"/>
    <x v="0"/>
    <n v="36"/>
    <x v="0"/>
    <n v="15"/>
    <n v="72897"/>
    <n v="5"/>
    <x v="7"/>
    <n v="3"/>
    <n v="90"/>
    <s v="Chennai"/>
    <x v="0"/>
  </r>
  <r>
    <x v="878"/>
    <x v="8"/>
    <x v="0"/>
    <n v="38"/>
    <x v="0"/>
    <n v="6"/>
    <n v="72900"/>
    <n v="9"/>
    <x v="9"/>
    <n v="5"/>
    <n v="89"/>
    <s v="Pune"/>
    <x v="1"/>
  </r>
  <r>
    <x v="879"/>
    <x v="8"/>
    <x v="0"/>
    <n v="33"/>
    <x v="0"/>
    <n v="2"/>
    <n v="59797"/>
    <n v="8"/>
    <x v="14"/>
    <n v="3"/>
    <n v="92"/>
    <s v="Pune"/>
    <x v="0"/>
  </r>
  <r>
    <x v="880"/>
    <x v="1"/>
    <x v="2"/>
    <n v="24"/>
    <x v="0"/>
    <n v="1"/>
    <n v="71209"/>
    <n v="6"/>
    <x v="15"/>
    <n v="2"/>
    <n v="93"/>
    <s v="Hyderabad"/>
    <x v="0"/>
  </r>
  <r>
    <x v="881"/>
    <x v="13"/>
    <x v="2"/>
    <n v="29"/>
    <x v="0"/>
    <n v="12"/>
    <n v="72940"/>
    <n v="14"/>
    <x v="5"/>
    <n v="5"/>
    <n v="99"/>
    <s v="Chennai"/>
    <x v="0"/>
  </r>
  <r>
    <x v="882"/>
    <x v="15"/>
    <x v="3"/>
    <n v="25"/>
    <x v="1"/>
    <n v="3"/>
    <n v="40052"/>
    <n v="13"/>
    <x v="4"/>
    <n v="5"/>
    <n v="92"/>
    <s v="Bangalore"/>
    <x v="0"/>
  </r>
  <r>
    <x v="883"/>
    <x v="6"/>
    <x v="2"/>
    <n v="29"/>
    <x v="0"/>
    <n v="12"/>
    <n v="72963"/>
    <n v="15"/>
    <x v="8"/>
    <n v="1"/>
    <n v="92"/>
    <s v="Hyderabad"/>
    <x v="0"/>
  </r>
  <r>
    <x v="884"/>
    <x v="18"/>
    <x v="3"/>
    <n v="26"/>
    <x v="0"/>
    <n v="8"/>
    <n v="73165"/>
    <n v="14"/>
    <x v="8"/>
    <n v="4"/>
    <n v="100"/>
    <s v="Chennai"/>
    <x v="0"/>
  </r>
  <r>
    <x v="885"/>
    <x v="8"/>
    <x v="0"/>
    <n v="25"/>
    <x v="1"/>
    <n v="3"/>
    <n v="65518"/>
    <n v="10"/>
    <x v="1"/>
    <n v="1"/>
    <n v="89"/>
    <s v="Bangalore"/>
    <x v="1"/>
  </r>
  <r>
    <x v="886"/>
    <x v="1"/>
    <x v="2"/>
    <n v="33"/>
    <x v="0"/>
    <n v="9"/>
    <n v="73293"/>
    <n v="14"/>
    <x v="0"/>
    <n v="1"/>
    <n v="98"/>
    <s v="Chennai"/>
    <x v="0"/>
  </r>
  <r>
    <x v="887"/>
    <x v="10"/>
    <x v="0"/>
    <n v="24"/>
    <x v="0"/>
    <n v="13"/>
    <n v="73356"/>
    <n v="13"/>
    <x v="9"/>
    <n v="3"/>
    <n v="93"/>
    <s v="Delhi"/>
    <x v="0"/>
  </r>
  <r>
    <x v="888"/>
    <x v="11"/>
    <x v="0"/>
    <n v="23"/>
    <x v="0"/>
    <n v="5"/>
    <n v="73375"/>
    <n v="4"/>
    <x v="15"/>
    <n v="5"/>
    <n v="93"/>
    <s v="Pune"/>
    <x v="0"/>
  </r>
  <r>
    <x v="889"/>
    <x v="10"/>
    <x v="1"/>
    <n v="27"/>
    <x v="0"/>
    <n v="5"/>
    <n v="73427"/>
    <n v="3"/>
    <x v="13"/>
    <n v="4"/>
    <n v="89"/>
    <s v="Delhi"/>
    <x v="1"/>
  </r>
  <r>
    <x v="890"/>
    <x v="6"/>
    <x v="3"/>
    <n v="26"/>
    <x v="0"/>
    <n v="1"/>
    <n v="59711"/>
    <n v="6"/>
    <x v="10"/>
    <n v="1"/>
    <n v="100"/>
    <s v="Mumbai"/>
    <x v="0"/>
  </r>
  <r>
    <x v="891"/>
    <x v="19"/>
    <x v="1"/>
    <n v="35"/>
    <x v="0"/>
    <n v="3"/>
    <n v="76718"/>
    <n v="14"/>
    <x v="3"/>
    <n v="1"/>
    <n v="91"/>
    <s v="Bangalore"/>
    <x v="0"/>
  </r>
  <r>
    <x v="892"/>
    <x v="17"/>
    <x v="3"/>
    <n v="33"/>
    <x v="1"/>
    <n v="14"/>
    <n v="73546"/>
    <n v="10"/>
    <x v="0"/>
    <n v="1"/>
    <n v="90"/>
    <s v="Bangalore"/>
    <x v="0"/>
  </r>
  <r>
    <x v="893"/>
    <x v="2"/>
    <x v="0"/>
    <n v="34"/>
    <x v="1"/>
    <n v="13"/>
    <n v="73661"/>
    <n v="6"/>
    <x v="7"/>
    <n v="4"/>
    <n v="98"/>
    <s v="Bangalore"/>
    <x v="0"/>
  </r>
  <r>
    <x v="894"/>
    <x v="16"/>
    <x v="3"/>
    <n v="30"/>
    <x v="0"/>
    <n v="2"/>
    <n v="59574"/>
    <n v="12"/>
    <x v="8"/>
    <n v="3"/>
    <n v="96"/>
    <s v="Delhi"/>
    <x v="0"/>
  </r>
  <r>
    <x v="895"/>
    <x v="11"/>
    <x v="1"/>
    <n v="40"/>
    <x v="1"/>
    <n v="9"/>
    <n v="73738"/>
    <n v="6"/>
    <x v="12"/>
    <n v="4"/>
    <n v="99"/>
    <s v="Chennai"/>
    <x v="0"/>
  </r>
  <r>
    <x v="896"/>
    <x v="10"/>
    <x v="2"/>
    <n v="31"/>
    <x v="0"/>
    <n v="12"/>
    <n v="73872"/>
    <n v="3"/>
    <x v="13"/>
    <n v="1"/>
    <n v="87"/>
    <s v="Mumbai"/>
    <x v="1"/>
  </r>
  <r>
    <x v="897"/>
    <x v="12"/>
    <x v="0"/>
    <n v="30"/>
    <x v="1"/>
    <n v="10"/>
    <n v="73986"/>
    <n v="11"/>
    <x v="3"/>
    <n v="5"/>
    <n v="97"/>
    <s v="Chennai"/>
    <x v="0"/>
  </r>
  <r>
    <x v="898"/>
    <x v="14"/>
    <x v="3"/>
    <n v="32"/>
    <x v="0"/>
    <n v="10"/>
    <n v="74010"/>
    <n v="9"/>
    <x v="13"/>
    <n v="5"/>
    <n v="88"/>
    <s v="Pune"/>
    <x v="1"/>
  </r>
  <r>
    <x v="899"/>
    <x v="5"/>
    <x v="0"/>
    <n v="33"/>
    <x v="0"/>
    <n v="9"/>
    <n v="74134"/>
    <n v="4"/>
    <x v="12"/>
    <n v="5"/>
    <n v="90"/>
    <s v="Mumbai"/>
    <x v="0"/>
  </r>
  <r>
    <x v="900"/>
    <x v="2"/>
    <x v="0"/>
    <n v="38"/>
    <x v="1"/>
    <n v="5"/>
    <n v="74614"/>
    <n v="13"/>
    <x v="7"/>
    <n v="5"/>
    <n v="85"/>
    <s v="Bangalore"/>
    <x v="1"/>
  </r>
  <r>
    <x v="901"/>
    <x v="9"/>
    <x v="1"/>
    <n v="27"/>
    <x v="1"/>
    <n v="10"/>
    <n v="74627"/>
    <n v="13"/>
    <x v="0"/>
    <n v="5"/>
    <n v="94"/>
    <s v="Pune"/>
    <x v="0"/>
  </r>
  <r>
    <x v="902"/>
    <x v="8"/>
    <x v="1"/>
    <n v="30"/>
    <x v="0"/>
    <n v="5"/>
    <n v="74664"/>
    <n v="4"/>
    <x v="6"/>
    <n v="1"/>
    <n v="99"/>
    <s v="Pune"/>
    <x v="0"/>
  </r>
  <r>
    <x v="903"/>
    <x v="9"/>
    <x v="1"/>
    <n v="23"/>
    <x v="1"/>
    <n v="13"/>
    <n v="74819"/>
    <n v="13"/>
    <x v="15"/>
    <n v="2"/>
    <n v="94"/>
    <s v="Chennai"/>
    <x v="0"/>
  </r>
  <r>
    <x v="904"/>
    <x v="19"/>
    <x v="3"/>
    <n v="39"/>
    <x v="1"/>
    <n v="9"/>
    <n v="74855"/>
    <n v="15"/>
    <x v="11"/>
    <n v="2"/>
    <n v="91"/>
    <s v="Bangalore"/>
    <x v="0"/>
  </r>
  <r>
    <x v="905"/>
    <x v="3"/>
    <x v="1"/>
    <n v="29"/>
    <x v="0"/>
    <n v="11"/>
    <n v="74878"/>
    <n v="3"/>
    <x v="3"/>
    <n v="4"/>
    <n v="87"/>
    <s v="Hyderabad"/>
    <x v="1"/>
  </r>
  <r>
    <x v="906"/>
    <x v="9"/>
    <x v="2"/>
    <n v="39"/>
    <x v="1"/>
    <n v="5"/>
    <n v="74914"/>
    <n v="13"/>
    <x v="4"/>
    <n v="2"/>
    <n v="94"/>
    <s v="Pune"/>
    <x v="0"/>
  </r>
  <r>
    <x v="907"/>
    <x v="14"/>
    <x v="0"/>
    <n v="32"/>
    <x v="1"/>
    <n v="14"/>
    <n v="74934"/>
    <n v="11"/>
    <x v="7"/>
    <n v="5"/>
    <n v="98"/>
    <s v="Bangalore"/>
    <x v="0"/>
  </r>
  <r>
    <x v="908"/>
    <x v="14"/>
    <x v="0"/>
    <n v="35"/>
    <x v="0"/>
    <n v="5"/>
    <n v="75063"/>
    <n v="5"/>
    <x v="9"/>
    <n v="5"/>
    <n v="99"/>
    <s v="Bangalore"/>
    <x v="0"/>
  </r>
  <r>
    <x v="909"/>
    <x v="12"/>
    <x v="2"/>
    <n v="39"/>
    <x v="1"/>
    <n v="1"/>
    <n v="30478"/>
    <n v="15"/>
    <x v="3"/>
    <n v="3"/>
    <n v="86"/>
    <s v="Bangalore"/>
    <x v="1"/>
  </r>
  <r>
    <x v="910"/>
    <x v="16"/>
    <x v="0"/>
    <n v="27"/>
    <x v="0"/>
    <n v="1"/>
    <n v="71524"/>
    <n v="7"/>
    <x v="9"/>
    <n v="1"/>
    <n v="92"/>
    <s v="Chennai"/>
    <x v="0"/>
  </r>
  <r>
    <x v="911"/>
    <x v="16"/>
    <x v="3"/>
    <n v="22"/>
    <x v="0"/>
    <n v="3"/>
    <n v="75077"/>
    <n v="14"/>
    <x v="2"/>
    <n v="1"/>
    <n v="97"/>
    <s v="Delhi"/>
    <x v="0"/>
  </r>
  <r>
    <x v="912"/>
    <x v="16"/>
    <x v="0"/>
    <n v="37"/>
    <x v="0"/>
    <n v="13"/>
    <n v="75113"/>
    <n v="6"/>
    <x v="15"/>
    <n v="4"/>
    <n v="97"/>
    <s v="Mumbai"/>
    <x v="0"/>
  </r>
  <r>
    <x v="913"/>
    <x v="3"/>
    <x v="3"/>
    <n v="23"/>
    <x v="1"/>
    <n v="12"/>
    <n v="75326"/>
    <n v="6"/>
    <x v="8"/>
    <n v="5"/>
    <n v="90"/>
    <s v="Mumbai"/>
    <x v="0"/>
  </r>
  <r>
    <x v="914"/>
    <x v="14"/>
    <x v="0"/>
    <n v="34"/>
    <x v="1"/>
    <n v="14"/>
    <n v="75484"/>
    <n v="12"/>
    <x v="7"/>
    <n v="1"/>
    <n v="86"/>
    <s v="Chennai"/>
    <x v="1"/>
  </r>
  <r>
    <x v="915"/>
    <x v="14"/>
    <x v="3"/>
    <n v="26"/>
    <x v="1"/>
    <n v="9"/>
    <n v="75620"/>
    <n v="12"/>
    <x v="1"/>
    <n v="5"/>
    <n v="90"/>
    <s v="Chennai"/>
    <x v="0"/>
  </r>
  <r>
    <x v="916"/>
    <x v="3"/>
    <x v="0"/>
    <n v="28"/>
    <x v="0"/>
    <n v="11"/>
    <n v="75650"/>
    <n v="9"/>
    <x v="10"/>
    <n v="3"/>
    <n v="98"/>
    <s v="Mumbai"/>
    <x v="0"/>
  </r>
  <r>
    <x v="917"/>
    <x v="1"/>
    <x v="0"/>
    <n v="23"/>
    <x v="1"/>
    <n v="1"/>
    <n v="36249"/>
    <n v="7"/>
    <x v="8"/>
    <n v="4"/>
    <n v="87"/>
    <s v="Mumbai"/>
    <x v="1"/>
  </r>
  <r>
    <x v="918"/>
    <x v="16"/>
    <x v="2"/>
    <n v="38"/>
    <x v="0"/>
    <n v="11"/>
    <n v="75787"/>
    <n v="6"/>
    <x v="4"/>
    <n v="4"/>
    <n v="88"/>
    <s v="Chennai"/>
    <x v="1"/>
  </r>
  <r>
    <x v="919"/>
    <x v="11"/>
    <x v="2"/>
    <n v="38"/>
    <x v="0"/>
    <n v="2"/>
    <n v="48337"/>
    <n v="9"/>
    <x v="13"/>
    <n v="2"/>
    <n v="97"/>
    <s v="Bangalore"/>
    <x v="0"/>
  </r>
  <r>
    <x v="920"/>
    <x v="1"/>
    <x v="3"/>
    <n v="33"/>
    <x v="1"/>
    <n v="7"/>
    <n v="75863"/>
    <n v="3"/>
    <x v="13"/>
    <n v="4"/>
    <n v="85"/>
    <s v="Mumbai"/>
    <x v="1"/>
  </r>
  <r>
    <x v="921"/>
    <x v="5"/>
    <x v="0"/>
    <n v="30"/>
    <x v="1"/>
    <n v="2"/>
    <n v="56311"/>
    <n v="15"/>
    <x v="15"/>
    <n v="2"/>
    <n v="91"/>
    <s v="Chennai"/>
    <x v="0"/>
  </r>
  <r>
    <x v="922"/>
    <x v="1"/>
    <x v="3"/>
    <n v="28"/>
    <x v="1"/>
    <n v="3"/>
    <n v="25039"/>
    <n v="11"/>
    <x v="1"/>
    <n v="3"/>
    <n v="95"/>
    <s v="Delhi"/>
    <x v="0"/>
  </r>
  <r>
    <x v="923"/>
    <x v="17"/>
    <x v="3"/>
    <n v="40"/>
    <x v="0"/>
    <n v="9"/>
    <n v="75874"/>
    <n v="13"/>
    <x v="9"/>
    <n v="4"/>
    <n v="97"/>
    <s v="Mumbai"/>
    <x v="0"/>
  </r>
  <r>
    <x v="924"/>
    <x v="4"/>
    <x v="2"/>
    <n v="22"/>
    <x v="1"/>
    <n v="8"/>
    <n v="76243"/>
    <n v="9"/>
    <x v="9"/>
    <n v="1"/>
    <n v="95"/>
    <s v="Chennai"/>
    <x v="0"/>
  </r>
  <r>
    <x v="925"/>
    <x v="16"/>
    <x v="0"/>
    <n v="26"/>
    <x v="0"/>
    <n v="6"/>
    <n v="76256"/>
    <n v="7"/>
    <x v="9"/>
    <n v="1"/>
    <n v="96"/>
    <s v="Chennai"/>
    <x v="0"/>
  </r>
  <r>
    <x v="926"/>
    <x v="11"/>
    <x v="3"/>
    <n v="37"/>
    <x v="0"/>
    <n v="6"/>
    <n v="76342"/>
    <n v="11"/>
    <x v="15"/>
    <n v="3"/>
    <n v="91"/>
    <s v="Mumbai"/>
    <x v="0"/>
  </r>
  <r>
    <x v="927"/>
    <x v="17"/>
    <x v="2"/>
    <n v="31"/>
    <x v="0"/>
    <n v="15"/>
    <n v="76389"/>
    <n v="6"/>
    <x v="5"/>
    <n v="2"/>
    <n v="95"/>
    <s v="Delhi"/>
    <x v="0"/>
  </r>
  <r>
    <x v="928"/>
    <x v="7"/>
    <x v="2"/>
    <n v="37"/>
    <x v="0"/>
    <n v="11"/>
    <n v="76423"/>
    <n v="15"/>
    <x v="9"/>
    <n v="5"/>
    <n v="94"/>
    <s v="Pune"/>
    <x v="0"/>
  </r>
  <r>
    <x v="929"/>
    <x v="17"/>
    <x v="2"/>
    <n v="40"/>
    <x v="0"/>
    <n v="5"/>
    <n v="76499"/>
    <n v="10"/>
    <x v="13"/>
    <n v="2"/>
    <n v="92"/>
    <s v="Hyderabad"/>
    <x v="0"/>
  </r>
  <r>
    <x v="930"/>
    <x v="5"/>
    <x v="2"/>
    <n v="37"/>
    <x v="0"/>
    <n v="10"/>
    <n v="76531"/>
    <n v="12"/>
    <x v="15"/>
    <n v="5"/>
    <n v="98"/>
    <s v="Hyderabad"/>
    <x v="0"/>
  </r>
  <r>
    <x v="931"/>
    <x v="14"/>
    <x v="3"/>
    <n v="23"/>
    <x v="0"/>
    <n v="1"/>
    <n v="44696"/>
    <n v="12"/>
    <x v="10"/>
    <n v="3"/>
    <n v="87"/>
    <s v="Bangalore"/>
    <x v="1"/>
  </r>
  <r>
    <x v="932"/>
    <x v="10"/>
    <x v="0"/>
    <n v="30"/>
    <x v="0"/>
    <n v="4"/>
    <n v="26403"/>
    <n v="4"/>
    <x v="11"/>
    <n v="2"/>
    <n v="95"/>
    <s v="Hyderabad"/>
    <x v="0"/>
  </r>
  <r>
    <x v="933"/>
    <x v="14"/>
    <x v="2"/>
    <n v="28"/>
    <x v="0"/>
    <n v="7"/>
    <n v="76533"/>
    <n v="3"/>
    <x v="14"/>
    <n v="5"/>
    <n v="93"/>
    <s v="Mumbai"/>
    <x v="0"/>
  </r>
  <r>
    <x v="934"/>
    <x v="8"/>
    <x v="1"/>
    <n v="36"/>
    <x v="0"/>
    <n v="7"/>
    <n v="76702"/>
    <n v="9"/>
    <x v="10"/>
    <n v="4"/>
    <n v="88"/>
    <s v="Bangalore"/>
    <x v="1"/>
  </r>
  <r>
    <x v="935"/>
    <x v="2"/>
    <x v="1"/>
    <n v="27"/>
    <x v="0"/>
    <n v="6"/>
    <n v="76824"/>
    <n v="6"/>
    <x v="11"/>
    <n v="5"/>
    <n v="85"/>
    <s v="Bangalore"/>
    <x v="1"/>
  </r>
  <r>
    <x v="936"/>
    <x v="7"/>
    <x v="1"/>
    <n v="25"/>
    <x v="0"/>
    <n v="14"/>
    <n v="76866"/>
    <n v="8"/>
    <x v="13"/>
    <n v="3"/>
    <n v="90"/>
    <s v="Delhi"/>
    <x v="0"/>
  </r>
  <r>
    <x v="937"/>
    <x v="5"/>
    <x v="2"/>
    <n v="33"/>
    <x v="0"/>
    <n v="12"/>
    <n v="76956"/>
    <n v="7"/>
    <x v="6"/>
    <n v="3"/>
    <n v="90"/>
    <s v="Hyderabad"/>
    <x v="0"/>
  </r>
  <r>
    <x v="938"/>
    <x v="10"/>
    <x v="1"/>
    <n v="34"/>
    <x v="0"/>
    <n v="9"/>
    <n v="76959"/>
    <n v="4"/>
    <x v="12"/>
    <n v="4"/>
    <n v="96"/>
    <s v="Mumbai"/>
    <x v="0"/>
  </r>
  <r>
    <x v="939"/>
    <x v="1"/>
    <x v="3"/>
    <n v="29"/>
    <x v="0"/>
    <n v="2"/>
    <n v="31566"/>
    <n v="9"/>
    <x v="0"/>
    <n v="4"/>
    <n v="100"/>
    <s v="Pune"/>
    <x v="0"/>
  </r>
  <r>
    <x v="940"/>
    <x v="12"/>
    <x v="3"/>
    <n v="38"/>
    <x v="0"/>
    <n v="9"/>
    <n v="77051"/>
    <n v="10"/>
    <x v="1"/>
    <n v="2"/>
    <n v="93"/>
    <s v="Hyderabad"/>
    <x v="0"/>
  </r>
  <r>
    <x v="941"/>
    <x v="17"/>
    <x v="2"/>
    <n v="33"/>
    <x v="0"/>
    <n v="6"/>
    <n v="77495"/>
    <n v="14"/>
    <x v="11"/>
    <n v="5"/>
    <n v="87"/>
    <s v="Mumbai"/>
    <x v="1"/>
  </r>
  <r>
    <x v="942"/>
    <x v="11"/>
    <x v="1"/>
    <n v="29"/>
    <x v="1"/>
    <n v="10"/>
    <n v="77522"/>
    <n v="4"/>
    <x v="0"/>
    <n v="5"/>
    <n v="99"/>
    <s v="Hyderabad"/>
    <x v="0"/>
  </r>
  <r>
    <x v="943"/>
    <x v="7"/>
    <x v="2"/>
    <n v="24"/>
    <x v="1"/>
    <n v="12"/>
    <n v="77647"/>
    <n v="9"/>
    <x v="7"/>
    <n v="4"/>
    <n v="98"/>
    <s v="Delhi"/>
    <x v="0"/>
  </r>
  <r>
    <x v="944"/>
    <x v="8"/>
    <x v="1"/>
    <n v="22"/>
    <x v="1"/>
    <n v="1"/>
    <n v="38608"/>
    <n v="15"/>
    <x v="4"/>
    <n v="4"/>
    <n v="96"/>
    <s v="Chennai"/>
    <x v="0"/>
  </r>
  <r>
    <x v="945"/>
    <x v="18"/>
    <x v="2"/>
    <n v="31"/>
    <x v="1"/>
    <n v="1"/>
    <n v="49205"/>
    <n v="7"/>
    <x v="0"/>
    <n v="2"/>
    <n v="93"/>
    <s v="Pune"/>
    <x v="0"/>
  </r>
  <r>
    <x v="946"/>
    <x v="16"/>
    <x v="1"/>
    <n v="26"/>
    <x v="1"/>
    <n v="10"/>
    <n v="77673"/>
    <n v="12"/>
    <x v="14"/>
    <n v="4"/>
    <n v="96"/>
    <s v="Hyderabad"/>
    <x v="0"/>
  </r>
  <r>
    <x v="947"/>
    <x v="6"/>
    <x v="2"/>
    <n v="35"/>
    <x v="1"/>
    <n v="12"/>
    <n v="77734"/>
    <n v="8"/>
    <x v="14"/>
    <n v="1"/>
    <n v="86"/>
    <s v="Mumbai"/>
    <x v="1"/>
  </r>
  <r>
    <x v="948"/>
    <x v="11"/>
    <x v="0"/>
    <n v="24"/>
    <x v="0"/>
    <n v="10"/>
    <n v="77737"/>
    <n v="11"/>
    <x v="6"/>
    <n v="1"/>
    <n v="88"/>
    <s v="Pune"/>
    <x v="1"/>
  </r>
  <r>
    <x v="949"/>
    <x v="19"/>
    <x v="2"/>
    <n v="27"/>
    <x v="1"/>
    <n v="4"/>
    <n v="58350"/>
    <n v="15"/>
    <x v="6"/>
    <n v="4"/>
    <n v="88"/>
    <s v="Bangalore"/>
    <x v="1"/>
  </r>
  <r>
    <x v="950"/>
    <x v="8"/>
    <x v="1"/>
    <n v="26"/>
    <x v="0"/>
    <n v="5"/>
    <n v="77979"/>
    <n v="7"/>
    <x v="14"/>
    <n v="2"/>
    <n v="91"/>
    <s v="Hyderabad"/>
    <x v="0"/>
  </r>
  <r>
    <x v="951"/>
    <x v="2"/>
    <x v="0"/>
    <n v="28"/>
    <x v="0"/>
    <n v="2"/>
    <n v="59803"/>
    <n v="4"/>
    <x v="7"/>
    <n v="2"/>
    <n v="89"/>
    <s v="Chennai"/>
    <x v="1"/>
  </r>
  <r>
    <x v="952"/>
    <x v="19"/>
    <x v="1"/>
    <n v="36"/>
    <x v="1"/>
    <n v="14"/>
    <n v="77981"/>
    <n v="3"/>
    <x v="15"/>
    <n v="3"/>
    <n v="90"/>
    <s v="Mumbai"/>
    <x v="0"/>
  </r>
  <r>
    <x v="953"/>
    <x v="12"/>
    <x v="1"/>
    <n v="24"/>
    <x v="0"/>
    <n v="13"/>
    <n v="77990"/>
    <n v="3"/>
    <x v="7"/>
    <n v="2"/>
    <n v="93"/>
    <s v="Pune"/>
    <x v="0"/>
  </r>
  <r>
    <x v="954"/>
    <x v="1"/>
    <x v="2"/>
    <n v="39"/>
    <x v="0"/>
    <n v="4"/>
    <n v="52802"/>
    <n v="7"/>
    <x v="5"/>
    <n v="2"/>
    <n v="86"/>
    <s v="Hyderabad"/>
    <x v="1"/>
  </r>
  <r>
    <x v="955"/>
    <x v="12"/>
    <x v="3"/>
    <n v="33"/>
    <x v="1"/>
    <n v="4"/>
    <n v="56514"/>
    <n v="6"/>
    <x v="13"/>
    <n v="3"/>
    <n v="90"/>
    <s v="Chennai"/>
    <x v="0"/>
  </r>
  <r>
    <x v="956"/>
    <x v="8"/>
    <x v="1"/>
    <n v="37"/>
    <x v="0"/>
    <n v="8"/>
    <n v="78107"/>
    <n v="10"/>
    <x v="9"/>
    <n v="2"/>
    <n v="90"/>
    <s v="Hyderabad"/>
    <x v="0"/>
  </r>
  <r>
    <x v="957"/>
    <x v="13"/>
    <x v="3"/>
    <n v="34"/>
    <x v="1"/>
    <n v="13"/>
    <n v="78164"/>
    <n v="11"/>
    <x v="6"/>
    <n v="5"/>
    <n v="100"/>
    <s v="Mumbai"/>
    <x v="0"/>
  </r>
  <r>
    <x v="958"/>
    <x v="2"/>
    <x v="3"/>
    <n v="38"/>
    <x v="0"/>
    <n v="6"/>
    <n v="78173"/>
    <n v="7"/>
    <x v="14"/>
    <n v="4"/>
    <n v="98"/>
    <s v="Pune"/>
    <x v="0"/>
  </r>
  <r>
    <x v="959"/>
    <x v="2"/>
    <x v="2"/>
    <n v="40"/>
    <x v="0"/>
    <n v="13"/>
    <n v="78385"/>
    <n v="10"/>
    <x v="14"/>
    <n v="4"/>
    <n v="85"/>
    <s v="Mumbai"/>
    <x v="1"/>
  </r>
  <r>
    <x v="960"/>
    <x v="17"/>
    <x v="2"/>
    <n v="40"/>
    <x v="1"/>
    <n v="1"/>
    <n v="67683"/>
    <n v="9"/>
    <x v="14"/>
    <n v="3"/>
    <n v="97"/>
    <s v="Chennai"/>
    <x v="0"/>
  </r>
  <r>
    <x v="961"/>
    <x v="1"/>
    <x v="2"/>
    <n v="22"/>
    <x v="1"/>
    <n v="10"/>
    <n v="78397"/>
    <n v="5"/>
    <x v="8"/>
    <n v="5"/>
    <n v="100"/>
    <s v="Bangalore"/>
    <x v="0"/>
  </r>
  <r>
    <x v="962"/>
    <x v="8"/>
    <x v="2"/>
    <n v="37"/>
    <x v="1"/>
    <n v="1"/>
    <n v="67533"/>
    <n v="11"/>
    <x v="9"/>
    <n v="3"/>
    <n v="98"/>
    <s v="Hyderabad"/>
    <x v="0"/>
  </r>
  <r>
    <x v="963"/>
    <x v="11"/>
    <x v="1"/>
    <n v="38"/>
    <x v="0"/>
    <n v="12"/>
    <n v="78427"/>
    <n v="9"/>
    <x v="12"/>
    <n v="4"/>
    <n v="86"/>
    <s v="Pune"/>
    <x v="1"/>
  </r>
  <r>
    <x v="964"/>
    <x v="0"/>
    <x v="0"/>
    <n v="38"/>
    <x v="1"/>
    <n v="11"/>
    <n v="78474"/>
    <n v="9"/>
    <x v="13"/>
    <n v="2"/>
    <n v="86"/>
    <s v="Hyderabad"/>
    <x v="1"/>
  </r>
  <r>
    <x v="965"/>
    <x v="14"/>
    <x v="3"/>
    <n v="30"/>
    <x v="0"/>
    <n v="5"/>
    <n v="78576"/>
    <n v="9"/>
    <x v="13"/>
    <n v="4"/>
    <n v="91"/>
    <s v="Hyderabad"/>
    <x v="0"/>
  </r>
  <r>
    <x v="966"/>
    <x v="0"/>
    <x v="2"/>
    <n v="22"/>
    <x v="0"/>
    <n v="6"/>
    <n v="78682"/>
    <n v="11"/>
    <x v="6"/>
    <n v="1"/>
    <n v="95"/>
    <s v="Mumbai"/>
    <x v="0"/>
  </r>
  <r>
    <x v="967"/>
    <x v="8"/>
    <x v="3"/>
    <n v="22"/>
    <x v="1"/>
    <n v="9"/>
    <n v="78748"/>
    <n v="3"/>
    <x v="2"/>
    <n v="1"/>
    <n v="91"/>
    <s v="Chennai"/>
    <x v="0"/>
  </r>
  <r>
    <x v="968"/>
    <x v="8"/>
    <x v="1"/>
    <n v="27"/>
    <x v="1"/>
    <n v="5"/>
    <n v="78796"/>
    <n v="13"/>
    <x v="0"/>
    <n v="2"/>
    <n v="96"/>
    <s v="Delhi"/>
    <x v="0"/>
  </r>
  <r>
    <x v="969"/>
    <x v="4"/>
    <x v="3"/>
    <n v="39"/>
    <x v="1"/>
    <n v="12"/>
    <n v="78803"/>
    <n v="12"/>
    <x v="12"/>
    <n v="5"/>
    <n v="88"/>
    <s v="Mumbai"/>
    <x v="1"/>
  </r>
  <r>
    <x v="970"/>
    <x v="7"/>
    <x v="2"/>
    <n v="34"/>
    <x v="0"/>
    <n v="3"/>
    <n v="34785"/>
    <n v="13"/>
    <x v="10"/>
    <n v="3"/>
    <n v="94"/>
    <s v="Mumbai"/>
    <x v="0"/>
  </r>
  <r>
    <x v="971"/>
    <x v="11"/>
    <x v="0"/>
    <n v="25"/>
    <x v="0"/>
    <n v="7"/>
    <n v="78916"/>
    <n v="6"/>
    <x v="9"/>
    <n v="2"/>
    <n v="88"/>
    <s v="Chennai"/>
    <x v="1"/>
  </r>
  <r>
    <x v="972"/>
    <x v="4"/>
    <x v="2"/>
    <n v="25"/>
    <x v="0"/>
    <n v="5"/>
    <n v="78987"/>
    <n v="14"/>
    <x v="3"/>
    <n v="1"/>
    <n v="99"/>
    <s v="Chennai"/>
    <x v="0"/>
  </r>
  <r>
    <x v="973"/>
    <x v="15"/>
    <x v="0"/>
    <n v="27"/>
    <x v="1"/>
    <n v="14"/>
    <n v="79047"/>
    <n v="6"/>
    <x v="9"/>
    <n v="4"/>
    <n v="89"/>
    <s v="Bangalore"/>
    <x v="1"/>
  </r>
  <r>
    <x v="974"/>
    <x v="9"/>
    <x v="0"/>
    <n v="40"/>
    <x v="1"/>
    <n v="6"/>
    <n v="79076"/>
    <n v="5"/>
    <x v="6"/>
    <n v="2"/>
    <n v="100"/>
    <s v="Hyderabad"/>
    <x v="0"/>
  </r>
  <r>
    <x v="975"/>
    <x v="17"/>
    <x v="2"/>
    <n v="40"/>
    <x v="0"/>
    <n v="7"/>
    <n v="79077"/>
    <n v="9"/>
    <x v="10"/>
    <n v="4"/>
    <n v="94"/>
    <s v="Delhi"/>
    <x v="0"/>
  </r>
  <r>
    <x v="976"/>
    <x v="11"/>
    <x v="2"/>
    <n v="22"/>
    <x v="0"/>
    <n v="10"/>
    <n v="79099"/>
    <n v="8"/>
    <x v="15"/>
    <n v="2"/>
    <n v="98"/>
    <s v="Bangalore"/>
    <x v="0"/>
  </r>
  <r>
    <x v="977"/>
    <x v="5"/>
    <x v="0"/>
    <n v="29"/>
    <x v="1"/>
    <n v="10"/>
    <n v="79102"/>
    <n v="13"/>
    <x v="15"/>
    <n v="1"/>
    <n v="88"/>
    <s v="Mumbai"/>
    <x v="1"/>
  </r>
  <r>
    <x v="978"/>
    <x v="1"/>
    <x v="3"/>
    <n v="37"/>
    <x v="0"/>
    <n v="8"/>
    <n v="79175"/>
    <n v="14"/>
    <x v="15"/>
    <n v="3"/>
    <n v="90"/>
    <s v="Chennai"/>
    <x v="0"/>
  </r>
  <r>
    <x v="979"/>
    <x v="12"/>
    <x v="3"/>
    <n v="35"/>
    <x v="1"/>
    <n v="11"/>
    <n v="79196"/>
    <n v="7"/>
    <x v="6"/>
    <n v="3"/>
    <n v="97"/>
    <s v="Delhi"/>
    <x v="0"/>
  </r>
  <r>
    <x v="980"/>
    <x v="15"/>
    <x v="2"/>
    <n v="28"/>
    <x v="1"/>
    <n v="13"/>
    <n v="79263"/>
    <n v="10"/>
    <x v="6"/>
    <n v="4"/>
    <n v="87"/>
    <s v="Delhi"/>
    <x v="1"/>
  </r>
  <r>
    <x v="981"/>
    <x v="6"/>
    <x v="0"/>
    <n v="38"/>
    <x v="1"/>
    <n v="11"/>
    <n v="79357"/>
    <n v="14"/>
    <x v="6"/>
    <n v="1"/>
    <n v="94"/>
    <s v="Delhi"/>
    <x v="0"/>
  </r>
  <r>
    <x v="982"/>
    <x v="13"/>
    <x v="3"/>
    <n v="33"/>
    <x v="1"/>
    <n v="11"/>
    <n v="79450"/>
    <n v="9"/>
    <x v="10"/>
    <n v="3"/>
    <n v="93"/>
    <s v="Chennai"/>
    <x v="0"/>
  </r>
  <r>
    <x v="983"/>
    <x v="10"/>
    <x v="1"/>
    <n v="28"/>
    <x v="1"/>
    <n v="1"/>
    <n v="35419"/>
    <n v="11"/>
    <x v="7"/>
    <n v="3"/>
    <n v="85"/>
    <s v="Bangalore"/>
    <x v="1"/>
  </r>
  <r>
    <x v="984"/>
    <x v="19"/>
    <x v="2"/>
    <n v="39"/>
    <x v="1"/>
    <n v="8"/>
    <n v="79461"/>
    <n v="15"/>
    <x v="8"/>
    <n v="5"/>
    <n v="93"/>
    <s v="Mumbai"/>
    <x v="0"/>
  </r>
  <r>
    <x v="985"/>
    <x v="17"/>
    <x v="3"/>
    <n v="34"/>
    <x v="1"/>
    <n v="2"/>
    <n v="63879"/>
    <n v="15"/>
    <x v="7"/>
    <n v="3"/>
    <n v="95"/>
    <s v="Hyderabad"/>
    <x v="0"/>
  </r>
  <r>
    <x v="986"/>
    <x v="1"/>
    <x v="0"/>
    <n v="26"/>
    <x v="1"/>
    <n v="4"/>
    <n v="76713"/>
    <n v="8"/>
    <x v="6"/>
    <n v="1"/>
    <n v="90"/>
    <s v="Hyderabad"/>
    <x v="0"/>
  </r>
  <r>
    <x v="987"/>
    <x v="1"/>
    <x v="2"/>
    <n v="23"/>
    <x v="1"/>
    <n v="4"/>
    <n v="68718"/>
    <n v="7"/>
    <x v="5"/>
    <n v="4"/>
    <n v="86"/>
    <s v="Bangalore"/>
    <x v="1"/>
  </r>
  <r>
    <x v="988"/>
    <x v="7"/>
    <x v="3"/>
    <n v="32"/>
    <x v="0"/>
    <n v="6"/>
    <n v="79551"/>
    <n v="7"/>
    <x v="4"/>
    <n v="5"/>
    <n v="87"/>
    <s v="Hyderabad"/>
    <x v="1"/>
  </r>
  <r>
    <x v="989"/>
    <x v="4"/>
    <x v="1"/>
    <n v="37"/>
    <x v="1"/>
    <n v="4"/>
    <n v="67468"/>
    <n v="15"/>
    <x v="5"/>
    <n v="3"/>
    <n v="95"/>
    <s v="Mumbai"/>
    <x v="0"/>
  </r>
  <r>
    <x v="990"/>
    <x v="12"/>
    <x v="0"/>
    <n v="25"/>
    <x v="0"/>
    <n v="7"/>
    <n v="79600"/>
    <n v="12"/>
    <x v="11"/>
    <n v="5"/>
    <n v="91"/>
    <s v="Chennai"/>
    <x v="0"/>
  </r>
  <r>
    <x v="991"/>
    <x v="13"/>
    <x v="1"/>
    <n v="40"/>
    <x v="1"/>
    <n v="4"/>
    <n v="32525"/>
    <n v="11"/>
    <x v="6"/>
    <n v="4"/>
    <n v="93"/>
    <s v="Chennai"/>
    <x v="0"/>
  </r>
  <r>
    <x v="992"/>
    <x v="0"/>
    <x v="1"/>
    <n v="25"/>
    <x v="1"/>
    <n v="11"/>
    <n v="79604"/>
    <n v="7"/>
    <x v="8"/>
    <n v="4"/>
    <n v="100"/>
    <s v="Pune"/>
    <x v="0"/>
  </r>
  <r>
    <x v="993"/>
    <x v="17"/>
    <x v="1"/>
    <n v="26"/>
    <x v="0"/>
    <n v="1"/>
    <n v="43849"/>
    <n v="15"/>
    <x v="10"/>
    <n v="4"/>
    <n v="94"/>
    <s v="Chennai"/>
    <x v="0"/>
  </r>
  <r>
    <x v="994"/>
    <x v="4"/>
    <x v="2"/>
    <n v="36"/>
    <x v="0"/>
    <n v="7"/>
    <n v="79687"/>
    <n v="6"/>
    <x v="3"/>
    <n v="5"/>
    <n v="86"/>
    <s v="Mumbai"/>
    <x v="1"/>
  </r>
  <r>
    <x v="995"/>
    <x v="6"/>
    <x v="1"/>
    <n v="26"/>
    <x v="1"/>
    <n v="13"/>
    <n v="79834"/>
    <n v="4"/>
    <x v="8"/>
    <n v="1"/>
    <n v="87"/>
    <s v="Hyderabad"/>
    <x v="1"/>
  </r>
  <r>
    <x v="996"/>
    <x v="10"/>
    <x v="0"/>
    <n v="33"/>
    <x v="0"/>
    <n v="13"/>
    <n v="79884"/>
    <n v="12"/>
    <x v="6"/>
    <n v="2"/>
    <n v="91"/>
    <s v="Delhi"/>
    <x v="0"/>
  </r>
  <r>
    <x v="997"/>
    <x v="14"/>
    <x v="2"/>
    <n v="35"/>
    <x v="1"/>
    <n v="14"/>
    <n v="79906"/>
    <n v="9"/>
    <x v="3"/>
    <n v="2"/>
    <n v="85"/>
    <s v="Chennai"/>
    <x v="1"/>
  </r>
  <r>
    <x v="998"/>
    <x v="5"/>
    <x v="2"/>
    <n v="22"/>
    <x v="0"/>
    <n v="4"/>
    <n v="36799"/>
    <n v="13"/>
    <x v="6"/>
    <n v="2"/>
    <n v="88"/>
    <s v="Delhi"/>
    <x v="1"/>
  </r>
  <r>
    <x v="999"/>
    <x v="11"/>
    <x v="0"/>
    <n v="25"/>
    <x v="0"/>
    <n v="1"/>
    <n v="71460"/>
    <n v="7"/>
    <x v="3"/>
    <n v="1"/>
    <n v="99"/>
    <s v="Delhi"/>
    <x v="0"/>
  </r>
  <r>
    <x v="1000"/>
    <x v="20"/>
    <x v="4"/>
    <m/>
    <x v="2"/>
    <m/>
    <m/>
    <m/>
    <x v="16"/>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35"/>
    <x v="0"/>
    <n v="6"/>
    <n v="25018"/>
    <n v="14"/>
    <n v="48"/>
    <n v="4"/>
    <n v="90"/>
    <x v="0"/>
    <x v="0"/>
  </r>
  <r>
    <x v="1"/>
    <x v="1"/>
    <x v="0"/>
    <n v="27"/>
    <x v="0"/>
    <n v="6"/>
    <n v="25042"/>
    <n v="14"/>
    <n v="45"/>
    <n v="5"/>
    <n v="93"/>
    <x v="1"/>
    <x v="0"/>
  </r>
  <r>
    <x v="2"/>
    <x v="2"/>
    <x v="0"/>
    <n v="31"/>
    <x v="1"/>
    <n v="2"/>
    <n v="40749"/>
    <n v="8"/>
    <n v="39"/>
    <n v="3"/>
    <n v="96"/>
    <x v="2"/>
    <x v="0"/>
  </r>
  <r>
    <x v="3"/>
    <x v="3"/>
    <x v="0"/>
    <n v="25"/>
    <x v="1"/>
    <n v="5"/>
    <n v="25059"/>
    <n v="13"/>
    <n v="49"/>
    <n v="2"/>
    <n v="97"/>
    <x v="0"/>
    <x v="0"/>
  </r>
  <r>
    <x v="4"/>
    <x v="4"/>
    <x v="1"/>
    <n v="35"/>
    <x v="0"/>
    <n v="8"/>
    <n v="25114"/>
    <n v="5"/>
    <n v="38"/>
    <n v="4"/>
    <n v="88"/>
    <x v="0"/>
    <x v="1"/>
  </r>
  <r>
    <x v="5"/>
    <x v="5"/>
    <x v="2"/>
    <n v="23"/>
    <x v="0"/>
    <n v="3"/>
    <n v="61049"/>
    <n v="9"/>
    <n v="39"/>
    <n v="5"/>
    <n v="89"/>
    <x v="0"/>
    <x v="1"/>
  </r>
  <r>
    <x v="6"/>
    <x v="6"/>
    <x v="1"/>
    <n v="27"/>
    <x v="0"/>
    <n v="6"/>
    <n v="25214"/>
    <n v="5"/>
    <n v="48"/>
    <n v="2"/>
    <n v="99"/>
    <x v="3"/>
    <x v="0"/>
  </r>
  <r>
    <x v="7"/>
    <x v="4"/>
    <x v="2"/>
    <n v="38"/>
    <x v="0"/>
    <n v="11"/>
    <n v="25367"/>
    <n v="6"/>
    <n v="36"/>
    <n v="5"/>
    <n v="97"/>
    <x v="0"/>
    <x v="0"/>
  </r>
  <r>
    <x v="8"/>
    <x v="3"/>
    <x v="3"/>
    <n v="40"/>
    <x v="0"/>
    <n v="10"/>
    <n v="25400"/>
    <n v="14"/>
    <n v="48"/>
    <n v="2"/>
    <n v="86"/>
    <x v="4"/>
    <x v="1"/>
  </r>
  <r>
    <x v="9"/>
    <x v="7"/>
    <x v="3"/>
    <n v="38"/>
    <x v="0"/>
    <n v="8"/>
    <n v="25435"/>
    <n v="15"/>
    <n v="48"/>
    <n v="3"/>
    <n v="95"/>
    <x v="4"/>
    <x v="0"/>
  </r>
  <r>
    <x v="10"/>
    <x v="8"/>
    <x v="2"/>
    <n v="22"/>
    <x v="0"/>
    <n v="3"/>
    <n v="59483"/>
    <n v="12"/>
    <n v="36"/>
    <n v="4"/>
    <n v="97"/>
    <x v="5"/>
    <x v="0"/>
  </r>
  <r>
    <x v="11"/>
    <x v="3"/>
    <x v="1"/>
    <n v="39"/>
    <x v="1"/>
    <n v="13"/>
    <n v="25564"/>
    <n v="5"/>
    <n v="46"/>
    <n v="2"/>
    <n v="91"/>
    <x v="2"/>
    <x v="0"/>
  </r>
  <r>
    <x v="12"/>
    <x v="2"/>
    <x v="1"/>
    <n v="26"/>
    <x v="0"/>
    <n v="7"/>
    <n v="25591"/>
    <n v="15"/>
    <n v="40"/>
    <n v="1"/>
    <n v="100"/>
    <x v="0"/>
    <x v="0"/>
  </r>
  <r>
    <x v="13"/>
    <x v="9"/>
    <x v="3"/>
    <n v="27"/>
    <x v="1"/>
    <n v="14"/>
    <n v="25613"/>
    <n v="4"/>
    <n v="38"/>
    <n v="2"/>
    <n v="87"/>
    <x v="4"/>
    <x v="1"/>
  </r>
  <r>
    <x v="14"/>
    <x v="8"/>
    <x v="2"/>
    <n v="28"/>
    <x v="1"/>
    <n v="1"/>
    <n v="64938"/>
    <n v="15"/>
    <n v="37"/>
    <n v="2"/>
    <n v="96"/>
    <x v="0"/>
    <x v="0"/>
  </r>
  <r>
    <x v="15"/>
    <x v="10"/>
    <x v="2"/>
    <n v="32"/>
    <x v="1"/>
    <n v="2"/>
    <n v="34237"/>
    <n v="9"/>
    <n v="45"/>
    <n v="4"/>
    <n v="99"/>
    <x v="4"/>
    <x v="0"/>
  </r>
  <r>
    <x v="16"/>
    <x v="8"/>
    <x v="2"/>
    <n v="38"/>
    <x v="0"/>
    <n v="8"/>
    <n v="25622"/>
    <n v="4"/>
    <n v="35"/>
    <n v="1"/>
    <n v="95"/>
    <x v="0"/>
    <x v="0"/>
  </r>
  <r>
    <x v="17"/>
    <x v="11"/>
    <x v="1"/>
    <n v="32"/>
    <x v="0"/>
    <n v="4"/>
    <n v="73646"/>
    <n v="11"/>
    <n v="50"/>
    <n v="2"/>
    <n v="94"/>
    <x v="3"/>
    <x v="0"/>
  </r>
  <r>
    <x v="18"/>
    <x v="12"/>
    <x v="1"/>
    <n v="39"/>
    <x v="0"/>
    <n v="3"/>
    <n v="39183"/>
    <n v="13"/>
    <n v="40"/>
    <n v="1"/>
    <n v="91"/>
    <x v="3"/>
    <x v="0"/>
  </r>
  <r>
    <x v="19"/>
    <x v="13"/>
    <x v="3"/>
    <n v="38"/>
    <x v="1"/>
    <n v="10"/>
    <n v="25866"/>
    <n v="6"/>
    <n v="42"/>
    <n v="4"/>
    <n v="91"/>
    <x v="2"/>
    <x v="0"/>
  </r>
  <r>
    <x v="20"/>
    <x v="7"/>
    <x v="3"/>
    <n v="34"/>
    <x v="1"/>
    <n v="12"/>
    <n v="25870"/>
    <n v="12"/>
    <n v="42"/>
    <n v="5"/>
    <n v="89"/>
    <x v="3"/>
    <x v="1"/>
  </r>
  <r>
    <x v="21"/>
    <x v="2"/>
    <x v="0"/>
    <n v="26"/>
    <x v="1"/>
    <n v="2"/>
    <n v="49942"/>
    <n v="5"/>
    <n v="36"/>
    <n v="3"/>
    <n v="94"/>
    <x v="0"/>
    <x v="0"/>
  </r>
  <r>
    <x v="22"/>
    <x v="8"/>
    <x v="0"/>
    <n v="26"/>
    <x v="0"/>
    <n v="10"/>
    <n v="25885"/>
    <n v="3"/>
    <n v="47"/>
    <n v="4"/>
    <n v="90"/>
    <x v="0"/>
    <x v="0"/>
  </r>
  <r>
    <x v="23"/>
    <x v="4"/>
    <x v="0"/>
    <n v="35"/>
    <x v="0"/>
    <n v="3"/>
    <n v="27284"/>
    <n v="13"/>
    <n v="45"/>
    <n v="3"/>
    <n v="94"/>
    <x v="0"/>
    <x v="0"/>
  </r>
  <r>
    <x v="24"/>
    <x v="0"/>
    <x v="0"/>
    <n v="27"/>
    <x v="1"/>
    <n v="1"/>
    <n v="27633"/>
    <n v="4"/>
    <n v="39"/>
    <n v="3"/>
    <n v="91"/>
    <x v="1"/>
    <x v="0"/>
  </r>
  <r>
    <x v="25"/>
    <x v="1"/>
    <x v="2"/>
    <n v="39"/>
    <x v="0"/>
    <n v="5"/>
    <n v="25893"/>
    <n v="15"/>
    <n v="35"/>
    <n v="4"/>
    <n v="88"/>
    <x v="2"/>
    <x v="1"/>
  </r>
  <r>
    <x v="26"/>
    <x v="4"/>
    <x v="0"/>
    <n v="24"/>
    <x v="1"/>
    <n v="11"/>
    <n v="25991"/>
    <n v="14"/>
    <n v="49"/>
    <n v="1"/>
    <n v="86"/>
    <x v="4"/>
    <x v="1"/>
  </r>
  <r>
    <x v="27"/>
    <x v="12"/>
    <x v="3"/>
    <n v="24"/>
    <x v="0"/>
    <n v="9"/>
    <n v="26010"/>
    <n v="3"/>
    <n v="35"/>
    <n v="5"/>
    <n v="100"/>
    <x v="0"/>
    <x v="0"/>
  </r>
  <r>
    <x v="28"/>
    <x v="8"/>
    <x v="3"/>
    <n v="36"/>
    <x v="0"/>
    <n v="5"/>
    <n v="26410"/>
    <n v="4"/>
    <n v="41"/>
    <n v="3"/>
    <n v="92"/>
    <x v="2"/>
    <x v="0"/>
  </r>
  <r>
    <x v="29"/>
    <x v="0"/>
    <x v="1"/>
    <n v="39"/>
    <x v="0"/>
    <n v="8"/>
    <n v="26504"/>
    <n v="13"/>
    <n v="49"/>
    <n v="3"/>
    <n v="85"/>
    <x v="2"/>
    <x v="1"/>
  </r>
  <r>
    <x v="30"/>
    <x v="13"/>
    <x v="2"/>
    <n v="35"/>
    <x v="0"/>
    <n v="3"/>
    <n v="72178"/>
    <n v="14"/>
    <n v="44"/>
    <n v="2"/>
    <n v="93"/>
    <x v="5"/>
    <x v="0"/>
  </r>
  <r>
    <x v="31"/>
    <x v="13"/>
    <x v="3"/>
    <n v="35"/>
    <x v="0"/>
    <n v="1"/>
    <n v="44658"/>
    <n v="6"/>
    <n v="40"/>
    <n v="3"/>
    <n v="88"/>
    <x v="3"/>
    <x v="1"/>
  </r>
  <r>
    <x v="32"/>
    <x v="9"/>
    <x v="0"/>
    <n v="34"/>
    <x v="1"/>
    <n v="9"/>
    <n v="26531"/>
    <n v="9"/>
    <n v="42"/>
    <n v="4"/>
    <n v="97"/>
    <x v="1"/>
    <x v="0"/>
  </r>
  <r>
    <x v="33"/>
    <x v="14"/>
    <x v="3"/>
    <n v="32"/>
    <x v="0"/>
    <n v="3"/>
    <n v="65611"/>
    <n v="4"/>
    <n v="38"/>
    <n v="4"/>
    <n v="94"/>
    <x v="3"/>
    <x v="0"/>
  </r>
  <r>
    <x v="34"/>
    <x v="8"/>
    <x v="2"/>
    <n v="39"/>
    <x v="0"/>
    <n v="7"/>
    <n v="26573"/>
    <n v="8"/>
    <n v="37"/>
    <n v="3"/>
    <n v="93"/>
    <x v="5"/>
    <x v="0"/>
  </r>
  <r>
    <x v="35"/>
    <x v="5"/>
    <x v="0"/>
    <n v="26"/>
    <x v="1"/>
    <n v="2"/>
    <n v="76768"/>
    <n v="11"/>
    <n v="47"/>
    <n v="4"/>
    <n v="92"/>
    <x v="5"/>
    <x v="0"/>
  </r>
  <r>
    <x v="36"/>
    <x v="2"/>
    <x v="1"/>
    <n v="40"/>
    <x v="1"/>
    <n v="14"/>
    <n v="26602"/>
    <n v="15"/>
    <n v="37"/>
    <n v="1"/>
    <n v="86"/>
    <x v="0"/>
    <x v="1"/>
  </r>
  <r>
    <x v="37"/>
    <x v="12"/>
    <x v="1"/>
    <n v="33"/>
    <x v="0"/>
    <n v="6"/>
    <n v="26608"/>
    <n v="14"/>
    <n v="47"/>
    <n v="4"/>
    <n v="91"/>
    <x v="0"/>
    <x v="0"/>
  </r>
  <r>
    <x v="38"/>
    <x v="9"/>
    <x v="0"/>
    <n v="28"/>
    <x v="0"/>
    <n v="10"/>
    <n v="26780"/>
    <n v="8"/>
    <n v="47"/>
    <n v="4"/>
    <n v="85"/>
    <x v="2"/>
    <x v="1"/>
  </r>
  <r>
    <x v="39"/>
    <x v="14"/>
    <x v="2"/>
    <n v="35"/>
    <x v="1"/>
    <n v="13"/>
    <n v="26905"/>
    <n v="4"/>
    <n v="45"/>
    <n v="5"/>
    <n v="86"/>
    <x v="2"/>
    <x v="1"/>
  </r>
  <r>
    <x v="40"/>
    <x v="15"/>
    <x v="0"/>
    <n v="37"/>
    <x v="1"/>
    <n v="13"/>
    <n v="27017"/>
    <n v="11"/>
    <n v="47"/>
    <n v="2"/>
    <n v="93"/>
    <x v="5"/>
    <x v="0"/>
  </r>
  <r>
    <x v="41"/>
    <x v="3"/>
    <x v="1"/>
    <n v="33"/>
    <x v="1"/>
    <n v="3"/>
    <n v="79872"/>
    <n v="13"/>
    <n v="47"/>
    <n v="3"/>
    <n v="95"/>
    <x v="1"/>
    <x v="0"/>
  </r>
  <r>
    <x v="42"/>
    <x v="7"/>
    <x v="0"/>
    <n v="36"/>
    <x v="0"/>
    <n v="14"/>
    <n v="27030"/>
    <n v="5"/>
    <n v="35"/>
    <n v="3"/>
    <n v="98"/>
    <x v="1"/>
    <x v="0"/>
  </r>
  <r>
    <x v="43"/>
    <x v="10"/>
    <x v="0"/>
    <n v="31"/>
    <x v="0"/>
    <n v="15"/>
    <n v="27034"/>
    <n v="11"/>
    <n v="43"/>
    <n v="3"/>
    <n v="97"/>
    <x v="4"/>
    <x v="0"/>
  </r>
  <r>
    <x v="44"/>
    <x v="6"/>
    <x v="1"/>
    <n v="24"/>
    <x v="1"/>
    <n v="9"/>
    <n v="27099"/>
    <n v="9"/>
    <n v="41"/>
    <n v="4"/>
    <n v="100"/>
    <x v="0"/>
    <x v="0"/>
  </r>
  <r>
    <x v="45"/>
    <x v="5"/>
    <x v="1"/>
    <n v="26"/>
    <x v="1"/>
    <n v="6"/>
    <n v="27166"/>
    <n v="5"/>
    <n v="44"/>
    <n v="3"/>
    <n v="100"/>
    <x v="5"/>
    <x v="0"/>
  </r>
  <r>
    <x v="46"/>
    <x v="7"/>
    <x v="1"/>
    <n v="31"/>
    <x v="1"/>
    <n v="2"/>
    <n v="41462"/>
    <n v="13"/>
    <n v="49"/>
    <n v="3"/>
    <n v="89"/>
    <x v="5"/>
    <x v="1"/>
  </r>
  <r>
    <x v="47"/>
    <x v="16"/>
    <x v="3"/>
    <n v="22"/>
    <x v="1"/>
    <n v="5"/>
    <n v="27252"/>
    <n v="10"/>
    <n v="45"/>
    <n v="5"/>
    <n v="94"/>
    <x v="0"/>
    <x v="0"/>
  </r>
  <r>
    <x v="48"/>
    <x v="3"/>
    <x v="0"/>
    <n v="30"/>
    <x v="0"/>
    <n v="8"/>
    <n v="27270"/>
    <n v="5"/>
    <n v="39"/>
    <n v="4"/>
    <n v="96"/>
    <x v="0"/>
    <x v="0"/>
  </r>
  <r>
    <x v="49"/>
    <x v="8"/>
    <x v="1"/>
    <n v="23"/>
    <x v="1"/>
    <n v="12"/>
    <n v="27282"/>
    <n v="11"/>
    <n v="36"/>
    <n v="1"/>
    <n v="90"/>
    <x v="0"/>
    <x v="0"/>
  </r>
  <r>
    <x v="50"/>
    <x v="12"/>
    <x v="3"/>
    <n v="31"/>
    <x v="1"/>
    <n v="6"/>
    <n v="27282"/>
    <n v="10"/>
    <n v="43"/>
    <n v="5"/>
    <n v="94"/>
    <x v="3"/>
    <x v="0"/>
  </r>
  <r>
    <x v="51"/>
    <x v="11"/>
    <x v="0"/>
    <n v="40"/>
    <x v="1"/>
    <n v="6"/>
    <n v="27347"/>
    <n v="11"/>
    <n v="35"/>
    <n v="2"/>
    <n v="91"/>
    <x v="3"/>
    <x v="0"/>
  </r>
  <r>
    <x v="52"/>
    <x v="15"/>
    <x v="3"/>
    <n v="39"/>
    <x v="0"/>
    <n v="3"/>
    <n v="37378"/>
    <n v="7"/>
    <n v="37"/>
    <n v="1"/>
    <n v="94"/>
    <x v="5"/>
    <x v="0"/>
  </r>
  <r>
    <x v="53"/>
    <x v="1"/>
    <x v="1"/>
    <n v="24"/>
    <x v="1"/>
    <n v="4"/>
    <n v="33955"/>
    <n v="14"/>
    <n v="35"/>
    <n v="2"/>
    <n v="99"/>
    <x v="1"/>
    <x v="0"/>
  </r>
  <r>
    <x v="54"/>
    <x v="7"/>
    <x v="0"/>
    <n v="28"/>
    <x v="1"/>
    <n v="12"/>
    <n v="27390"/>
    <n v="12"/>
    <n v="38"/>
    <n v="3"/>
    <n v="85"/>
    <x v="3"/>
    <x v="1"/>
  </r>
  <r>
    <x v="55"/>
    <x v="14"/>
    <x v="3"/>
    <n v="32"/>
    <x v="1"/>
    <n v="13"/>
    <n v="27399"/>
    <n v="6"/>
    <n v="50"/>
    <n v="1"/>
    <n v="91"/>
    <x v="0"/>
    <x v="0"/>
  </r>
  <r>
    <x v="56"/>
    <x v="0"/>
    <x v="0"/>
    <n v="25"/>
    <x v="0"/>
    <n v="7"/>
    <n v="27579"/>
    <n v="7"/>
    <n v="39"/>
    <n v="4"/>
    <n v="85"/>
    <x v="4"/>
    <x v="1"/>
  </r>
  <r>
    <x v="57"/>
    <x v="11"/>
    <x v="0"/>
    <n v="36"/>
    <x v="1"/>
    <n v="14"/>
    <n v="27580"/>
    <n v="10"/>
    <n v="45"/>
    <n v="3"/>
    <n v="89"/>
    <x v="4"/>
    <x v="1"/>
  </r>
  <r>
    <x v="58"/>
    <x v="1"/>
    <x v="3"/>
    <n v="32"/>
    <x v="0"/>
    <n v="14"/>
    <n v="27584"/>
    <n v="11"/>
    <n v="50"/>
    <n v="4"/>
    <n v="91"/>
    <x v="0"/>
    <x v="0"/>
  </r>
  <r>
    <x v="59"/>
    <x v="7"/>
    <x v="1"/>
    <n v="34"/>
    <x v="1"/>
    <n v="1"/>
    <n v="62090"/>
    <n v="10"/>
    <n v="45"/>
    <n v="4"/>
    <n v="89"/>
    <x v="2"/>
    <x v="1"/>
  </r>
  <r>
    <x v="60"/>
    <x v="15"/>
    <x v="2"/>
    <n v="29"/>
    <x v="0"/>
    <n v="1"/>
    <n v="37183"/>
    <n v="10"/>
    <n v="37"/>
    <n v="4"/>
    <n v="91"/>
    <x v="3"/>
    <x v="0"/>
  </r>
  <r>
    <x v="61"/>
    <x v="13"/>
    <x v="1"/>
    <n v="31"/>
    <x v="0"/>
    <n v="14"/>
    <n v="27658"/>
    <n v="14"/>
    <n v="50"/>
    <n v="5"/>
    <n v="99"/>
    <x v="1"/>
    <x v="0"/>
  </r>
  <r>
    <x v="62"/>
    <x v="9"/>
    <x v="1"/>
    <n v="38"/>
    <x v="1"/>
    <n v="3"/>
    <n v="44152"/>
    <n v="9"/>
    <n v="45"/>
    <n v="2"/>
    <n v="100"/>
    <x v="5"/>
    <x v="0"/>
  </r>
  <r>
    <x v="63"/>
    <x v="14"/>
    <x v="2"/>
    <n v="28"/>
    <x v="1"/>
    <n v="4"/>
    <n v="78320"/>
    <n v="15"/>
    <n v="45"/>
    <n v="5"/>
    <n v="89"/>
    <x v="2"/>
    <x v="1"/>
  </r>
  <r>
    <x v="64"/>
    <x v="15"/>
    <x v="3"/>
    <n v="38"/>
    <x v="1"/>
    <n v="1"/>
    <n v="76311"/>
    <n v="4"/>
    <n v="38"/>
    <n v="1"/>
    <n v="93"/>
    <x v="2"/>
    <x v="0"/>
  </r>
  <r>
    <x v="65"/>
    <x v="17"/>
    <x v="3"/>
    <n v="33"/>
    <x v="0"/>
    <n v="2"/>
    <n v="76765"/>
    <n v="6"/>
    <n v="48"/>
    <n v="5"/>
    <n v="87"/>
    <x v="1"/>
    <x v="1"/>
  </r>
  <r>
    <x v="66"/>
    <x v="6"/>
    <x v="0"/>
    <n v="34"/>
    <x v="0"/>
    <n v="3"/>
    <n v="53110"/>
    <n v="12"/>
    <n v="49"/>
    <n v="1"/>
    <n v="90"/>
    <x v="2"/>
    <x v="0"/>
  </r>
  <r>
    <x v="67"/>
    <x v="1"/>
    <x v="0"/>
    <n v="26"/>
    <x v="1"/>
    <n v="3"/>
    <n v="60011"/>
    <n v="15"/>
    <n v="47"/>
    <n v="5"/>
    <n v="100"/>
    <x v="3"/>
    <x v="0"/>
  </r>
  <r>
    <x v="68"/>
    <x v="16"/>
    <x v="0"/>
    <n v="29"/>
    <x v="0"/>
    <n v="15"/>
    <n v="27665"/>
    <n v="13"/>
    <n v="45"/>
    <n v="3"/>
    <n v="100"/>
    <x v="5"/>
    <x v="0"/>
  </r>
  <r>
    <x v="69"/>
    <x v="17"/>
    <x v="3"/>
    <n v="28"/>
    <x v="1"/>
    <n v="7"/>
    <n v="27755"/>
    <n v="4"/>
    <n v="46"/>
    <n v="4"/>
    <n v="97"/>
    <x v="1"/>
    <x v="0"/>
  </r>
  <r>
    <x v="70"/>
    <x v="0"/>
    <x v="2"/>
    <n v="33"/>
    <x v="1"/>
    <n v="6"/>
    <n v="28023"/>
    <n v="7"/>
    <n v="49"/>
    <n v="5"/>
    <n v="93"/>
    <x v="4"/>
    <x v="0"/>
  </r>
  <r>
    <x v="71"/>
    <x v="4"/>
    <x v="2"/>
    <n v="30"/>
    <x v="0"/>
    <n v="12"/>
    <n v="28049"/>
    <n v="14"/>
    <n v="43"/>
    <n v="1"/>
    <n v="92"/>
    <x v="1"/>
    <x v="0"/>
  </r>
  <r>
    <x v="72"/>
    <x v="14"/>
    <x v="1"/>
    <n v="38"/>
    <x v="1"/>
    <n v="1"/>
    <n v="40792"/>
    <n v="12"/>
    <n v="47"/>
    <n v="5"/>
    <n v="100"/>
    <x v="4"/>
    <x v="0"/>
  </r>
  <r>
    <x v="73"/>
    <x v="14"/>
    <x v="0"/>
    <n v="29"/>
    <x v="1"/>
    <n v="9"/>
    <n v="28079"/>
    <n v="4"/>
    <n v="50"/>
    <n v="4"/>
    <n v="86"/>
    <x v="1"/>
    <x v="1"/>
  </r>
  <r>
    <x v="74"/>
    <x v="18"/>
    <x v="0"/>
    <n v="26"/>
    <x v="1"/>
    <n v="10"/>
    <n v="28084"/>
    <n v="14"/>
    <n v="45"/>
    <n v="2"/>
    <n v="89"/>
    <x v="4"/>
    <x v="1"/>
  </r>
  <r>
    <x v="75"/>
    <x v="0"/>
    <x v="3"/>
    <n v="36"/>
    <x v="0"/>
    <n v="5"/>
    <n v="28253"/>
    <n v="8"/>
    <n v="46"/>
    <n v="3"/>
    <n v="94"/>
    <x v="2"/>
    <x v="0"/>
  </r>
  <r>
    <x v="76"/>
    <x v="7"/>
    <x v="0"/>
    <n v="33"/>
    <x v="0"/>
    <n v="3"/>
    <n v="41031"/>
    <n v="14"/>
    <n v="35"/>
    <n v="5"/>
    <n v="97"/>
    <x v="0"/>
    <x v="0"/>
  </r>
  <r>
    <x v="77"/>
    <x v="14"/>
    <x v="2"/>
    <n v="28"/>
    <x v="1"/>
    <n v="14"/>
    <n v="28328"/>
    <n v="14"/>
    <n v="50"/>
    <n v="5"/>
    <n v="96"/>
    <x v="0"/>
    <x v="0"/>
  </r>
  <r>
    <x v="78"/>
    <x v="7"/>
    <x v="1"/>
    <n v="28"/>
    <x v="0"/>
    <n v="11"/>
    <n v="28417"/>
    <n v="7"/>
    <n v="48"/>
    <n v="2"/>
    <n v="91"/>
    <x v="2"/>
    <x v="0"/>
  </r>
  <r>
    <x v="79"/>
    <x v="12"/>
    <x v="0"/>
    <n v="32"/>
    <x v="1"/>
    <n v="9"/>
    <n v="28455"/>
    <n v="14"/>
    <n v="39"/>
    <n v="2"/>
    <n v="95"/>
    <x v="5"/>
    <x v="0"/>
  </r>
  <r>
    <x v="80"/>
    <x v="7"/>
    <x v="1"/>
    <n v="40"/>
    <x v="1"/>
    <n v="5"/>
    <n v="28572"/>
    <n v="6"/>
    <n v="48"/>
    <n v="3"/>
    <n v="91"/>
    <x v="1"/>
    <x v="0"/>
  </r>
  <r>
    <x v="81"/>
    <x v="4"/>
    <x v="3"/>
    <n v="39"/>
    <x v="0"/>
    <n v="15"/>
    <n v="28807"/>
    <n v="12"/>
    <n v="38"/>
    <n v="1"/>
    <n v="87"/>
    <x v="1"/>
    <x v="1"/>
  </r>
  <r>
    <x v="82"/>
    <x v="6"/>
    <x v="1"/>
    <n v="36"/>
    <x v="1"/>
    <n v="2"/>
    <n v="34409"/>
    <n v="14"/>
    <n v="36"/>
    <n v="3"/>
    <n v="100"/>
    <x v="4"/>
    <x v="0"/>
  </r>
  <r>
    <x v="83"/>
    <x v="6"/>
    <x v="2"/>
    <n v="28"/>
    <x v="1"/>
    <n v="3"/>
    <n v="40095"/>
    <n v="15"/>
    <n v="48"/>
    <n v="4"/>
    <n v="85"/>
    <x v="0"/>
    <x v="1"/>
  </r>
  <r>
    <x v="84"/>
    <x v="9"/>
    <x v="0"/>
    <n v="24"/>
    <x v="1"/>
    <n v="15"/>
    <n v="28846"/>
    <n v="12"/>
    <n v="38"/>
    <n v="5"/>
    <n v="99"/>
    <x v="5"/>
    <x v="0"/>
  </r>
  <r>
    <x v="85"/>
    <x v="18"/>
    <x v="0"/>
    <n v="25"/>
    <x v="0"/>
    <n v="15"/>
    <n v="28874"/>
    <n v="13"/>
    <n v="41"/>
    <n v="2"/>
    <n v="95"/>
    <x v="1"/>
    <x v="0"/>
  </r>
  <r>
    <x v="86"/>
    <x v="9"/>
    <x v="3"/>
    <n v="27"/>
    <x v="1"/>
    <n v="3"/>
    <n v="31087"/>
    <n v="6"/>
    <n v="47"/>
    <n v="4"/>
    <n v="85"/>
    <x v="0"/>
    <x v="1"/>
  </r>
  <r>
    <x v="87"/>
    <x v="15"/>
    <x v="0"/>
    <n v="39"/>
    <x v="0"/>
    <n v="1"/>
    <n v="53482"/>
    <n v="5"/>
    <n v="42"/>
    <n v="4"/>
    <n v="92"/>
    <x v="2"/>
    <x v="0"/>
  </r>
  <r>
    <x v="88"/>
    <x v="11"/>
    <x v="0"/>
    <n v="22"/>
    <x v="0"/>
    <n v="5"/>
    <n v="28942"/>
    <n v="15"/>
    <n v="49"/>
    <n v="5"/>
    <n v="100"/>
    <x v="4"/>
    <x v="0"/>
  </r>
  <r>
    <x v="89"/>
    <x v="1"/>
    <x v="2"/>
    <n v="28"/>
    <x v="0"/>
    <n v="10"/>
    <n v="28948"/>
    <n v="3"/>
    <n v="37"/>
    <n v="1"/>
    <n v="97"/>
    <x v="2"/>
    <x v="0"/>
  </r>
  <r>
    <x v="90"/>
    <x v="19"/>
    <x v="3"/>
    <n v="40"/>
    <x v="1"/>
    <n v="1"/>
    <n v="29211"/>
    <n v="6"/>
    <n v="36"/>
    <n v="3"/>
    <n v="93"/>
    <x v="1"/>
    <x v="0"/>
  </r>
  <r>
    <x v="91"/>
    <x v="4"/>
    <x v="2"/>
    <n v="38"/>
    <x v="1"/>
    <n v="9"/>
    <n v="28981"/>
    <n v="6"/>
    <n v="36"/>
    <n v="3"/>
    <n v="98"/>
    <x v="0"/>
    <x v="0"/>
  </r>
  <r>
    <x v="92"/>
    <x v="18"/>
    <x v="1"/>
    <n v="40"/>
    <x v="0"/>
    <n v="3"/>
    <n v="32379"/>
    <n v="5"/>
    <n v="48"/>
    <n v="2"/>
    <n v="97"/>
    <x v="3"/>
    <x v="0"/>
  </r>
  <r>
    <x v="93"/>
    <x v="16"/>
    <x v="1"/>
    <n v="24"/>
    <x v="0"/>
    <n v="13"/>
    <n v="28984"/>
    <n v="7"/>
    <n v="43"/>
    <n v="4"/>
    <n v="94"/>
    <x v="1"/>
    <x v="0"/>
  </r>
  <r>
    <x v="94"/>
    <x v="11"/>
    <x v="0"/>
    <n v="35"/>
    <x v="0"/>
    <n v="9"/>
    <n v="29128"/>
    <n v="6"/>
    <n v="37"/>
    <n v="2"/>
    <n v="89"/>
    <x v="4"/>
    <x v="1"/>
  </r>
  <r>
    <x v="95"/>
    <x v="7"/>
    <x v="2"/>
    <n v="33"/>
    <x v="0"/>
    <n v="13"/>
    <n v="29178"/>
    <n v="13"/>
    <n v="37"/>
    <n v="2"/>
    <n v="93"/>
    <x v="5"/>
    <x v="0"/>
  </r>
  <r>
    <x v="96"/>
    <x v="10"/>
    <x v="2"/>
    <n v="31"/>
    <x v="0"/>
    <n v="6"/>
    <n v="29190"/>
    <n v="12"/>
    <n v="38"/>
    <n v="4"/>
    <n v="88"/>
    <x v="0"/>
    <x v="1"/>
  </r>
  <r>
    <x v="97"/>
    <x v="16"/>
    <x v="3"/>
    <n v="32"/>
    <x v="1"/>
    <n v="8"/>
    <n v="29324"/>
    <n v="13"/>
    <n v="36"/>
    <n v="5"/>
    <n v="97"/>
    <x v="0"/>
    <x v="0"/>
  </r>
  <r>
    <x v="98"/>
    <x v="17"/>
    <x v="3"/>
    <n v="26"/>
    <x v="1"/>
    <n v="7"/>
    <n v="29325"/>
    <n v="4"/>
    <n v="48"/>
    <n v="5"/>
    <n v="85"/>
    <x v="0"/>
    <x v="1"/>
  </r>
  <r>
    <x v="99"/>
    <x v="0"/>
    <x v="3"/>
    <n v="33"/>
    <x v="1"/>
    <n v="3"/>
    <n v="50280"/>
    <n v="8"/>
    <n v="43"/>
    <n v="2"/>
    <n v="96"/>
    <x v="3"/>
    <x v="0"/>
  </r>
  <r>
    <x v="100"/>
    <x v="5"/>
    <x v="0"/>
    <n v="24"/>
    <x v="1"/>
    <n v="3"/>
    <n v="46748"/>
    <n v="14"/>
    <n v="38"/>
    <n v="1"/>
    <n v="89"/>
    <x v="4"/>
    <x v="1"/>
  </r>
  <r>
    <x v="101"/>
    <x v="14"/>
    <x v="2"/>
    <n v="24"/>
    <x v="1"/>
    <n v="6"/>
    <n v="29327"/>
    <n v="13"/>
    <n v="46"/>
    <n v="5"/>
    <n v="86"/>
    <x v="4"/>
    <x v="1"/>
  </r>
  <r>
    <x v="102"/>
    <x v="14"/>
    <x v="3"/>
    <n v="39"/>
    <x v="0"/>
    <n v="15"/>
    <n v="29381"/>
    <n v="13"/>
    <n v="48"/>
    <n v="2"/>
    <n v="90"/>
    <x v="3"/>
    <x v="0"/>
  </r>
  <r>
    <x v="103"/>
    <x v="9"/>
    <x v="2"/>
    <n v="28"/>
    <x v="1"/>
    <n v="15"/>
    <n v="29421"/>
    <n v="15"/>
    <n v="42"/>
    <n v="2"/>
    <n v="88"/>
    <x v="1"/>
    <x v="1"/>
  </r>
  <r>
    <x v="104"/>
    <x v="7"/>
    <x v="1"/>
    <n v="37"/>
    <x v="0"/>
    <n v="6"/>
    <n v="29437"/>
    <n v="12"/>
    <n v="45"/>
    <n v="5"/>
    <n v="100"/>
    <x v="3"/>
    <x v="0"/>
  </r>
  <r>
    <x v="105"/>
    <x v="12"/>
    <x v="0"/>
    <n v="38"/>
    <x v="1"/>
    <n v="1"/>
    <n v="41203"/>
    <n v="9"/>
    <n v="49"/>
    <n v="5"/>
    <n v="90"/>
    <x v="2"/>
    <x v="0"/>
  </r>
  <r>
    <x v="106"/>
    <x v="15"/>
    <x v="3"/>
    <n v="30"/>
    <x v="0"/>
    <n v="12"/>
    <n v="29477"/>
    <n v="4"/>
    <n v="43"/>
    <n v="4"/>
    <n v="94"/>
    <x v="2"/>
    <x v="0"/>
  </r>
  <r>
    <x v="107"/>
    <x v="8"/>
    <x v="2"/>
    <n v="37"/>
    <x v="1"/>
    <n v="8"/>
    <n v="29631"/>
    <n v="6"/>
    <n v="35"/>
    <n v="3"/>
    <n v="89"/>
    <x v="5"/>
    <x v="1"/>
  </r>
  <r>
    <x v="108"/>
    <x v="18"/>
    <x v="1"/>
    <n v="34"/>
    <x v="0"/>
    <n v="11"/>
    <n v="29748"/>
    <n v="15"/>
    <n v="41"/>
    <n v="4"/>
    <n v="98"/>
    <x v="0"/>
    <x v="0"/>
  </r>
  <r>
    <x v="109"/>
    <x v="4"/>
    <x v="2"/>
    <n v="35"/>
    <x v="0"/>
    <n v="13"/>
    <n v="29834"/>
    <n v="4"/>
    <n v="50"/>
    <n v="4"/>
    <n v="100"/>
    <x v="0"/>
    <x v="0"/>
  </r>
  <r>
    <x v="110"/>
    <x v="1"/>
    <x v="1"/>
    <n v="33"/>
    <x v="1"/>
    <n v="8"/>
    <n v="30040"/>
    <n v="11"/>
    <n v="39"/>
    <n v="4"/>
    <n v="100"/>
    <x v="3"/>
    <x v="0"/>
  </r>
  <r>
    <x v="111"/>
    <x v="9"/>
    <x v="1"/>
    <n v="24"/>
    <x v="0"/>
    <n v="11"/>
    <n v="30124"/>
    <n v="5"/>
    <n v="38"/>
    <n v="5"/>
    <n v="90"/>
    <x v="3"/>
    <x v="0"/>
  </r>
  <r>
    <x v="112"/>
    <x v="1"/>
    <x v="2"/>
    <n v="35"/>
    <x v="1"/>
    <n v="14"/>
    <n v="30444"/>
    <n v="12"/>
    <n v="45"/>
    <n v="4"/>
    <n v="88"/>
    <x v="4"/>
    <x v="1"/>
  </r>
  <r>
    <x v="113"/>
    <x v="16"/>
    <x v="0"/>
    <n v="31"/>
    <x v="1"/>
    <n v="1"/>
    <n v="69780"/>
    <n v="5"/>
    <n v="43"/>
    <n v="4"/>
    <n v="96"/>
    <x v="0"/>
    <x v="0"/>
  </r>
  <r>
    <x v="114"/>
    <x v="13"/>
    <x v="1"/>
    <n v="25"/>
    <x v="1"/>
    <n v="2"/>
    <n v="42355"/>
    <n v="14"/>
    <n v="49"/>
    <n v="2"/>
    <n v="100"/>
    <x v="5"/>
    <x v="0"/>
  </r>
  <r>
    <x v="115"/>
    <x v="2"/>
    <x v="1"/>
    <n v="28"/>
    <x v="0"/>
    <n v="9"/>
    <n v="30446"/>
    <n v="15"/>
    <n v="43"/>
    <n v="1"/>
    <n v="87"/>
    <x v="0"/>
    <x v="1"/>
  </r>
  <r>
    <x v="116"/>
    <x v="13"/>
    <x v="3"/>
    <n v="23"/>
    <x v="0"/>
    <n v="14"/>
    <n v="30448"/>
    <n v="15"/>
    <n v="41"/>
    <n v="5"/>
    <n v="94"/>
    <x v="2"/>
    <x v="0"/>
  </r>
  <r>
    <x v="117"/>
    <x v="13"/>
    <x v="0"/>
    <n v="22"/>
    <x v="1"/>
    <n v="4"/>
    <n v="47715"/>
    <n v="5"/>
    <n v="45"/>
    <n v="3"/>
    <n v="96"/>
    <x v="3"/>
    <x v="0"/>
  </r>
  <r>
    <x v="118"/>
    <x v="6"/>
    <x v="2"/>
    <n v="31"/>
    <x v="0"/>
    <n v="2"/>
    <n v="43221"/>
    <n v="5"/>
    <n v="50"/>
    <n v="2"/>
    <n v="89"/>
    <x v="5"/>
    <x v="1"/>
  </r>
  <r>
    <x v="119"/>
    <x v="9"/>
    <x v="1"/>
    <n v="31"/>
    <x v="0"/>
    <n v="9"/>
    <n v="30471"/>
    <n v="6"/>
    <n v="46"/>
    <n v="2"/>
    <n v="88"/>
    <x v="5"/>
    <x v="1"/>
  </r>
  <r>
    <x v="120"/>
    <x v="9"/>
    <x v="2"/>
    <n v="23"/>
    <x v="0"/>
    <n v="4"/>
    <n v="33910"/>
    <n v="12"/>
    <n v="36"/>
    <n v="5"/>
    <n v="91"/>
    <x v="5"/>
    <x v="0"/>
  </r>
  <r>
    <x v="121"/>
    <x v="10"/>
    <x v="1"/>
    <n v="27"/>
    <x v="1"/>
    <n v="3"/>
    <n v="40987"/>
    <n v="10"/>
    <n v="40"/>
    <n v="3"/>
    <n v="87"/>
    <x v="5"/>
    <x v="1"/>
  </r>
  <r>
    <x v="122"/>
    <x v="13"/>
    <x v="1"/>
    <n v="29"/>
    <x v="0"/>
    <n v="11"/>
    <n v="30474"/>
    <n v="11"/>
    <n v="48"/>
    <n v="3"/>
    <n v="90"/>
    <x v="3"/>
    <x v="0"/>
  </r>
  <r>
    <x v="123"/>
    <x v="0"/>
    <x v="1"/>
    <n v="36"/>
    <x v="1"/>
    <n v="7"/>
    <n v="30627"/>
    <n v="8"/>
    <n v="46"/>
    <n v="4"/>
    <n v="87"/>
    <x v="2"/>
    <x v="1"/>
  </r>
  <r>
    <x v="124"/>
    <x v="13"/>
    <x v="0"/>
    <n v="40"/>
    <x v="0"/>
    <n v="12"/>
    <n v="30640"/>
    <n v="5"/>
    <n v="44"/>
    <n v="4"/>
    <n v="92"/>
    <x v="1"/>
    <x v="0"/>
  </r>
  <r>
    <x v="125"/>
    <x v="15"/>
    <x v="1"/>
    <n v="35"/>
    <x v="1"/>
    <n v="9"/>
    <n v="30701"/>
    <n v="6"/>
    <n v="35"/>
    <n v="2"/>
    <n v="89"/>
    <x v="4"/>
    <x v="1"/>
  </r>
  <r>
    <x v="126"/>
    <x v="13"/>
    <x v="0"/>
    <n v="34"/>
    <x v="0"/>
    <n v="4"/>
    <n v="36242"/>
    <n v="6"/>
    <n v="39"/>
    <n v="1"/>
    <n v="95"/>
    <x v="5"/>
    <x v="0"/>
  </r>
  <r>
    <x v="127"/>
    <x v="5"/>
    <x v="1"/>
    <n v="28"/>
    <x v="1"/>
    <n v="7"/>
    <n v="30889"/>
    <n v="3"/>
    <n v="42"/>
    <n v="3"/>
    <n v="99"/>
    <x v="2"/>
    <x v="0"/>
  </r>
  <r>
    <x v="128"/>
    <x v="6"/>
    <x v="0"/>
    <n v="39"/>
    <x v="1"/>
    <n v="11"/>
    <n v="30914"/>
    <n v="15"/>
    <n v="44"/>
    <n v="4"/>
    <n v="96"/>
    <x v="5"/>
    <x v="0"/>
  </r>
  <r>
    <x v="129"/>
    <x v="3"/>
    <x v="2"/>
    <n v="33"/>
    <x v="0"/>
    <n v="9"/>
    <n v="31007"/>
    <n v="4"/>
    <n v="40"/>
    <n v="4"/>
    <n v="88"/>
    <x v="1"/>
    <x v="1"/>
  </r>
  <r>
    <x v="130"/>
    <x v="16"/>
    <x v="2"/>
    <n v="30"/>
    <x v="0"/>
    <n v="4"/>
    <n v="74693"/>
    <n v="3"/>
    <n v="48"/>
    <n v="5"/>
    <n v="95"/>
    <x v="2"/>
    <x v="0"/>
  </r>
  <r>
    <x v="131"/>
    <x v="8"/>
    <x v="3"/>
    <n v="24"/>
    <x v="1"/>
    <n v="10"/>
    <n v="31355"/>
    <n v="15"/>
    <n v="50"/>
    <n v="5"/>
    <n v="87"/>
    <x v="5"/>
    <x v="1"/>
  </r>
  <r>
    <x v="132"/>
    <x v="4"/>
    <x v="2"/>
    <n v="24"/>
    <x v="0"/>
    <n v="2"/>
    <n v="34785"/>
    <n v="13"/>
    <n v="38"/>
    <n v="1"/>
    <n v="86"/>
    <x v="0"/>
    <x v="1"/>
  </r>
  <r>
    <x v="133"/>
    <x v="9"/>
    <x v="3"/>
    <n v="37"/>
    <x v="1"/>
    <n v="15"/>
    <n v="31449"/>
    <n v="11"/>
    <n v="49"/>
    <n v="5"/>
    <n v="95"/>
    <x v="4"/>
    <x v="0"/>
  </r>
  <r>
    <x v="134"/>
    <x v="15"/>
    <x v="2"/>
    <n v="40"/>
    <x v="0"/>
    <n v="10"/>
    <n v="31457"/>
    <n v="8"/>
    <n v="44"/>
    <n v="4"/>
    <n v="91"/>
    <x v="4"/>
    <x v="0"/>
  </r>
  <r>
    <x v="135"/>
    <x v="10"/>
    <x v="2"/>
    <n v="22"/>
    <x v="1"/>
    <n v="8"/>
    <n v="31915"/>
    <n v="6"/>
    <n v="42"/>
    <n v="1"/>
    <n v="93"/>
    <x v="3"/>
    <x v="0"/>
  </r>
  <r>
    <x v="136"/>
    <x v="19"/>
    <x v="3"/>
    <n v="30"/>
    <x v="1"/>
    <n v="10"/>
    <n v="31977"/>
    <n v="10"/>
    <n v="41"/>
    <n v="3"/>
    <n v="89"/>
    <x v="5"/>
    <x v="1"/>
  </r>
  <r>
    <x v="137"/>
    <x v="9"/>
    <x v="1"/>
    <n v="25"/>
    <x v="1"/>
    <n v="9"/>
    <n v="32025"/>
    <n v="8"/>
    <n v="38"/>
    <n v="5"/>
    <n v="87"/>
    <x v="0"/>
    <x v="1"/>
  </r>
  <r>
    <x v="138"/>
    <x v="13"/>
    <x v="3"/>
    <n v="34"/>
    <x v="0"/>
    <n v="8"/>
    <n v="32065"/>
    <n v="11"/>
    <n v="47"/>
    <n v="2"/>
    <n v="99"/>
    <x v="2"/>
    <x v="0"/>
  </r>
  <r>
    <x v="139"/>
    <x v="9"/>
    <x v="0"/>
    <n v="27"/>
    <x v="0"/>
    <n v="13"/>
    <n v="32093"/>
    <n v="4"/>
    <n v="46"/>
    <n v="5"/>
    <n v="98"/>
    <x v="5"/>
    <x v="0"/>
  </r>
  <r>
    <x v="140"/>
    <x v="2"/>
    <x v="0"/>
    <n v="27"/>
    <x v="1"/>
    <n v="15"/>
    <n v="32192"/>
    <n v="14"/>
    <n v="46"/>
    <n v="4"/>
    <n v="94"/>
    <x v="4"/>
    <x v="0"/>
  </r>
  <r>
    <x v="141"/>
    <x v="9"/>
    <x v="1"/>
    <n v="38"/>
    <x v="0"/>
    <n v="15"/>
    <n v="32214"/>
    <n v="14"/>
    <n v="43"/>
    <n v="5"/>
    <n v="92"/>
    <x v="2"/>
    <x v="0"/>
  </r>
  <r>
    <x v="142"/>
    <x v="5"/>
    <x v="1"/>
    <n v="32"/>
    <x v="0"/>
    <n v="12"/>
    <n v="32239"/>
    <n v="6"/>
    <n v="48"/>
    <n v="5"/>
    <n v="93"/>
    <x v="5"/>
    <x v="0"/>
  </r>
  <r>
    <x v="143"/>
    <x v="12"/>
    <x v="1"/>
    <n v="31"/>
    <x v="0"/>
    <n v="11"/>
    <n v="32365"/>
    <n v="11"/>
    <n v="40"/>
    <n v="5"/>
    <n v="99"/>
    <x v="2"/>
    <x v="0"/>
  </r>
  <r>
    <x v="144"/>
    <x v="6"/>
    <x v="0"/>
    <n v="22"/>
    <x v="0"/>
    <n v="2"/>
    <n v="47081"/>
    <n v="10"/>
    <n v="43"/>
    <n v="5"/>
    <n v="91"/>
    <x v="5"/>
    <x v="0"/>
  </r>
  <r>
    <x v="145"/>
    <x v="8"/>
    <x v="0"/>
    <n v="32"/>
    <x v="0"/>
    <n v="12"/>
    <n v="32457"/>
    <n v="3"/>
    <n v="50"/>
    <n v="1"/>
    <n v="86"/>
    <x v="2"/>
    <x v="1"/>
  </r>
  <r>
    <x v="146"/>
    <x v="7"/>
    <x v="3"/>
    <n v="30"/>
    <x v="0"/>
    <n v="1"/>
    <n v="77185"/>
    <n v="8"/>
    <n v="45"/>
    <n v="5"/>
    <n v="92"/>
    <x v="0"/>
    <x v="0"/>
  </r>
  <r>
    <x v="147"/>
    <x v="15"/>
    <x v="1"/>
    <n v="28"/>
    <x v="0"/>
    <n v="6"/>
    <n v="32498"/>
    <n v="10"/>
    <n v="47"/>
    <n v="1"/>
    <n v="90"/>
    <x v="5"/>
    <x v="0"/>
  </r>
  <r>
    <x v="148"/>
    <x v="17"/>
    <x v="2"/>
    <n v="37"/>
    <x v="0"/>
    <n v="5"/>
    <n v="32548"/>
    <n v="10"/>
    <n v="45"/>
    <n v="5"/>
    <n v="86"/>
    <x v="4"/>
    <x v="1"/>
  </r>
  <r>
    <x v="149"/>
    <x v="9"/>
    <x v="3"/>
    <n v="24"/>
    <x v="0"/>
    <n v="11"/>
    <n v="32583"/>
    <n v="13"/>
    <n v="48"/>
    <n v="5"/>
    <n v="85"/>
    <x v="0"/>
    <x v="1"/>
  </r>
  <r>
    <x v="150"/>
    <x v="0"/>
    <x v="1"/>
    <n v="25"/>
    <x v="0"/>
    <n v="7"/>
    <n v="32586"/>
    <n v="13"/>
    <n v="48"/>
    <n v="5"/>
    <n v="96"/>
    <x v="2"/>
    <x v="0"/>
  </r>
  <r>
    <x v="151"/>
    <x v="14"/>
    <x v="2"/>
    <n v="28"/>
    <x v="1"/>
    <n v="6"/>
    <n v="32629"/>
    <n v="11"/>
    <n v="47"/>
    <n v="3"/>
    <n v="96"/>
    <x v="4"/>
    <x v="0"/>
  </r>
  <r>
    <x v="152"/>
    <x v="8"/>
    <x v="0"/>
    <n v="25"/>
    <x v="0"/>
    <n v="4"/>
    <n v="31457"/>
    <n v="7"/>
    <n v="50"/>
    <n v="4"/>
    <n v="91"/>
    <x v="4"/>
    <x v="0"/>
  </r>
  <r>
    <x v="153"/>
    <x v="9"/>
    <x v="1"/>
    <n v="29"/>
    <x v="1"/>
    <n v="2"/>
    <n v="37900"/>
    <n v="5"/>
    <n v="41"/>
    <n v="1"/>
    <n v="97"/>
    <x v="4"/>
    <x v="0"/>
  </r>
  <r>
    <x v="154"/>
    <x v="0"/>
    <x v="2"/>
    <n v="26"/>
    <x v="0"/>
    <n v="4"/>
    <n v="33928"/>
    <n v="7"/>
    <n v="47"/>
    <n v="4"/>
    <n v="100"/>
    <x v="3"/>
    <x v="0"/>
  </r>
  <r>
    <x v="155"/>
    <x v="10"/>
    <x v="3"/>
    <n v="40"/>
    <x v="1"/>
    <n v="7"/>
    <n v="32647"/>
    <n v="6"/>
    <n v="37"/>
    <n v="2"/>
    <n v="97"/>
    <x v="2"/>
    <x v="0"/>
  </r>
  <r>
    <x v="156"/>
    <x v="16"/>
    <x v="1"/>
    <n v="23"/>
    <x v="0"/>
    <n v="8"/>
    <n v="32651"/>
    <n v="3"/>
    <n v="37"/>
    <n v="2"/>
    <n v="100"/>
    <x v="2"/>
    <x v="0"/>
  </r>
  <r>
    <x v="157"/>
    <x v="0"/>
    <x v="2"/>
    <n v="25"/>
    <x v="0"/>
    <n v="14"/>
    <n v="32843"/>
    <n v="3"/>
    <n v="40"/>
    <n v="4"/>
    <n v="100"/>
    <x v="5"/>
    <x v="0"/>
  </r>
  <r>
    <x v="158"/>
    <x v="16"/>
    <x v="1"/>
    <n v="37"/>
    <x v="0"/>
    <n v="3"/>
    <n v="67357"/>
    <n v="15"/>
    <n v="48"/>
    <n v="2"/>
    <n v="100"/>
    <x v="3"/>
    <x v="0"/>
  </r>
  <r>
    <x v="159"/>
    <x v="19"/>
    <x v="1"/>
    <n v="38"/>
    <x v="1"/>
    <n v="9"/>
    <n v="32912"/>
    <n v="13"/>
    <n v="44"/>
    <n v="5"/>
    <n v="90"/>
    <x v="3"/>
    <x v="0"/>
  </r>
  <r>
    <x v="160"/>
    <x v="4"/>
    <x v="2"/>
    <n v="33"/>
    <x v="0"/>
    <n v="1"/>
    <n v="32274"/>
    <n v="15"/>
    <n v="45"/>
    <n v="3"/>
    <n v="96"/>
    <x v="3"/>
    <x v="0"/>
  </r>
  <r>
    <x v="161"/>
    <x v="12"/>
    <x v="0"/>
    <n v="29"/>
    <x v="0"/>
    <n v="7"/>
    <n v="33228"/>
    <n v="15"/>
    <n v="42"/>
    <n v="5"/>
    <n v="92"/>
    <x v="4"/>
    <x v="0"/>
  </r>
  <r>
    <x v="162"/>
    <x v="11"/>
    <x v="3"/>
    <n v="25"/>
    <x v="0"/>
    <n v="6"/>
    <n v="33393"/>
    <n v="12"/>
    <n v="47"/>
    <n v="4"/>
    <n v="91"/>
    <x v="2"/>
    <x v="0"/>
  </r>
  <r>
    <x v="163"/>
    <x v="14"/>
    <x v="1"/>
    <n v="32"/>
    <x v="0"/>
    <n v="5"/>
    <n v="33493"/>
    <n v="9"/>
    <n v="40"/>
    <n v="3"/>
    <n v="88"/>
    <x v="5"/>
    <x v="1"/>
  </r>
  <r>
    <x v="164"/>
    <x v="15"/>
    <x v="0"/>
    <n v="40"/>
    <x v="0"/>
    <n v="14"/>
    <n v="33562"/>
    <n v="14"/>
    <n v="48"/>
    <n v="1"/>
    <n v="95"/>
    <x v="3"/>
    <x v="0"/>
  </r>
  <r>
    <x v="165"/>
    <x v="5"/>
    <x v="0"/>
    <n v="25"/>
    <x v="0"/>
    <n v="5"/>
    <n v="33579"/>
    <n v="10"/>
    <n v="36"/>
    <n v="5"/>
    <n v="91"/>
    <x v="1"/>
    <x v="0"/>
  </r>
  <r>
    <x v="166"/>
    <x v="10"/>
    <x v="3"/>
    <n v="31"/>
    <x v="0"/>
    <n v="6"/>
    <n v="33715"/>
    <n v="10"/>
    <n v="48"/>
    <n v="3"/>
    <n v="88"/>
    <x v="5"/>
    <x v="1"/>
  </r>
  <r>
    <x v="167"/>
    <x v="14"/>
    <x v="3"/>
    <n v="27"/>
    <x v="1"/>
    <n v="12"/>
    <n v="33737"/>
    <n v="3"/>
    <n v="46"/>
    <n v="1"/>
    <n v="88"/>
    <x v="2"/>
    <x v="1"/>
  </r>
  <r>
    <x v="168"/>
    <x v="7"/>
    <x v="3"/>
    <n v="39"/>
    <x v="1"/>
    <n v="15"/>
    <n v="33769"/>
    <n v="8"/>
    <n v="43"/>
    <n v="3"/>
    <n v="91"/>
    <x v="4"/>
    <x v="0"/>
  </r>
  <r>
    <x v="169"/>
    <x v="11"/>
    <x v="1"/>
    <n v="35"/>
    <x v="0"/>
    <n v="8"/>
    <n v="33895"/>
    <n v="6"/>
    <n v="42"/>
    <n v="5"/>
    <n v="97"/>
    <x v="4"/>
    <x v="0"/>
  </r>
  <r>
    <x v="170"/>
    <x v="9"/>
    <x v="0"/>
    <n v="33"/>
    <x v="1"/>
    <n v="1"/>
    <n v="25431"/>
    <n v="11"/>
    <n v="39"/>
    <n v="2"/>
    <n v="98"/>
    <x v="4"/>
    <x v="0"/>
  </r>
  <r>
    <x v="171"/>
    <x v="1"/>
    <x v="1"/>
    <n v="40"/>
    <x v="0"/>
    <n v="11"/>
    <n v="33901"/>
    <n v="9"/>
    <n v="46"/>
    <n v="2"/>
    <n v="86"/>
    <x v="0"/>
    <x v="1"/>
  </r>
  <r>
    <x v="172"/>
    <x v="8"/>
    <x v="0"/>
    <n v="28"/>
    <x v="0"/>
    <n v="9"/>
    <n v="33955"/>
    <n v="3"/>
    <n v="47"/>
    <n v="5"/>
    <n v="89"/>
    <x v="3"/>
    <x v="1"/>
  </r>
  <r>
    <x v="173"/>
    <x v="11"/>
    <x v="3"/>
    <n v="29"/>
    <x v="0"/>
    <n v="11"/>
    <n v="34025"/>
    <n v="5"/>
    <n v="39"/>
    <n v="2"/>
    <n v="86"/>
    <x v="1"/>
    <x v="1"/>
  </r>
  <r>
    <x v="174"/>
    <x v="4"/>
    <x v="3"/>
    <n v="37"/>
    <x v="1"/>
    <n v="9"/>
    <n v="34346"/>
    <n v="15"/>
    <n v="45"/>
    <n v="2"/>
    <n v="96"/>
    <x v="1"/>
    <x v="0"/>
  </r>
  <r>
    <x v="175"/>
    <x v="7"/>
    <x v="1"/>
    <n v="38"/>
    <x v="0"/>
    <n v="9"/>
    <n v="34348"/>
    <n v="4"/>
    <n v="45"/>
    <n v="4"/>
    <n v="92"/>
    <x v="4"/>
    <x v="0"/>
  </r>
  <r>
    <x v="176"/>
    <x v="12"/>
    <x v="0"/>
    <n v="27"/>
    <x v="1"/>
    <n v="8"/>
    <n v="34398"/>
    <n v="12"/>
    <n v="48"/>
    <n v="1"/>
    <n v="90"/>
    <x v="0"/>
    <x v="0"/>
  </r>
  <r>
    <x v="177"/>
    <x v="2"/>
    <x v="3"/>
    <n v="30"/>
    <x v="1"/>
    <n v="9"/>
    <n v="34403"/>
    <n v="15"/>
    <n v="47"/>
    <n v="1"/>
    <n v="95"/>
    <x v="3"/>
    <x v="0"/>
  </r>
  <r>
    <x v="178"/>
    <x v="11"/>
    <x v="1"/>
    <n v="23"/>
    <x v="0"/>
    <n v="5"/>
    <n v="34524"/>
    <n v="10"/>
    <n v="43"/>
    <n v="4"/>
    <n v="92"/>
    <x v="0"/>
    <x v="0"/>
  </r>
  <r>
    <x v="179"/>
    <x v="2"/>
    <x v="3"/>
    <n v="22"/>
    <x v="0"/>
    <n v="8"/>
    <n v="34615"/>
    <n v="6"/>
    <n v="50"/>
    <n v="2"/>
    <n v="91"/>
    <x v="0"/>
    <x v="0"/>
  </r>
  <r>
    <x v="180"/>
    <x v="8"/>
    <x v="1"/>
    <n v="23"/>
    <x v="1"/>
    <n v="3"/>
    <n v="43424"/>
    <n v="3"/>
    <n v="37"/>
    <n v="2"/>
    <n v="94"/>
    <x v="2"/>
    <x v="0"/>
  </r>
  <r>
    <x v="181"/>
    <x v="16"/>
    <x v="2"/>
    <n v="36"/>
    <x v="0"/>
    <n v="12"/>
    <n v="34653"/>
    <n v="13"/>
    <n v="39"/>
    <n v="1"/>
    <n v="100"/>
    <x v="0"/>
    <x v="0"/>
  </r>
  <r>
    <x v="182"/>
    <x v="10"/>
    <x v="1"/>
    <n v="37"/>
    <x v="0"/>
    <n v="11"/>
    <n v="34744"/>
    <n v="7"/>
    <n v="45"/>
    <n v="4"/>
    <n v="89"/>
    <x v="0"/>
    <x v="1"/>
  </r>
  <r>
    <x v="183"/>
    <x v="9"/>
    <x v="0"/>
    <n v="35"/>
    <x v="0"/>
    <n v="14"/>
    <n v="34750"/>
    <n v="15"/>
    <n v="45"/>
    <n v="1"/>
    <n v="97"/>
    <x v="1"/>
    <x v="0"/>
  </r>
  <r>
    <x v="184"/>
    <x v="5"/>
    <x v="3"/>
    <n v="25"/>
    <x v="0"/>
    <n v="10"/>
    <n v="34778"/>
    <n v="12"/>
    <n v="37"/>
    <n v="5"/>
    <n v="92"/>
    <x v="1"/>
    <x v="0"/>
  </r>
  <r>
    <x v="185"/>
    <x v="18"/>
    <x v="2"/>
    <n v="28"/>
    <x v="0"/>
    <n v="15"/>
    <n v="34788"/>
    <n v="4"/>
    <n v="42"/>
    <n v="3"/>
    <n v="97"/>
    <x v="0"/>
    <x v="0"/>
  </r>
  <r>
    <x v="186"/>
    <x v="19"/>
    <x v="3"/>
    <n v="34"/>
    <x v="0"/>
    <n v="9"/>
    <n v="34915"/>
    <n v="6"/>
    <n v="50"/>
    <n v="5"/>
    <n v="91"/>
    <x v="4"/>
    <x v="0"/>
  </r>
  <r>
    <x v="187"/>
    <x v="8"/>
    <x v="3"/>
    <n v="25"/>
    <x v="1"/>
    <n v="7"/>
    <n v="35049"/>
    <n v="6"/>
    <n v="50"/>
    <n v="1"/>
    <n v="89"/>
    <x v="1"/>
    <x v="1"/>
  </r>
  <r>
    <x v="188"/>
    <x v="5"/>
    <x v="2"/>
    <n v="37"/>
    <x v="1"/>
    <n v="12"/>
    <n v="35143"/>
    <n v="15"/>
    <n v="48"/>
    <n v="5"/>
    <n v="96"/>
    <x v="1"/>
    <x v="0"/>
  </r>
  <r>
    <x v="189"/>
    <x v="2"/>
    <x v="0"/>
    <n v="40"/>
    <x v="1"/>
    <n v="13"/>
    <n v="35225"/>
    <n v="10"/>
    <n v="36"/>
    <n v="1"/>
    <n v="92"/>
    <x v="2"/>
    <x v="0"/>
  </r>
  <r>
    <x v="190"/>
    <x v="10"/>
    <x v="2"/>
    <n v="39"/>
    <x v="1"/>
    <n v="6"/>
    <n v="35241"/>
    <n v="11"/>
    <n v="47"/>
    <n v="3"/>
    <n v="96"/>
    <x v="4"/>
    <x v="0"/>
  </r>
  <r>
    <x v="191"/>
    <x v="10"/>
    <x v="1"/>
    <n v="36"/>
    <x v="1"/>
    <n v="2"/>
    <n v="76251"/>
    <n v="8"/>
    <n v="45"/>
    <n v="1"/>
    <n v="86"/>
    <x v="5"/>
    <x v="1"/>
  </r>
  <r>
    <x v="192"/>
    <x v="9"/>
    <x v="2"/>
    <n v="37"/>
    <x v="1"/>
    <n v="7"/>
    <n v="35394"/>
    <n v="5"/>
    <n v="46"/>
    <n v="2"/>
    <n v="89"/>
    <x v="4"/>
    <x v="1"/>
  </r>
  <r>
    <x v="193"/>
    <x v="18"/>
    <x v="0"/>
    <n v="36"/>
    <x v="0"/>
    <n v="8"/>
    <n v="35416"/>
    <n v="5"/>
    <n v="44"/>
    <n v="4"/>
    <n v="94"/>
    <x v="3"/>
    <x v="0"/>
  </r>
  <r>
    <x v="194"/>
    <x v="12"/>
    <x v="1"/>
    <n v="40"/>
    <x v="1"/>
    <n v="4"/>
    <n v="74980"/>
    <n v="12"/>
    <n v="43"/>
    <n v="4"/>
    <n v="99"/>
    <x v="2"/>
    <x v="0"/>
  </r>
  <r>
    <x v="195"/>
    <x v="5"/>
    <x v="0"/>
    <n v="34"/>
    <x v="0"/>
    <n v="3"/>
    <n v="71884"/>
    <n v="6"/>
    <n v="39"/>
    <n v="3"/>
    <n v="96"/>
    <x v="3"/>
    <x v="0"/>
  </r>
  <r>
    <x v="196"/>
    <x v="17"/>
    <x v="1"/>
    <n v="32"/>
    <x v="1"/>
    <n v="1"/>
    <n v="55654"/>
    <n v="10"/>
    <n v="44"/>
    <n v="3"/>
    <n v="90"/>
    <x v="2"/>
    <x v="0"/>
  </r>
  <r>
    <x v="197"/>
    <x v="4"/>
    <x v="2"/>
    <n v="22"/>
    <x v="1"/>
    <n v="12"/>
    <n v="35427"/>
    <n v="5"/>
    <n v="48"/>
    <n v="3"/>
    <n v="88"/>
    <x v="4"/>
    <x v="1"/>
  </r>
  <r>
    <x v="198"/>
    <x v="18"/>
    <x v="2"/>
    <n v="35"/>
    <x v="0"/>
    <n v="15"/>
    <n v="35468"/>
    <n v="11"/>
    <n v="38"/>
    <n v="4"/>
    <n v="90"/>
    <x v="2"/>
    <x v="0"/>
  </r>
  <r>
    <x v="199"/>
    <x v="9"/>
    <x v="1"/>
    <n v="37"/>
    <x v="1"/>
    <n v="12"/>
    <n v="35524"/>
    <n v="7"/>
    <n v="37"/>
    <n v="1"/>
    <n v="96"/>
    <x v="0"/>
    <x v="0"/>
  </r>
  <r>
    <x v="200"/>
    <x v="9"/>
    <x v="2"/>
    <n v="25"/>
    <x v="1"/>
    <n v="6"/>
    <n v="35911"/>
    <n v="6"/>
    <n v="41"/>
    <n v="2"/>
    <n v="86"/>
    <x v="1"/>
    <x v="1"/>
  </r>
  <r>
    <x v="201"/>
    <x v="4"/>
    <x v="1"/>
    <n v="35"/>
    <x v="1"/>
    <n v="14"/>
    <n v="35984"/>
    <n v="12"/>
    <n v="43"/>
    <n v="1"/>
    <n v="98"/>
    <x v="3"/>
    <x v="0"/>
  </r>
  <r>
    <x v="202"/>
    <x v="19"/>
    <x v="2"/>
    <n v="24"/>
    <x v="1"/>
    <n v="4"/>
    <n v="45877"/>
    <n v="4"/>
    <n v="43"/>
    <n v="4"/>
    <n v="93"/>
    <x v="3"/>
    <x v="0"/>
  </r>
  <r>
    <x v="203"/>
    <x v="12"/>
    <x v="3"/>
    <n v="24"/>
    <x v="0"/>
    <n v="9"/>
    <n v="35988"/>
    <n v="9"/>
    <n v="35"/>
    <n v="2"/>
    <n v="90"/>
    <x v="4"/>
    <x v="0"/>
  </r>
  <r>
    <x v="204"/>
    <x v="13"/>
    <x v="1"/>
    <n v="31"/>
    <x v="0"/>
    <n v="10"/>
    <n v="36009"/>
    <n v="12"/>
    <n v="41"/>
    <n v="5"/>
    <n v="86"/>
    <x v="5"/>
    <x v="1"/>
  </r>
  <r>
    <x v="205"/>
    <x v="15"/>
    <x v="0"/>
    <n v="22"/>
    <x v="1"/>
    <n v="12"/>
    <n v="36015"/>
    <n v="8"/>
    <n v="44"/>
    <n v="5"/>
    <n v="99"/>
    <x v="2"/>
    <x v="0"/>
  </r>
  <r>
    <x v="206"/>
    <x v="19"/>
    <x v="0"/>
    <n v="27"/>
    <x v="1"/>
    <n v="3"/>
    <n v="57141"/>
    <n v="4"/>
    <n v="44"/>
    <n v="4"/>
    <n v="94"/>
    <x v="0"/>
    <x v="0"/>
  </r>
  <r>
    <x v="207"/>
    <x v="6"/>
    <x v="0"/>
    <n v="22"/>
    <x v="0"/>
    <n v="4"/>
    <n v="43916"/>
    <n v="8"/>
    <n v="43"/>
    <n v="3"/>
    <n v="96"/>
    <x v="1"/>
    <x v="0"/>
  </r>
  <r>
    <x v="208"/>
    <x v="14"/>
    <x v="0"/>
    <n v="38"/>
    <x v="1"/>
    <n v="1"/>
    <n v="28635"/>
    <n v="15"/>
    <n v="36"/>
    <n v="3"/>
    <n v="99"/>
    <x v="2"/>
    <x v="0"/>
  </r>
  <r>
    <x v="209"/>
    <x v="15"/>
    <x v="2"/>
    <n v="37"/>
    <x v="1"/>
    <n v="15"/>
    <n v="36027"/>
    <n v="10"/>
    <n v="43"/>
    <n v="3"/>
    <n v="92"/>
    <x v="1"/>
    <x v="0"/>
  </r>
  <r>
    <x v="210"/>
    <x v="15"/>
    <x v="1"/>
    <n v="29"/>
    <x v="0"/>
    <n v="6"/>
    <n v="36149"/>
    <n v="6"/>
    <n v="45"/>
    <n v="2"/>
    <n v="93"/>
    <x v="1"/>
    <x v="0"/>
  </r>
  <r>
    <x v="211"/>
    <x v="18"/>
    <x v="1"/>
    <n v="24"/>
    <x v="1"/>
    <n v="11"/>
    <n v="36309"/>
    <n v="13"/>
    <n v="50"/>
    <n v="5"/>
    <n v="92"/>
    <x v="3"/>
    <x v="0"/>
  </r>
  <r>
    <x v="212"/>
    <x v="19"/>
    <x v="2"/>
    <n v="38"/>
    <x v="0"/>
    <n v="5"/>
    <n v="36353"/>
    <n v="10"/>
    <n v="45"/>
    <n v="1"/>
    <n v="96"/>
    <x v="0"/>
    <x v="0"/>
  </r>
  <r>
    <x v="213"/>
    <x v="8"/>
    <x v="0"/>
    <n v="30"/>
    <x v="0"/>
    <n v="10"/>
    <n v="36410"/>
    <n v="5"/>
    <n v="36"/>
    <n v="1"/>
    <n v="93"/>
    <x v="4"/>
    <x v="0"/>
  </r>
  <r>
    <x v="214"/>
    <x v="4"/>
    <x v="0"/>
    <n v="22"/>
    <x v="0"/>
    <n v="3"/>
    <n v="58673"/>
    <n v="13"/>
    <n v="42"/>
    <n v="5"/>
    <n v="94"/>
    <x v="3"/>
    <x v="0"/>
  </r>
  <r>
    <x v="215"/>
    <x v="14"/>
    <x v="0"/>
    <n v="39"/>
    <x v="1"/>
    <n v="6"/>
    <n v="36458"/>
    <n v="14"/>
    <n v="37"/>
    <n v="1"/>
    <n v="91"/>
    <x v="4"/>
    <x v="0"/>
  </r>
  <r>
    <x v="216"/>
    <x v="3"/>
    <x v="0"/>
    <n v="33"/>
    <x v="1"/>
    <n v="13"/>
    <n v="36595"/>
    <n v="14"/>
    <n v="47"/>
    <n v="2"/>
    <n v="88"/>
    <x v="4"/>
    <x v="1"/>
  </r>
  <r>
    <x v="217"/>
    <x v="18"/>
    <x v="3"/>
    <n v="34"/>
    <x v="1"/>
    <n v="11"/>
    <n v="36725"/>
    <n v="6"/>
    <n v="50"/>
    <n v="1"/>
    <n v="90"/>
    <x v="3"/>
    <x v="0"/>
  </r>
  <r>
    <x v="218"/>
    <x v="17"/>
    <x v="2"/>
    <n v="35"/>
    <x v="0"/>
    <n v="13"/>
    <n v="36776"/>
    <n v="13"/>
    <n v="41"/>
    <n v="2"/>
    <n v="99"/>
    <x v="0"/>
    <x v="0"/>
  </r>
  <r>
    <x v="219"/>
    <x v="9"/>
    <x v="2"/>
    <n v="40"/>
    <x v="0"/>
    <n v="6"/>
    <n v="36861"/>
    <n v="8"/>
    <n v="46"/>
    <n v="3"/>
    <n v="86"/>
    <x v="0"/>
    <x v="1"/>
  </r>
  <r>
    <x v="220"/>
    <x v="13"/>
    <x v="3"/>
    <n v="24"/>
    <x v="0"/>
    <n v="5"/>
    <n v="36879"/>
    <n v="15"/>
    <n v="40"/>
    <n v="2"/>
    <n v="87"/>
    <x v="3"/>
    <x v="1"/>
  </r>
  <r>
    <x v="221"/>
    <x v="5"/>
    <x v="2"/>
    <n v="27"/>
    <x v="1"/>
    <n v="12"/>
    <n v="36903"/>
    <n v="8"/>
    <n v="44"/>
    <n v="3"/>
    <n v="99"/>
    <x v="1"/>
    <x v="0"/>
  </r>
  <r>
    <x v="222"/>
    <x v="8"/>
    <x v="1"/>
    <n v="31"/>
    <x v="1"/>
    <n v="2"/>
    <n v="55045"/>
    <n v="6"/>
    <n v="39"/>
    <n v="5"/>
    <n v="95"/>
    <x v="1"/>
    <x v="0"/>
  </r>
  <r>
    <x v="223"/>
    <x v="5"/>
    <x v="3"/>
    <n v="39"/>
    <x v="1"/>
    <n v="8"/>
    <n v="37060"/>
    <n v="8"/>
    <n v="36"/>
    <n v="1"/>
    <n v="89"/>
    <x v="1"/>
    <x v="1"/>
  </r>
  <r>
    <x v="224"/>
    <x v="12"/>
    <x v="1"/>
    <n v="38"/>
    <x v="1"/>
    <n v="10"/>
    <n v="37092"/>
    <n v="9"/>
    <n v="48"/>
    <n v="1"/>
    <n v="90"/>
    <x v="4"/>
    <x v="0"/>
  </r>
  <r>
    <x v="225"/>
    <x v="15"/>
    <x v="1"/>
    <n v="30"/>
    <x v="1"/>
    <n v="8"/>
    <n v="37145"/>
    <n v="8"/>
    <n v="47"/>
    <n v="4"/>
    <n v="92"/>
    <x v="0"/>
    <x v="0"/>
  </r>
  <r>
    <x v="226"/>
    <x v="17"/>
    <x v="0"/>
    <n v="36"/>
    <x v="0"/>
    <n v="4"/>
    <n v="55981"/>
    <n v="3"/>
    <n v="48"/>
    <n v="3"/>
    <n v="87"/>
    <x v="5"/>
    <x v="1"/>
  </r>
  <r>
    <x v="227"/>
    <x v="5"/>
    <x v="2"/>
    <n v="29"/>
    <x v="1"/>
    <n v="13"/>
    <n v="37227"/>
    <n v="3"/>
    <n v="46"/>
    <n v="5"/>
    <n v="86"/>
    <x v="4"/>
    <x v="1"/>
  </r>
  <r>
    <x v="228"/>
    <x v="15"/>
    <x v="3"/>
    <n v="32"/>
    <x v="0"/>
    <n v="12"/>
    <n v="37246"/>
    <n v="12"/>
    <n v="40"/>
    <n v="5"/>
    <n v="97"/>
    <x v="2"/>
    <x v="0"/>
  </r>
  <r>
    <x v="229"/>
    <x v="7"/>
    <x v="2"/>
    <n v="23"/>
    <x v="1"/>
    <n v="15"/>
    <n v="37337"/>
    <n v="9"/>
    <n v="48"/>
    <n v="1"/>
    <n v="93"/>
    <x v="3"/>
    <x v="0"/>
  </r>
  <r>
    <x v="230"/>
    <x v="11"/>
    <x v="2"/>
    <n v="39"/>
    <x v="0"/>
    <n v="3"/>
    <n v="58783"/>
    <n v="13"/>
    <n v="42"/>
    <n v="5"/>
    <n v="99"/>
    <x v="3"/>
    <x v="0"/>
  </r>
  <r>
    <x v="231"/>
    <x v="0"/>
    <x v="2"/>
    <n v="34"/>
    <x v="0"/>
    <n v="3"/>
    <n v="78997"/>
    <n v="4"/>
    <n v="47"/>
    <n v="5"/>
    <n v="97"/>
    <x v="1"/>
    <x v="0"/>
  </r>
  <r>
    <x v="232"/>
    <x v="9"/>
    <x v="2"/>
    <n v="29"/>
    <x v="1"/>
    <n v="14"/>
    <n v="37419"/>
    <n v="14"/>
    <n v="38"/>
    <n v="1"/>
    <n v="89"/>
    <x v="1"/>
    <x v="1"/>
  </r>
  <r>
    <x v="233"/>
    <x v="17"/>
    <x v="1"/>
    <n v="24"/>
    <x v="1"/>
    <n v="15"/>
    <n v="37436"/>
    <n v="4"/>
    <n v="48"/>
    <n v="3"/>
    <n v="85"/>
    <x v="3"/>
    <x v="1"/>
  </r>
  <r>
    <x v="234"/>
    <x v="12"/>
    <x v="0"/>
    <n v="31"/>
    <x v="1"/>
    <n v="7"/>
    <n v="37458"/>
    <n v="13"/>
    <n v="42"/>
    <n v="2"/>
    <n v="99"/>
    <x v="1"/>
    <x v="0"/>
  </r>
  <r>
    <x v="235"/>
    <x v="2"/>
    <x v="2"/>
    <n v="24"/>
    <x v="0"/>
    <n v="5"/>
    <n v="37637"/>
    <n v="4"/>
    <n v="37"/>
    <n v="2"/>
    <n v="88"/>
    <x v="2"/>
    <x v="1"/>
  </r>
  <r>
    <x v="236"/>
    <x v="12"/>
    <x v="2"/>
    <n v="36"/>
    <x v="0"/>
    <n v="9"/>
    <n v="37807"/>
    <n v="15"/>
    <n v="43"/>
    <n v="1"/>
    <n v="89"/>
    <x v="5"/>
    <x v="1"/>
  </r>
  <r>
    <x v="237"/>
    <x v="12"/>
    <x v="2"/>
    <n v="26"/>
    <x v="1"/>
    <n v="8"/>
    <n v="37891"/>
    <n v="6"/>
    <n v="37"/>
    <n v="1"/>
    <n v="91"/>
    <x v="2"/>
    <x v="0"/>
  </r>
  <r>
    <x v="238"/>
    <x v="2"/>
    <x v="2"/>
    <n v="25"/>
    <x v="0"/>
    <n v="5"/>
    <n v="38025"/>
    <n v="12"/>
    <n v="41"/>
    <n v="2"/>
    <n v="86"/>
    <x v="3"/>
    <x v="1"/>
  </r>
  <r>
    <x v="239"/>
    <x v="18"/>
    <x v="0"/>
    <n v="30"/>
    <x v="1"/>
    <n v="1"/>
    <n v="60420"/>
    <n v="15"/>
    <n v="39"/>
    <n v="5"/>
    <n v="86"/>
    <x v="5"/>
    <x v="1"/>
  </r>
  <r>
    <x v="240"/>
    <x v="1"/>
    <x v="3"/>
    <n v="23"/>
    <x v="0"/>
    <n v="7"/>
    <n v="38055"/>
    <n v="12"/>
    <n v="45"/>
    <n v="5"/>
    <n v="89"/>
    <x v="2"/>
    <x v="1"/>
  </r>
  <r>
    <x v="241"/>
    <x v="8"/>
    <x v="2"/>
    <n v="40"/>
    <x v="0"/>
    <n v="12"/>
    <n v="38087"/>
    <n v="6"/>
    <n v="35"/>
    <n v="4"/>
    <n v="88"/>
    <x v="4"/>
    <x v="1"/>
  </r>
  <r>
    <x v="242"/>
    <x v="8"/>
    <x v="2"/>
    <n v="30"/>
    <x v="1"/>
    <n v="3"/>
    <n v="44276"/>
    <n v="12"/>
    <n v="49"/>
    <n v="1"/>
    <n v="95"/>
    <x v="5"/>
    <x v="0"/>
  </r>
  <r>
    <x v="243"/>
    <x v="13"/>
    <x v="0"/>
    <n v="27"/>
    <x v="1"/>
    <n v="10"/>
    <n v="38105"/>
    <n v="8"/>
    <n v="35"/>
    <n v="1"/>
    <n v="93"/>
    <x v="0"/>
    <x v="0"/>
  </r>
  <r>
    <x v="244"/>
    <x v="8"/>
    <x v="2"/>
    <n v="28"/>
    <x v="1"/>
    <n v="5"/>
    <n v="38114"/>
    <n v="4"/>
    <n v="39"/>
    <n v="1"/>
    <n v="92"/>
    <x v="5"/>
    <x v="0"/>
  </r>
  <r>
    <x v="245"/>
    <x v="4"/>
    <x v="3"/>
    <n v="25"/>
    <x v="1"/>
    <n v="6"/>
    <n v="38419"/>
    <n v="3"/>
    <n v="42"/>
    <n v="3"/>
    <n v="85"/>
    <x v="0"/>
    <x v="1"/>
  </r>
  <r>
    <x v="246"/>
    <x v="17"/>
    <x v="2"/>
    <n v="23"/>
    <x v="0"/>
    <n v="10"/>
    <n v="38423"/>
    <n v="15"/>
    <n v="39"/>
    <n v="2"/>
    <n v="89"/>
    <x v="2"/>
    <x v="1"/>
  </r>
  <r>
    <x v="247"/>
    <x v="19"/>
    <x v="0"/>
    <n v="39"/>
    <x v="0"/>
    <n v="6"/>
    <n v="38424"/>
    <n v="10"/>
    <n v="35"/>
    <n v="2"/>
    <n v="89"/>
    <x v="0"/>
    <x v="1"/>
  </r>
  <r>
    <x v="248"/>
    <x v="7"/>
    <x v="3"/>
    <n v="40"/>
    <x v="0"/>
    <n v="5"/>
    <n v="38462"/>
    <n v="9"/>
    <n v="41"/>
    <n v="5"/>
    <n v="98"/>
    <x v="4"/>
    <x v="0"/>
  </r>
  <r>
    <x v="249"/>
    <x v="7"/>
    <x v="1"/>
    <n v="40"/>
    <x v="1"/>
    <n v="3"/>
    <n v="67276"/>
    <n v="7"/>
    <n v="48"/>
    <n v="4"/>
    <n v="95"/>
    <x v="1"/>
    <x v="0"/>
  </r>
  <r>
    <x v="250"/>
    <x v="9"/>
    <x v="3"/>
    <n v="30"/>
    <x v="0"/>
    <n v="2"/>
    <n v="50331"/>
    <n v="3"/>
    <n v="48"/>
    <n v="5"/>
    <n v="92"/>
    <x v="3"/>
    <x v="0"/>
  </r>
  <r>
    <x v="251"/>
    <x v="4"/>
    <x v="3"/>
    <n v="26"/>
    <x v="0"/>
    <n v="9"/>
    <n v="38519"/>
    <n v="3"/>
    <n v="46"/>
    <n v="4"/>
    <n v="93"/>
    <x v="1"/>
    <x v="0"/>
  </r>
  <r>
    <x v="252"/>
    <x v="15"/>
    <x v="3"/>
    <n v="22"/>
    <x v="0"/>
    <n v="7"/>
    <n v="38643"/>
    <n v="14"/>
    <n v="44"/>
    <n v="4"/>
    <n v="99"/>
    <x v="5"/>
    <x v="0"/>
  </r>
  <r>
    <x v="253"/>
    <x v="9"/>
    <x v="3"/>
    <n v="28"/>
    <x v="0"/>
    <n v="4"/>
    <n v="31217"/>
    <n v="11"/>
    <n v="39"/>
    <n v="1"/>
    <n v="93"/>
    <x v="1"/>
    <x v="0"/>
  </r>
  <r>
    <x v="254"/>
    <x v="14"/>
    <x v="2"/>
    <n v="31"/>
    <x v="0"/>
    <n v="5"/>
    <n v="38712"/>
    <n v="15"/>
    <n v="50"/>
    <n v="3"/>
    <n v="93"/>
    <x v="3"/>
    <x v="0"/>
  </r>
  <r>
    <x v="255"/>
    <x v="10"/>
    <x v="3"/>
    <n v="35"/>
    <x v="0"/>
    <n v="4"/>
    <n v="72452"/>
    <n v="13"/>
    <n v="35"/>
    <n v="1"/>
    <n v="91"/>
    <x v="5"/>
    <x v="0"/>
  </r>
  <r>
    <x v="256"/>
    <x v="11"/>
    <x v="1"/>
    <n v="31"/>
    <x v="0"/>
    <n v="1"/>
    <n v="37560"/>
    <n v="8"/>
    <n v="44"/>
    <n v="1"/>
    <n v="85"/>
    <x v="3"/>
    <x v="1"/>
  </r>
  <r>
    <x v="257"/>
    <x v="2"/>
    <x v="3"/>
    <n v="40"/>
    <x v="0"/>
    <n v="1"/>
    <n v="48256"/>
    <n v="10"/>
    <n v="39"/>
    <n v="3"/>
    <n v="89"/>
    <x v="3"/>
    <x v="1"/>
  </r>
  <r>
    <x v="258"/>
    <x v="6"/>
    <x v="3"/>
    <n v="35"/>
    <x v="1"/>
    <n v="9"/>
    <n v="38818"/>
    <n v="13"/>
    <n v="50"/>
    <n v="4"/>
    <n v="95"/>
    <x v="2"/>
    <x v="0"/>
  </r>
  <r>
    <x v="259"/>
    <x v="2"/>
    <x v="3"/>
    <n v="26"/>
    <x v="1"/>
    <n v="4"/>
    <n v="67709"/>
    <n v="15"/>
    <n v="39"/>
    <n v="2"/>
    <n v="93"/>
    <x v="3"/>
    <x v="0"/>
  </r>
  <r>
    <x v="260"/>
    <x v="16"/>
    <x v="0"/>
    <n v="29"/>
    <x v="0"/>
    <n v="5"/>
    <n v="38907"/>
    <n v="4"/>
    <n v="36"/>
    <n v="1"/>
    <n v="98"/>
    <x v="3"/>
    <x v="0"/>
  </r>
  <r>
    <x v="261"/>
    <x v="15"/>
    <x v="0"/>
    <n v="29"/>
    <x v="0"/>
    <n v="1"/>
    <n v="68703"/>
    <n v="14"/>
    <n v="42"/>
    <n v="5"/>
    <n v="92"/>
    <x v="1"/>
    <x v="0"/>
  </r>
  <r>
    <x v="262"/>
    <x v="2"/>
    <x v="1"/>
    <n v="35"/>
    <x v="1"/>
    <n v="6"/>
    <n v="38949"/>
    <n v="8"/>
    <n v="39"/>
    <n v="5"/>
    <n v="99"/>
    <x v="5"/>
    <x v="0"/>
  </r>
  <r>
    <x v="263"/>
    <x v="13"/>
    <x v="3"/>
    <n v="35"/>
    <x v="1"/>
    <n v="4"/>
    <n v="42052"/>
    <n v="11"/>
    <n v="40"/>
    <n v="5"/>
    <n v="91"/>
    <x v="4"/>
    <x v="0"/>
  </r>
  <r>
    <x v="264"/>
    <x v="3"/>
    <x v="3"/>
    <n v="22"/>
    <x v="0"/>
    <n v="8"/>
    <n v="39003"/>
    <n v="13"/>
    <n v="48"/>
    <n v="3"/>
    <n v="85"/>
    <x v="1"/>
    <x v="1"/>
  </r>
  <r>
    <x v="265"/>
    <x v="5"/>
    <x v="1"/>
    <n v="24"/>
    <x v="1"/>
    <n v="6"/>
    <n v="39049"/>
    <n v="3"/>
    <n v="43"/>
    <n v="3"/>
    <n v="91"/>
    <x v="2"/>
    <x v="0"/>
  </r>
  <r>
    <x v="266"/>
    <x v="19"/>
    <x v="0"/>
    <n v="25"/>
    <x v="1"/>
    <n v="2"/>
    <n v="25137"/>
    <n v="14"/>
    <n v="43"/>
    <n v="2"/>
    <n v="95"/>
    <x v="5"/>
    <x v="0"/>
  </r>
  <r>
    <x v="267"/>
    <x v="1"/>
    <x v="3"/>
    <n v="25"/>
    <x v="1"/>
    <n v="6"/>
    <n v="39064"/>
    <n v="4"/>
    <n v="38"/>
    <n v="3"/>
    <n v="88"/>
    <x v="5"/>
    <x v="1"/>
  </r>
  <r>
    <x v="268"/>
    <x v="5"/>
    <x v="2"/>
    <n v="24"/>
    <x v="1"/>
    <n v="14"/>
    <n v="39097"/>
    <n v="7"/>
    <n v="47"/>
    <n v="4"/>
    <n v="87"/>
    <x v="3"/>
    <x v="1"/>
  </r>
  <r>
    <x v="269"/>
    <x v="7"/>
    <x v="0"/>
    <n v="28"/>
    <x v="0"/>
    <n v="8"/>
    <n v="39471"/>
    <n v="15"/>
    <n v="40"/>
    <n v="5"/>
    <n v="90"/>
    <x v="1"/>
    <x v="0"/>
  </r>
  <r>
    <x v="270"/>
    <x v="5"/>
    <x v="2"/>
    <n v="30"/>
    <x v="0"/>
    <n v="7"/>
    <n v="39617"/>
    <n v="3"/>
    <n v="46"/>
    <n v="1"/>
    <n v="87"/>
    <x v="3"/>
    <x v="1"/>
  </r>
  <r>
    <x v="271"/>
    <x v="3"/>
    <x v="0"/>
    <n v="29"/>
    <x v="0"/>
    <n v="7"/>
    <n v="39620"/>
    <n v="6"/>
    <n v="45"/>
    <n v="1"/>
    <n v="100"/>
    <x v="1"/>
    <x v="0"/>
  </r>
  <r>
    <x v="272"/>
    <x v="14"/>
    <x v="0"/>
    <n v="34"/>
    <x v="1"/>
    <n v="10"/>
    <n v="39641"/>
    <n v="4"/>
    <n v="40"/>
    <n v="3"/>
    <n v="93"/>
    <x v="5"/>
    <x v="0"/>
  </r>
  <r>
    <x v="273"/>
    <x v="9"/>
    <x v="2"/>
    <n v="26"/>
    <x v="1"/>
    <n v="13"/>
    <n v="39844"/>
    <n v="13"/>
    <n v="40"/>
    <n v="5"/>
    <n v="98"/>
    <x v="5"/>
    <x v="0"/>
  </r>
  <r>
    <x v="274"/>
    <x v="13"/>
    <x v="0"/>
    <n v="33"/>
    <x v="1"/>
    <n v="5"/>
    <n v="39879"/>
    <n v="15"/>
    <n v="45"/>
    <n v="4"/>
    <n v="86"/>
    <x v="3"/>
    <x v="1"/>
  </r>
  <r>
    <x v="275"/>
    <x v="16"/>
    <x v="0"/>
    <n v="28"/>
    <x v="0"/>
    <n v="13"/>
    <n v="39892"/>
    <n v="6"/>
    <n v="44"/>
    <n v="3"/>
    <n v="92"/>
    <x v="0"/>
    <x v="0"/>
  </r>
  <r>
    <x v="276"/>
    <x v="6"/>
    <x v="1"/>
    <n v="22"/>
    <x v="1"/>
    <n v="12"/>
    <n v="39989"/>
    <n v="15"/>
    <n v="38"/>
    <n v="4"/>
    <n v="94"/>
    <x v="4"/>
    <x v="0"/>
  </r>
  <r>
    <x v="277"/>
    <x v="9"/>
    <x v="3"/>
    <n v="38"/>
    <x v="1"/>
    <n v="4"/>
    <n v="64491"/>
    <n v="8"/>
    <n v="39"/>
    <n v="3"/>
    <n v="97"/>
    <x v="0"/>
    <x v="0"/>
  </r>
  <r>
    <x v="278"/>
    <x v="16"/>
    <x v="2"/>
    <n v="34"/>
    <x v="1"/>
    <n v="15"/>
    <n v="40122"/>
    <n v="10"/>
    <n v="45"/>
    <n v="2"/>
    <n v="89"/>
    <x v="1"/>
    <x v="1"/>
  </r>
  <r>
    <x v="279"/>
    <x v="11"/>
    <x v="2"/>
    <n v="30"/>
    <x v="0"/>
    <n v="2"/>
    <n v="42326"/>
    <n v="9"/>
    <n v="41"/>
    <n v="1"/>
    <n v="99"/>
    <x v="3"/>
    <x v="0"/>
  </r>
  <r>
    <x v="280"/>
    <x v="1"/>
    <x v="1"/>
    <n v="40"/>
    <x v="0"/>
    <n v="3"/>
    <n v="34670"/>
    <n v="7"/>
    <n v="46"/>
    <n v="4"/>
    <n v="92"/>
    <x v="0"/>
    <x v="0"/>
  </r>
  <r>
    <x v="281"/>
    <x v="11"/>
    <x v="2"/>
    <n v="34"/>
    <x v="1"/>
    <n v="12"/>
    <n v="40231"/>
    <n v="4"/>
    <n v="46"/>
    <n v="1"/>
    <n v="92"/>
    <x v="4"/>
    <x v="0"/>
  </r>
  <r>
    <x v="282"/>
    <x v="15"/>
    <x v="1"/>
    <n v="33"/>
    <x v="0"/>
    <n v="13"/>
    <n v="40258"/>
    <n v="8"/>
    <n v="47"/>
    <n v="2"/>
    <n v="86"/>
    <x v="4"/>
    <x v="1"/>
  </r>
  <r>
    <x v="283"/>
    <x v="6"/>
    <x v="3"/>
    <n v="30"/>
    <x v="1"/>
    <n v="9"/>
    <n v="40382"/>
    <n v="9"/>
    <n v="40"/>
    <n v="5"/>
    <n v="86"/>
    <x v="2"/>
    <x v="1"/>
  </r>
  <r>
    <x v="284"/>
    <x v="7"/>
    <x v="1"/>
    <n v="22"/>
    <x v="0"/>
    <n v="13"/>
    <n v="40391"/>
    <n v="4"/>
    <n v="43"/>
    <n v="2"/>
    <n v="100"/>
    <x v="2"/>
    <x v="0"/>
  </r>
  <r>
    <x v="285"/>
    <x v="16"/>
    <x v="3"/>
    <n v="23"/>
    <x v="1"/>
    <n v="13"/>
    <n v="40475"/>
    <n v="7"/>
    <n v="49"/>
    <n v="1"/>
    <n v="89"/>
    <x v="1"/>
    <x v="1"/>
  </r>
  <r>
    <x v="286"/>
    <x v="2"/>
    <x v="1"/>
    <n v="25"/>
    <x v="1"/>
    <n v="9"/>
    <n v="40531"/>
    <n v="6"/>
    <n v="45"/>
    <n v="3"/>
    <n v="86"/>
    <x v="2"/>
    <x v="1"/>
  </r>
  <r>
    <x v="287"/>
    <x v="15"/>
    <x v="0"/>
    <n v="32"/>
    <x v="0"/>
    <n v="15"/>
    <n v="40726"/>
    <n v="10"/>
    <n v="39"/>
    <n v="5"/>
    <n v="96"/>
    <x v="5"/>
    <x v="0"/>
  </r>
  <r>
    <x v="288"/>
    <x v="12"/>
    <x v="3"/>
    <n v="28"/>
    <x v="0"/>
    <n v="6"/>
    <n v="40744"/>
    <n v="8"/>
    <n v="43"/>
    <n v="4"/>
    <n v="87"/>
    <x v="3"/>
    <x v="1"/>
  </r>
  <r>
    <x v="289"/>
    <x v="3"/>
    <x v="1"/>
    <n v="38"/>
    <x v="1"/>
    <n v="3"/>
    <n v="43288"/>
    <n v="3"/>
    <n v="48"/>
    <n v="1"/>
    <n v="95"/>
    <x v="5"/>
    <x v="0"/>
  </r>
  <r>
    <x v="290"/>
    <x v="16"/>
    <x v="0"/>
    <n v="26"/>
    <x v="1"/>
    <n v="5"/>
    <n v="40797"/>
    <n v="7"/>
    <n v="35"/>
    <n v="3"/>
    <n v="85"/>
    <x v="4"/>
    <x v="1"/>
  </r>
  <r>
    <x v="291"/>
    <x v="12"/>
    <x v="3"/>
    <n v="27"/>
    <x v="0"/>
    <n v="7"/>
    <n v="41022"/>
    <n v="3"/>
    <n v="37"/>
    <n v="3"/>
    <n v="86"/>
    <x v="1"/>
    <x v="1"/>
  </r>
  <r>
    <x v="292"/>
    <x v="11"/>
    <x v="0"/>
    <n v="37"/>
    <x v="0"/>
    <n v="12"/>
    <n v="41107"/>
    <n v="11"/>
    <n v="40"/>
    <n v="1"/>
    <n v="85"/>
    <x v="3"/>
    <x v="1"/>
  </r>
  <r>
    <x v="293"/>
    <x v="2"/>
    <x v="2"/>
    <n v="31"/>
    <x v="0"/>
    <n v="9"/>
    <n v="41282"/>
    <n v="15"/>
    <n v="41"/>
    <n v="4"/>
    <n v="99"/>
    <x v="1"/>
    <x v="0"/>
  </r>
  <r>
    <x v="294"/>
    <x v="14"/>
    <x v="0"/>
    <n v="26"/>
    <x v="1"/>
    <n v="7"/>
    <n v="41578"/>
    <n v="3"/>
    <n v="47"/>
    <n v="5"/>
    <n v="88"/>
    <x v="2"/>
    <x v="1"/>
  </r>
  <r>
    <x v="295"/>
    <x v="1"/>
    <x v="1"/>
    <n v="36"/>
    <x v="1"/>
    <n v="3"/>
    <n v="47028"/>
    <n v="5"/>
    <n v="50"/>
    <n v="3"/>
    <n v="89"/>
    <x v="1"/>
    <x v="1"/>
  </r>
  <r>
    <x v="296"/>
    <x v="7"/>
    <x v="0"/>
    <n v="31"/>
    <x v="0"/>
    <n v="4"/>
    <n v="59236"/>
    <n v="3"/>
    <n v="50"/>
    <n v="4"/>
    <n v="85"/>
    <x v="4"/>
    <x v="1"/>
  </r>
  <r>
    <x v="297"/>
    <x v="9"/>
    <x v="1"/>
    <n v="39"/>
    <x v="0"/>
    <n v="15"/>
    <n v="41656"/>
    <n v="9"/>
    <n v="49"/>
    <n v="4"/>
    <n v="96"/>
    <x v="4"/>
    <x v="0"/>
  </r>
  <r>
    <x v="298"/>
    <x v="16"/>
    <x v="0"/>
    <n v="40"/>
    <x v="1"/>
    <n v="15"/>
    <n v="41699"/>
    <n v="7"/>
    <n v="35"/>
    <n v="4"/>
    <n v="87"/>
    <x v="5"/>
    <x v="1"/>
  </r>
  <r>
    <x v="299"/>
    <x v="0"/>
    <x v="3"/>
    <n v="29"/>
    <x v="0"/>
    <n v="7"/>
    <n v="42006"/>
    <n v="10"/>
    <n v="39"/>
    <n v="4"/>
    <n v="86"/>
    <x v="0"/>
    <x v="1"/>
  </r>
  <r>
    <x v="300"/>
    <x v="14"/>
    <x v="3"/>
    <n v="36"/>
    <x v="1"/>
    <n v="6"/>
    <n v="42013"/>
    <n v="12"/>
    <n v="40"/>
    <n v="1"/>
    <n v="85"/>
    <x v="5"/>
    <x v="1"/>
  </r>
  <r>
    <x v="301"/>
    <x v="13"/>
    <x v="2"/>
    <n v="36"/>
    <x v="0"/>
    <n v="11"/>
    <n v="42023"/>
    <n v="12"/>
    <n v="40"/>
    <n v="2"/>
    <n v="98"/>
    <x v="1"/>
    <x v="0"/>
  </r>
  <r>
    <x v="302"/>
    <x v="9"/>
    <x v="1"/>
    <n v="32"/>
    <x v="1"/>
    <n v="9"/>
    <n v="42136"/>
    <n v="5"/>
    <n v="38"/>
    <n v="3"/>
    <n v="95"/>
    <x v="3"/>
    <x v="0"/>
  </r>
  <r>
    <x v="303"/>
    <x v="16"/>
    <x v="2"/>
    <n v="33"/>
    <x v="1"/>
    <n v="11"/>
    <n v="42144"/>
    <n v="6"/>
    <n v="41"/>
    <n v="5"/>
    <n v="94"/>
    <x v="3"/>
    <x v="0"/>
  </r>
  <r>
    <x v="304"/>
    <x v="0"/>
    <x v="0"/>
    <n v="40"/>
    <x v="1"/>
    <n v="4"/>
    <n v="34140"/>
    <n v="9"/>
    <n v="47"/>
    <n v="4"/>
    <n v="92"/>
    <x v="5"/>
    <x v="0"/>
  </r>
  <r>
    <x v="305"/>
    <x v="1"/>
    <x v="2"/>
    <n v="33"/>
    <x v="0"/>
    <n v="11"/>
    <n v="42168"/>
    <n v="5"/>
    <n v="50"/>
    <n v="1"/>
    <n v="97"/>
    <x v="5"/>
    <x v="0"/>
  </r>
  <r>
    <x v="306"/>
    <x v="0"/>
    <x v="3"/>
    <n v="26"/>
    <x v="1"/>
    <n v="4"/>
    <n v="65485"/>
    <n v="13"/>
    <n v="44"/>
    <n v="5"/>
    <n v="93"/>
    <x v="3"/>
    <x v="0"/>
  </r>
  <r>
    <x v="307"/>
    <x v="19"/>
    <x v="1"/>
    <n v="29"/>
    <x v="0"/>
    <n v="3"/>
    <n v="52732"/>
    <n v="5"/>
    <n v="43"/>
    <n v="4"/>
    <n v="91"/>
    <x v="5"/>
    <x v="0"/>
  </r>
  <r>
    <x v="308"/>
    <x v="7"/>
    <x v="0"/>
    <n v="27"/>
    <x v="1"/>
    <n v="13"/>
    <n v="42168"/>
    <n v="5"/>
    <n v="44"/>
    <n v="3"/>
    <n v="99"/>
    <x v="2"/>
    <x v="0"/>
  </r>
  <r>
    <x v="309"/>
    <x v="6"/>
    <x v="2"/>
    <n v="35"/>
    <x v="1"/>
    <n v="3"/>
    <n v="77950"/>
    <n v="10"/>
    <n v="46"/>
    <n v="4"/>
    <n v="92"/>
    <x v="2"/>
    <x v="0"/>
  </r>
  <r>
    <x v="310"/>
    <x v="1"/>
    <x v="3"/>
    <n v="33"/>
    <x v="1"/>
    <n v="9"/>
    <n v="42180"/>
    <n v="13"/>
    <n v="35"/>
    <n v="4"/>
    <n v="90"/>
    <x v="2"/>
    <x v="0"/>
  </r>
  <r>
    <x v="311"/>
    <x v="13"/>
    <x v="2"/>
    <n v="37"/>
    <x v="1"/>
    <n v="4"/>
    <n v="79602"/>
    <n v="10"/>
    <n v="47"/>
    <n v="1"/>
    <n v="85"/>
    <x v="1"/>
    <x v="1"/>
  </r>
  <r>
    <x v="312"/>
    <x v="3"/>
    <x v="1"/>
    <n v="37"/>
    <x v="0"/>
    <n v="1"/>
    <n v="71074"/>
    <n v="11"/>
    <n v="50"/>
    <n v="4"/>
    <n v="97"/>
    <x v="4"/>
    <x v="0"/>
  </r>
  <r>
    <x v="313"/>
    <x v="3"/>
    <x v="1"/>
    <n v="36"/>
    <x v="0"/>
    <n v="13"/>
    <n v="42201"/>
    <n v="4"/>
    <n v="48"/>
    <n v="5"/>
    <n v="93"/>
    <x v="1"/>
    <x v="0"/>
  </r>
  <r>
    <x v="314"/>
    <x v="11"/>
    <x v="1"/>
    <n v="26"/>
    <x v="1"/>
    <n v="4"/>
    <n v="75412"/>
    <n v="6"/>
    <n v="42"/>
    <n v="2"/>
    <n v="92"/>
    <x v="3"/>
    <x v="0"/>
  </r>
  <r>
    <x v="315"/>
    <x v="3"/>
    <x v="3"/>
    <n v="26"/>
    <x v="0"/>
    <n v="3"/>
    <n v="38375"/>
    <n v="9"/>
    <n v="41"/>
    <n v="2"/>
    <n v="91"/>
    <x v="2"/>
    <x v="0"/>
  </r>
  <r>
    <x v="316"/>
    <x v="6"/>
    <x v="0"/>
    <n v="24"/>
    <x v="1"/>
    <n v="1"/>
    <n v="44230"/>
    <n v="10"/>
    <n v="35"/>
    <n v="3"/>
    <n v="96"/>
    <x v="3"/>
    <x v="0"/>
  </r>
  <r>
    <x v="317"/>
    <x v="5"/>
    <x v="0"/>
    <n v="36"/>
    <x v="0"/>
    <n v="15"/>
    <n v="42203"/>
    <n v="8"/>
    <n v="50"/>
    <n v="3"/>
    <n v="90"/>
    <x v="2"/>
    <x v="0"/>
  </r>
  <r>
    <x v="318"/>
    <x v="11"/>
    <x v="1"/>
    <n v="26"/>
    <x v="1"/>
    <n v="1"/>
    <n v="37330"/>
    <n v="5"/>
    <n v="35"/>
    <n v="2"/>
    <n v="93"/>
    <x v="2"/>
    <x v="0"/>
  </r>
  <r>
    <x v="319"/>
    <x v="9"/>
    <x v="3"/>
    <n v="25"/>
    <x v="1"/>
    <n v="9"/>
    <n v="42299"/>
    <n v="4"/>
    <n v="45"/>
    <n v="4"/>
    <n v="96"/>
    <x v="2"/>
    <x v="0"/>
  </r>
  <r>
    <x v="320"/>
    <x v="7"/>
    <x v="2"/>
    <n v="38"/>
    <x v="1"/>
    <n v="6"/>
    <n v="42305"/>
    <n v="5"/>
    <n v="42"/>
    <n v="1"/>
    <n v="96"/>
    <x v="4"/>
    <x v="0"/>
  </r>
  <r>
    <x v="321"/>
    <x v="13"/>
    <x v="0"/>
    <n v="27"/>
    <x v="1"/>
    <n v="13"/>
    <n v="42308"/>
    <n v="3"/>
    <n v="48"/>
    <n v="5"/>
    <n v="92"/>
    <x v="2"/>
    <x v="0"/>
  </r>
  <r>
    <x v="322"/>
    <x v="16"/>
    <x v="0"/>
    <n v="35"/>
    <x v="0"/>
    <n v="1"/>
    <n v="60357"/>
    <n v="14"/>
    <n v="39"/>
    <n v="5"/>
    <n v="100"/>
    <x v="1"/>
    <x v="0"/>
  </r>
  <r>
    <x v="323"/>
    <x v="12"/>
    <x v="1"/>
    <n v="29"/>
    <x v="0"/>
    <n v="13"/>
    <n v="42399"/>
    <n v="11"/>
    <n v="42"/>
    <n v="3"/>
    <n v="100"/>
    <x v="0"/>
    <x v="0"/>
  </r>
  <r>
    <x v="324"/>
    <x v="0"/>
    <x v="2"/>
    <n v="39"/>
    <x v="1"/>
    <n v="9"/>
    <n v="42560"/>
    <n v="3"/>
    <n v="44"/>
    <n v="5"/>
    <n v="94"/>
    <x v="2"/>
    <x v="0"/>
  </r>
  <r>
    <x v="325"/>
    <x v="0"/>
    <x v="3"/>
    <n v="32"/>
    <x v="1"/>
    <n v="4"/>
    <n v="65350"/>
    <n v="11"/>
    <n v="40"/>
    <n v="5"/>
    <n v="96"/>
    <x v="2"/>
    <x v="0"/>
  </r>
  <r>
    <x v="326"/>
    <x v="12"/>
    <x v="0"/>
    <n v="28"/>
    <x v="1"/>
    <n v="6"/>
    <n v="42669"/>
    <n v="8"/>
    <n v="48"/>
    <n v="4"/>
    <n v="88"/>
    <x v="4"/>
    <x v="1"/>
  </r>
  <r>
    <x v="327"/>
    <x v="18"/>
    <x v="0"/>
    <n v="33"/>
    <x v="0"/>
    <n v="7"/>
    <n v="42725"/>
    <n v="3"/>
    <n v="48"/>
    <n v="3"/>
    <n v="85"/>
    <x v="0"/>
    <x v="1"/>
  </r>
  <r>
    <x v="328"/>
    <x v="4"/>
    <x v="3"/>
    <n v="23"/>
    <x v="0"/>
    <n v="13"/>
    <n v="42728"/>
    <n v="13"/>
    <n v="36"/>
    <n v="2"/>
    <n v="96"/>
    <x v="5"/>
    <x v="0"/>
  </r>
  <r>
    <x v="329"/>
    <x v="8"/>
    <x v="0"/>
    <n v="36"/>
    <x v="0"/>
    <n v="15"/>
    <n v="42741"/>
    <n v="11"/>
    <n v="40"/>
    <n v="2"/>
    <n v="96"/>
    <x v="4"/>
    <x v="0"/>
  </r>
  <r>
    <x v="330"/>
    <x v="2"/>
    <x v="0"/>
    <n v="30"/>
    <x v="1"/>
    <n v="1"/>
    <n v="63521"/>
    <n v="15"/>
    <n v="39"/>
    <n v="4"/>
    <n v="91"/>
    <x v="2"/>
    <x v="0"/>
  </r>
  <r>
    <x v="331"/>
    <x v="7"/>
    <x v="3"/>
    <n v="36"/>
    <x v="1"/>
    <n v="4"/>
    <n v="78873"/>
    <n v="13"/>
    <n v="35"/>
    <n v="4"/>
    <n v="99"/>
    <x v="1"/>
    <x v="0"/>
  </r>
  <r>
    <x v="332"/>
    <x v="16"/>
    <x v="1"/>
    <n v="30"/>
    <x v="0"/>
    <n v="1"/>
    <n v="66651"/>
    <n v="14"/>
    <n v="35"/>
    <n v="2"/>
    <n v="89"/>
    <x v="1"/>
    <x v="1"/>
  </r>
  <r>
    <x v="333"/>
    <x v="13"/>
    <x v="3"/>
    <n v="22"/>
    <x v="1"/>
    <n v="1"/>
    <n v="33510"/>
    <n v="12"/>
    <n v="43"/>
    <n v="2"/>
    <n v="88"/>
    <x v="3"/>
    <x v="1"/>
  </r>
  <r>
    <x v="334"/>
    <x v="15"/>
    <x v="2"/>
    <n v="22"/>
    <x v="0"/>
    <n v="10"/>
    <n v="42757"/>
    <n v="9"/>
    <n v="36"/>
    <n v="3"/>
    <n v="86"/>
    <x v="1"/>
    <x v="1"/>
  </r>
  <r>
    <x v="335"/>
    <x v="6"/>
    <x v="3"/>
    <n v="26"/>
    <x v="1"/>
    <n v="1"/>
    <n v="34503"/>
    <n v="3"/>
    <n v="48"/>
    <n v="2"/>
    <n v="94"/>
    <x v="1"/>
    <x v="0"/>
  </r>
  <r>
    <x v="336"/>
    <x v="3"/>
    <x v="0"/>
    <n v="34"/>
    <x v="1"/>
    <n v="5"/>
    <n v="42880"/>
    <n v="8"/>
    <n v="43"/>
    <n v="4"/>
    <n v="92"/>
    <x v="1"/>
    <x v="0"/>
  </r>
  <r>
    <x v="337"/>
    <x v="7"/>
    <x v="0"/>
    <n v="28"/>
    <x v="1"/>
    <n v="11"/>
    <n v="42968"/>
    <n v="9"/>
    <n v="43"/>
    <n v="3"/>
    <n v="88"/>
    <x v="1"/>
    <x v="1"/>
  </r>
  <r>
    <x v="338"/>
    <x v="3"/>
    <x v="0"/>
    <n v="27"/>
    <x v="0"/>
    <n v="8"/>
    <n v="43018"/>
    <n v="6"/>
    <n v="45"/>
    <n v="3"/>
    <n v="95"/>
    <x v="4"/>
    <x v="0"/>
  </r>
  <r>
    <x v="339"/>
    <x v="13"/>
    <x v="0"/>
    <n v="22"/>
    <x v="1"/>
    <n v="1"/>
    <n v="70765"/>
    <n v="11"/>
    <n v="39"/>
    <n v="5"/>
    <n v="92"/>
    <x v="3"/>
    <x v="0"/>
  </r>
  <r>
    <x v="340"/>
    <x v="9"/>
    <x v="2"/>
    <n v="34"/>
    <x v="0"/>
    <n v="6"/>
    <n v="43060"/>
    <n v="7"/>
    <n v="45"/>
    <n v="4"/>
    <n v="98"/>
    <x v="0"/>
    <x v="0"/>
  </r>
  <r>
    <x v="341"/>
    <x v="0"/>
    <x v="0"/>
    <n v="28"/>
    <x v="0"/>
    <n v="13"/>
    <n v="43105"/>
    <n v="15"/>
    <n v="38"/>
    <n v="3"/>
    <n v="100"/>
    <x v="4"/>
    <x v="0"/>
  </r>
  <r>
    <x v="342"/>
    <x v="6"/>
    <x v="2"/>
    <n v="33"/>
    <x v="0"/>
    <n v="6"/>
    <n v="43122"/>
    <n v="3"/>
    <n v="44"/>
    <n v="3"/>
    <n v="93"/>
    <x v="0"/>
    <x v="0"/>
  </r>
  <r>
    <x v="343"/>
    <x v="15"/>
    <x v="0"/>
    <n v="37"/>
    <x v="0"/>
    <n v="11"/>
    <n v="43197"/>
    <n v="14"/>
    <n v="39"/>
    <n v="2"/>
    <n v="91"/>
    <x v="3"/>
    <x v="0"/>
  </r>
  <r>
    <x v="344"/>
    <x v="10"/>
    <x v="2"/>
    <n v="31"/>
    <x v="1"/>
    <n v="15"/>
    <n v="43208"/>
    <n v="12"/>
    <n v="45"/>
    <n v="5"/>
    <n v="99"/>
    <x v="1"/>
    <x v="0"/>
  </r>
  <r>
    <x v="345"/>
    <x v="14"/>
    <x v="3"/>
    <n v="24"/>
    <x v="0"/>
    <n v="7"/>
    <n v="43227"/>
    <n v="11"/>
    <n v="48"/>
    <n v="5"/>
    <n v="91"/>
    <x v="3"/>
    <x v="0"/>
  </r>
  <r>
    <x v="346"/>
    <x v="17"/>
    <x v="1"/>
    <n v="31"/>
    <x v="0"/>
    <n v="9"/>
    <n v="43237"/>
    <n v="3"/>
    <n v="37"/>
    <n v="3"/>
    <n v="88"/>
    <x v="1"/>
    <x v="1"/>
  </r>
  <r>
    <x v="347"/>
    <x v="15"/>
    <x v="2"/>
    <n v="28"/>
    <x v="1"/>
    <n v="9"/>
    <n v="43242"/>
    <n v="6"/>
    <n v="35"/>
    <n v="3"/>
    <n v="93"/>
    <x v="0"/>
    <x v="0"/>
  </r>
  <r>
    <x v="348"/>
    <x v="2"/>
    <x v="0"/>
    <n v="34"/>
    <x v="1"/>
    <n v="3"/>
    <n v="48030"/>
    <n v="13"/>
    <n v="44"/>
    <n v="2"/>
    <n v="89"/>
    <x v="0"/>
    <x v="1"/>
  </r>
  <r>
    <x v="349"/>
    <x v="1"/>
    <x v="1"/>
    <n v="28"/>
    <x v="0"/>
    <n v="11"/>
    <n v="43243"/>
    <n v="8"/>
    <n v="36"/>
    <n v="3"/>
    <n v="91"/>
    <x v="1"/>
    <x v="0"/>
  </r>
  <r>
    <x v="350"/>
    <x v="11"/>
    <x v="1"/>
    <n v="30"/>
    <x v="1"/>
    <n v="13"/>
    <n v="43285"/>
    <n v="15"/>
    <n v="37"/>
    <n v="3"/>
    <n v="91"/>
    <x v="2"/>
    <x v="0"/>
  </r>
  <r>
    <x v="351"/>
    <x v="2"/>
    <x v="3"/>
    <n v="38"/>
    <x v="1"/>
    <n v="9"/>
    <n v="43320"/>
    <n v="10"/>
    <n v="39"/>
    <n v="3"/>
    <n v="99"/>
    <x v="4"/>
    <x v="0"/>
  </r>
  <r>
    <x v="352"/>
    <x v="11"/>
    <x v="1"/>
    <n v="35"/>
    <x v="1"/>
    <n v="13"/>
    <n v="43333"/>
    <n v="9"/>
    <n v="36"/>
    <n v="5"/>
    <n v="90"/>
    <x v="1"/>
    <x v="0"/>
  </r>
  <r>
    <x v="353"/>
    <x v="15"/>
    <x v="0"/>
    <n v="37"/>
    <x v="0"/>
    <n v="3"/>
    <n v="51542"/>
    <n v="8"/>
    <n v="36"/>
    <n v="3"/>
    <n v="90"/>
    <x v="5"/>
    <x v="0"/>
  </r>
  <r>
    <x v="354"/>
    <x v="2"/>
    <x v="0"/>
    <n v="34"/>
    <x v="1"/>
    <n v="15"/>
    <n v="43500"/>
    <n v="8"/>
    <n v="49"/>
    <n v="1"/>
    <n v="87"/>
    <x v="5"/>
    <x v="1"/>
  </r>
  <r>
    <x v="355"/>
    <x v="18"/>
    <x v="3"/>
    <n v="22"/>
    <x v="1"/>
    <n v="12"/>
    <n v="43521"/>
    <n v="6"/>
    <n v="38"/>
    <n v="3"/>
    <n v="89"/>
    <x v="0"/>
    <x v="1"/>
  </r>
  <r>
    <x v="356"/>
    <x v="17"/>
    <x v="1"/>
    <n v="39"/>
    <x v="0"/>
    <n v="1"/>
    <n v="34985"/>
    <n v="7"/>
    <n v="42"/>
    <n v="1"/>
    <n v="94"/>
    <x v="3"/>
    <x v="0"/>
  </r>
  <r>
    <x v="357"/>
    <x v="12"/>
    <x v="1"/>
    <n v="28"/>
    <x v="1"/>
    <n v="5"/>
    <n v="43536"/>
    <n v="11"/>
    <n v="40"/>
    <n v="1"/>
    <n v="90"/>
    <x v="0"/>
    <x v="0"/>
  </r>
  <r>
    <x v="358"/>
    <x v="5"/>
    <x v="1"/>
    <n v="30"/>
    <x v="1"/>
    <n v="3"/>
    <n v="58120"/>
    <n v="14"/>
    <n v="49"/>
    <n v="1"/>
    <n v="92"/>
    <x v="2"/>
    <x v="0"/>
  </r>
  <r>
    <x v="359"/>
    <x v="9"/>
    <x v="2"/>
    <n v="22"/>
    <x v="1"/>
    <n v="3"/>
    <n v="70112"/>
    <n v="15"/>
    <n v="42"/>
    <n v="1"/>
    <n v="98"/>
    <x v="3"/>
    <x v="0"/>
  </r>
  <r>
    <x v="360"/>
    <x v="8"/>
    <x v="0"/>
    <n v="30"/>
    <x v="1"/>
    <n v="8"/>
    <n v="43605"/>
    <n v="8"/>
    <n v="46"/>
    <n v="3"/>
    <n v="99"/>
    <x v="4"/>
    <x v="0"/>
  </r>
  <r>
    <x v="361"/>
    <x v="16"/>
    <x v="1"/>
    <n v="37"/>
    <x v="0"/>
    <n v="2"/>
    <n v="33005"/>
    <n v="7"/>
    <n v="50"/>
    <n v="3"/>
    <n v="100"/>
    <x v="1"/>
    <x v="0"/>
  </r>
  <r>
    <x v="362"/>
    <x v="12"/>
    <x v="3"/>
    <n v="35"/>
    <x v="0"/>
    <n v="6"/>
    <n v="43715"/>
    <n v="14"/>
    <n v="49"/>
    <n v="1"/>
    <n v="92"/>
    <x v="3"/>
    <x v="0"/>
  </r>
  <r>
    <x v="363"/>
    <x v="10"/>
    <x v="3"/>
    <n v="38"/>
    <x v="1"/>
    <n v="11"/>
    <n v="43819"/>
    <n v="8"/>
    <n v="42"/>
    <n v="1"/>
    <n v="88"/>
    <x v="2"/>
    <x v="1"/>
  </r>
  <r>
    <x v="364"/>
    <x v="18"/>
    <x v="3"/>
    <n v="27"/>
    <x v="0"/>
    <n v="2"/>
    <n v="43594"/>
    <n v="8"/>
    <n v="44"/>
    <n v="5"/>
    <n v="97"/>
    <x v="0"/>
    <x v="0"/>
  </r>
  <r>
    <x v="365"/>
    <x v="10"/>
    <x v="3"/>
    <n v="31"/>
    <x v="1"/>
    <n v="10"/>
    <n v="43860"/>
    <n v="5"/>
    <n v="42"/>
    <n v="5"/>
    <n v="86"/>
    <x v="0"/>
    <x v="1"/>
  </r>
  <r>
    <x v="366"/>
    <x v="1"/>
    <x v="1"/>
    <n v="34"/>
    <x v="1"/>
    <n v="15"/>
    <n v="43880"/>
    <n v="3"/>
    <n v="43"/>
    <n v="4"/>
    <n v="97"/>
    <x v="3"/>
    <x v="0"/>
  </r>
  <r>
    <x v="367"/>
    <x v="12"/>
    <x v="1"/>
    <n v="31"/>
    <x v="0"/>
    <n v="15"/>
    <n v="43892"/>
    <n v="12"/>
    <n v="48"/>
    <n v="1"/>
    <n v="98"/>
    <x v="0"/>
    <x v="0"/>
  </r>
  <r>
    <x v="368"/>
    <x v="11"/>
    <x v="1"/>
    <n v="30"/>
    <x v="0"/>
    <n v="2"/>
    <n v="65525"/>
    <n v="5"/>
    <n v="46"/>
    <n v="1"/>
    <n v="92"/>
    <x v="4"/>
    <x v="0"/>
  </r>
  <r>
    <x v="369"/>
    <x v="12"/>
    <x v="3"/>
    <n v="38"/>
    <x v="0"/>
    <n v="4"/>
    <n v="37773"/>
    <n v="10"/>
    <n v="43"/>
    <n v="1"/>
    <n v="92"/>
    <x v="2"/>
    <x v="0"/>
  </r>
  <r>
    <x v="370"/>
    <x v="15"/>
    <x v="2"/>
    <n v="25"/>
    <x v="0"/>
    <n v="13"/>
    <n v="43901"/>
    <n v="7"/>
    <n v="35"/>
    <n v="5"/>
    <n v="86"/>
    <x v="4"/>
    <x v="1"/>
  </r>
  <r>
    <x v="371"/>
    <x v="18"/>
    <x v="3"/>
    <n v="38"/>
    <x v="1"/>
    <n v="8"/>
    <n v="43905"/>
    <n v="12"/>
    <n v="50"/>
    <n v="3"/>
    <n v="99"/>
    <x v="5"/>
    <x v="0"/>
  </r>
  <r>
    <x v="372"/>
    <x v="18"/>
    <x v="2"/>
    <n v="34"/>
    <x v="0"/>
    <n v="6"/>
    <n v="43906"/>
    <n v="13"/>
    <n v="41"/>
    <n v="4"/>
    <n v="88"/>
    <x v="1"/>
    <x v="1"/>
  </r>
  <r>
    <x v="373"/>
    <x v="14"/>
    <x v="0"/>
    <n v="27"/>
    <x v="1"/>
    <n v="13"/>
    <n v="43918"/>
    <n v="12"/>
    <n v="35"/>
    <n v="1"/>
    <n v="88"/>
    <x v="5"/>
    <x v="1"/>
  </r>
  <r>
    <x v="374"/>
    <x v="6"/>
    <x v="3"/>
    <n v="31"/>
    <x v="0"/>
    <n v="8"/>
    <n v="44255"/>
    <n v="7"/>
    <n v="40"/>
    <n v="2"/>
    <n v="91"/>
    <x v="5"/>
    <x v="0"/>
  </r>
  <r>
    <x v="375"/>
    <x v="6"/>
    <x v="2"/>
    <n v="29"/>
    <x v="1"/>
    <n v="6"/>
    <n v="44595"/>
    <n v="15"/>
    <n v="48"/>
    <n v="1"/>
    <n v="94"/>
    <x v="2"/>
    <x v="0"/>
  </r>
  <r>
    <x v="376"/>
    <x v="19"/>
    <x v="0"/>
    <n v="36"/>
    <x v="0"/>
    <n v="14"/>
    <n v="44631"/>
    <n v="8"/>
    <n v="35"/>
    <n v="2"/>
    <n v="87"/>
    <x v="3"/>
    <x v="1"/>
  </r>
  <r>
    <x v="377"/>
    <x v="5"/>
    <x v="1"/>
    <n v="33"/>
    <x v="1"/>
    <n v="6"/>
    <n v="44763"/>
    <n v="15"/>
    <n v="37"/>
    <n v="5"/>
    <n v="97"/>
    <x v="1"/>
    <x v="0"/>
  </r>
  <r>
    <x v="378"/>
    <x v="8"/>
    <x v="2"/>
    <n v="37"/>
    <x v="0"/>
    <n v="2"/>
    <n v="69879"/>
    <n v="4"/>
    <n v="36"/>
    <n v="1"/>
    <n v="96"/>
    <x v="4"/>
    <x v="0"/>
  </r>
  <r>
    <x v="379"/>
    <x v="16"/>
    <x v="3"/>
    <n v="37"/>
    <x v="1"/>
    <n v="3"/>
    <n v="39087"/>
    <n v="10"/>
    <n v="44"/>
    <n v="5"/>
    <n v="89"/>
    <x v="1"/>
    <x v="1"/>
  </r>
  <r>
    <x v="380"/>
    <x v="3"/>
    <x v="1"/>
    <n v="29"/>
    <x v="0"/>
    <n v="10"/>
    <n v="44774"/>
    <n v="10"/>
    <n v="43"/>
    <n v="1"/>
    <n v="86"/>
    <x v="1"/>
    <x v="1"/>
  </r>
  <r>
    <x v="381"/>
    <x v="15"/>
    <x v="0"/>
    <n v="24"/>
    <x v="0"/>
    <n v="14"/>
    <n v="44890"/>
    <n v="8"/>
    <n v="47"/>
    <n v="3"/>
    <n v="93"/>
    <x v="4"/>
    <x v="0"/>
  </r>
  <r>
    <x v="382"/>
    <x v="7"/>
    <x v="0"/>
    <n v="33"/>
    <x v="0"/>
    <n v="9"/>
    <n v="44916"/>
    <n v="6"/>
    <n v="39"/>
    <n v="5"/>
    <n v="94"/>
    <x v="0"/>
    <x v="0"/>
  </r>
  <r>
    <x v="383"/>
    <x v="12"/>
    <x v="0"/>
    <n v="35"/>
    <x v="0"/>
    <n v="7"/>
    <n v="45134"/>
    <n v="10"/>
    <n v="42"/>
    <n v="4"/>
    <n v="86"/>
    <x v="0"/>
    <x v="1"/>
  </r>
  <r>
    <x v="384"/>
    <x v="0"/>
    <x v="1"/>
    <n v="26"/>
    <x v="1"/>
    <n v="8"/>
    <n v="45247"/>
    <n v="15"/>
    <n v="35"/>
    <n v="1"/>
    <n v="90"/>
    <x v="2"/>
    <x v="0"/>
  </r>
  <r>
    <x v="385"/>
    <x v="12"/>
    <x v="2"/>
    <n v="36"/>
    <x v="0"/>
    <n v="10"/>
    <n v="45329"/>
    <n v="10"/>
    <n v="45"/>
    <n v="5"/>
    <n v="88"/>
    <x v="2"/>
    <x v="1"/>
  </r>
  <r>
    <x v="386"/>
    <x v="8"/>
    <x v="2"/>
    <n v="26"/>
    <x v="1"/>
    <n v="10"/>
    <n v="45333"/>
    <n v="12"/>
    <n v="43"/>
    <n v="3"/>
    <n v="93"/>
    <x v="5"/>
    <x v="0"/>
  </r>
  <r>
    <x v="387"/>
    <x v="13"/>
    <x v="2"/>
    <n v="36"/>
    <x v="0"/>
    <n v="14"/>
    <n v="45459"/>
    <n v="11"/>
    <n v="41"/>
    <n v="5"/>
    <n v="98"/>
    <x v="4"/>
    <x v="0"/>
  </r>
  <r>
    <x v="388"/>
    <x v="7"/>
    <x v="2"/>
    <n v="27"/>
    <x v="0"/>
    <n v="5"/>
    <n v="45508"/>
    <n v="9"/>
    <n v="41"/>
    <n v="1"/>
    <n v="91"/>
    <x v="2"/>
    <x v="0"/>
  </r>
  <r>
    <x v="389"/>
    <x v="6"/>
    <x v="2"/>
    <n v="27"/>
    <x v="1"/>
    <n v="9"/>
    <n v="45524"/>
    <n v="9"/>
    <n v="36"/>
    <n v="2"/>
    <n v="89"/>
    <x v="0"/>
    <x v="1"/>
  </r>
  <r>
    <x v="390"/>
    <x v="11"/>
    <x v="2"/>
    <n v="39"/>
    <x v="0"/>
    <n v="2"/>
    <n v="72928"/>
    <n v="9"/>
    <n v="44"/>
    <n v="5"/>
    <n v="99"/>
    <x v="3"/>
    <x v="0"/>
  </r>
  <r>
    <x v="391"/>
    <x v="3"/>
    <x v="2"/>
    <n v="39"/>
    <x v="0"/>
    <n v="2"/>
    <n v="66607"/>
    <n v="11"/>
    <n v="48"/>
    <n v="1"/>
    <n v="96"/>
    <x v="5"/>
    <x v="0"/>
  </r>
  <r>
    <x v="392"/>
    <x v="2"/>
    <x v="0"/>
    <n v="28"/>
    <x v="1"/>
    <n v="8"/>
    <n v="45589"/>
    <n v="8"/>
    <n v="43"/>
    <n v="4"/>
    <n v="94"/>
    <x v="2"/>
    <x v="0"/>
  </r>
  <r>
    <x v="393"/>
    <x v="4"/>
    <x v="3"/>
    <n v="26"/>
    <x v="0"/>
    <n v="4"/>
    <n v="76658"/>
    <n v="8"/>
    <n v="47"/>
    <n v="4"/>
    <n v="93"/>
    <x v="2"/>
    <x v="0"/>
  </r>
  <r>
    <x v="394"/>
    <x v="14"/>
    <x v="3"/>
    <n v="22"/>
    <x v="0"/>
    <n v="2"/>
    <n v="31673"/>
    <n v="8"/>
    <n v="35"/>
    <n v="3"/>
    <n v="94"/>
    <x v="0"/>
    <x v="0"/>
  </r>
  <r>
    <x v="395"/>
    <x v="17"/>
    <x v="2"/>
    <n v="27"/>
    <x v="1"/>
    <n v="5"/>
    <n v="45604"/>
    <n v="13"/>
    <n v="43"/>
    <n v="3"/>
    <n v="97"/>
    <x v="3"/>
    <x v="0"/>
  </r>
  <r>
    <x v="396"/>
    <x v="11"/>
    <x v="1"/>
    <n v="32"/>
    <x v="0"/>
    <n v="7"/>
    <n v="45630"/>
    <n v="13"/>
    <n v="49"/>
    <n v="5"/>
    <n v="90"/>
    <x v="4"/>
    <x v="0"/>
  </r>
  <r>
    <x v="397"/>
    <x v="10"/>
    <x v="1"/>
    <n v="38"/>
    <x v="0"/>
    <n v="14"/>
    <n v="45664"/>
    <n v="3"/>
    <n v="40"/>
    <n v="1"/>
    <n v="95"/>
    <x v="3"/>
    <x v="0"/>
  </r>
  <r>
    <x v="398"/>
    <x v="9"/>
    <x v="0"/>
    <n v="22"/>
    <x v="0"/>
    <n v="6"/>
    <n v="45809"/>
    <n v="15"/>
    <n v="41"/>
    <n v="5"/>
    <n v="87"/>
    <x v="2"/>
    <x v="1"/>
  </r>
  <r>
    <x v="399"/>
    <x v="19"/>
    <x v="0"/>
    <n v="31"/>
    <x v="1"/>
    <n v="2"/>
    <n v="78092"/>
    <n v="15"/>
    <n v="48"/>
    <n v="2"/>
    <n v="86"/>
    <x v="1"/>
    <x v="1"/>
  </r>
  <r>
    <x v="400"/>
    <x v="3"/>
    <x v="3"/>
    <n v="27"/>
    <x v="0"/>
    <n v="9"/>
    <n v="45828"/>
    <n v="9"/>
    <n v="47"/>
    <n v="4"/>
    <n v="89"/>
    <x v="0"/>
    <x v="1"/>
  </r>
  <r>
    <x v="401"/>
    <x v="8"/>
    <x v="0"/>
    <n v="23"/>
    <x v="0"/>
    <n v="8"/>
    <n v="45845"/>
    <n v="3"/>
    <n v="40"/>
    <n v="1"/>
    <n v="85"/>
    <x v="5"/>
    <x v="1"/>
  </r>
  <r>
    <x v="402"/>
    <x v="6"/>
    <x v="3"/>
    <n v="25"/>
    <x v="0"/>
    <n v="1"/>
    <n v="62920"/>
    <n v="3"/>
    <n v="49"/>
    <n v="4"/>
    <n v="85"/>
    <x v="5"/>
    <x v="1"/>
  </r>
  <r>
    <x v="403"/>
    <x v="18"/>
    <x v="2"/>
    <n v="32"/>
    <x v="1"/>
    <n v="2"/>
    <n v="45317"/>
    <n v="6"/>
    <n v="37"/>
    <n v="1"/>
    <n v="96"/>
    <x v="5"/>
    <x v="0"/>
  </r>
  <r>
    <x v="404"/>
    <x v="14"/>
    <x v="3"/>
    <n v="26"/>
    <x v="0"/>
    <n v="6"/>
    <n v="46183"/>
    <n v="9"/>
    <n v="35"/>
    <n v="3"/>
    <n v="85"/>
    <x v="0"/>
    <x v="1"/>
  </r>
  <r>
    <x v="405"/>
    <x v="6"/>
    <x v="0"/>
    <n v="38"/>
    <x v="1"/>
    <n v="14"/>
    <n v="46340"/>
    <n v="13"/>
    <n v="48"/>
    <n v="2"/>
    <n v="95"/>
    <x v="5"/>
    <x v="0"/>
  </r>
  <r>
    <x v="406"/>
    <x v="5"/>
    <x v="3"/>
    <n v="24"/>
    <x v="1"/>
    <n v="14"/>
    <n v="46480"/>
    <n v="12"/>
    <n v="43"/>
    <n v="1"/>
    <n v="88"/>
    <x v="1"/>
    <x v="1"/>
  </r>
  <r>
    <x v="407"/>
    <x v="14"/>
    <x v="2"/>
    <n v="31"/>
    <x v="1"/>
    <n v="9"/>
    <n v="46518"/>
    <n v="4"/>
    <n v="47"/>
    <n v="3"/>
    <n v="88"/>
    <x v="1"/>
    <x v="1"/>
  </r>
  <r>
    <x v="408"/>
    <x v="11"/>
    <x v="1"/>
    <n v="23"/>
    <x v="0"/>
    <n v="5"/>
    <n v="46526"/>
    <n v="4"/>
    <n v="43"/>
    <n v="1"/>
    <n v="98"/>
    <x v="2"/>
    <x v="0"/>
  </r>
  <r>
    <x v="409"/>
    <x v="3"/>
    <x v="3"/>
    <n v="23"/>
    <x v="1"/>
    <n v="3"/>
    <n v="30226"/>
    <n v="4"/>
    <n v="47"/>
    <n v="2"/>
    <n v="96"/>
    <x v="2"/>
    <x v="0"/>
  </r>
  <r>
    <x v="410"/>
    <x v="2"/>
    <x v="3"/>
    <n v="24"/>
    <x v="0"/>
    <n v="13"/>
    <n v="46527"/>
    <n v="3"/>
    <n v="38"/>
    <n v="1"/>
    <n v="91"/>
    <x v="4"/>
    <x v="0"/>
  </r>
  <r>
    <x v="411"/>
    <x v="15"/>
    <x v="3"/>
    <n v="24"/>
    <x v="0"/>
    <n v="11"/>
    <n v="46582"/>
    <n v="15"/>
    <n v="43"/>
    <n v="3"/>
    <n v="89"/>
    <x v="4"/>
    <x v="1"/>
  </r>
  <r>
    <x v="412"/>
    <x v="11"/>
    <x v="1"/>
    <n v="34"/>
    <x v="1"/>
    <n v="15"/>
    <n v="46601"/>
    <n v="13"/>
    <n v="37"/>
    <n v="2"/>
    <n v="96"/>
    <x v="4"/>
    <x v="0"/>
  </r>
  <r>
    <x v="413"/>
    <x v="16"/>
    <x v="1"/>
    <n v="38"/>
    <x v="1"/>
    <n v="1"/>
    <n v="69349"/>
    <n v="10"/>
    <n v="38"/>
    <n v="2"/>
    <n v="91"/>
    <x v="0"/>
    <x v="0"/>
  </r>
  <r>
    <x v="414"/>
    <x v="4"/>
    <x v="0"/>
    <n v="38"/>
    <x v="0"/>
    <n v="6"/>
    <n v="46749"/>
    <n v="7"/>
    <n v="49"/>
    <n v="1"/>
    <n v="94"/>
    <x v="4"/>
    <x v="0"/>
  </r>
  <r>
    <x v="415"/>
    <x v="1"/>
    <x v="1"/>
    <n v="38"/>
    <x v="0"/>
    <n v="15"/>
    <n v="46842"/>
    <n v="13"/>
    <n v="50"/>
    <n v="1"/>
    <n v="90"/>
    <x v="2"/>
    <x v="0"/>
  </r>
  <r>
    <x v="416"/>
    <x v="18"/>
    <x v="1"/>
    <n v="22"/>
    <x v="1"/>
    <n v="11"/>
    <n v="46954"/>
    <n v="15"/>
    <n v="37"/>
    <n v="3"/>
    <n v="91"/>
    <x v="4"/>
    <x v="0"/>
  </r>
  <r>
    <x v="417"/>
    <x v="15"/>
    <x v="0"/>
    <n v="40"/>
    <x v="1"/>
    <n v="4"/>
    <n v="64630"/>
    <n v="4"/>
    <n v="48"/>
    <n v="1"/>
    <n v="97"/>
    <x v="1"/>
    <x v="0"/>
  </r>
  <r>
    <x v="418"/>
    <x v="5"/>
    <x v="0"/>
    <n v="38"/>
    <x v="0"/>
    <n v="13"/>
    <n v="47053"/>
    <n v="7"/>
    <n v="49"/>
    <n v="1"/>
    <n v="96"/>
    <x v="1"/>
    <x v="0"/>
  </r>
  <r>
    <x v="419"/>
    <x v="10"/>
    <x v="3"/>
    <n v="22"/>
    <x v="0"/>
    <n v="15"/>
    <n v="47217"/>
    <n v="5"/>
    <n v="39"/>
    <n v="3"/>
    <n v="96"/>
    <x v="2"/>
    <x v="0"/>
  </r>
  <r>
    <x v="420"/>
    <x v="3"/>
    <x v="1"/>
    <n v="24"/>
    <x v="1"/>
    <n v="4"/>
    <n v="26664"/>
    <n v="14"/>
    <n v="40"/>
    <n v="2"/>
    <n v="86"/>
    <x v="5"/>
    <x v="1"/>
  </r>
  <r>
    <x v="421"/>
    <x v="10"/>
    <x v="3"/>
    <n v="29"/>
    <x v="0"/>
    <n v="15"/>
    <n v="47228"/>
    <n v="13"/>
    <n v="49"/>
    <n v="4"/>
    <n v="90"/>
    <x v="3"/>
    <x v="0"/>
  </r>
  <r>
    <x v="422"/>
    <x v="5"/>
    <x v="0"/>
    <n v="29"/>
    <x v="1"/>
    <n v="3"/>
    <n v="57668"/>
    <n v="4"/>
    <n v="48"/>
    <n v="4"/>
    <n v="100"/>
    <x v="5"/>
    <x v="0"/>
  </r>
  <r>
    <x v="423"/>
    <x v="0"/>
    <x v="0"/>
    <n v="32"/>
    <x v="0"/>
    <n v="11"/>
    <n v="47356"/>
    <n v="10"/>
    <n v="41"/>
    <n v="5"/>
    <n v="95"/>
    <x v="5"/>
    <x v="0"/>
  </r>
  <r>
    <x v="424"/>
    <x v="3"/>
    <x v="2"/>
    <n v="34"/>
    <x v="0"/>
    <n v="9"/>
    <n v="47386"/>
    <n v="3"/>
    <n v="37"/>
    <n v="4"/>
    <n v="86"/>
    <x v="3"/>
    <x v="1"/>
  </r>
  <r>
    <x v="425"/>
    <x v="10"/>
    <x v="0"/>
    <n v="27"/>
    <x v="0"/>
    <n v="10"/>
    <n v="47507"/>
    <n v="14"/>
    <n v="48"/>
    <n v="5"/>
    <n v="93"/>
    <x v="4"/>
    <x v="0"/>
  </r>
  <r>
    <x v="426"/>
    <x v="15"/>
    <x v="3"/>
    <n v="25"/>
    <x v="0"/>
    <n v="11"/>
    <n v="47563"/>
    <n v="4"/>
    <n v="41"/>
    <n v="2"/>
    <n v="94"/>
    <x v="5"/>
    <x v="0"/>
  </r>
  <r>
    <x v="427"/>
    <x v="5"/>
    <x v="1"/>
    <n v="30"/>
    <x v="1"/>
    <n v="9"/>
    <n v="47723"/>
    <n v="3"/>
    <n v="46"/>
    <n v="2"/>
    <n v="86"/>
    <x v="2"/>
    <x v="1"/>
  </r>
  <r>
    <x v="428"/>
    <x v="8"/>
    <x v="0"/>
    <n v="36"/>
    <x v="0"/>
    <n v="4"/>
    <n v="71194"/>
    <n v="5"/>
    <n v="50"/>
    <n v="3"/>
    <n v="92"/>
    <x v="5"/>
    <x v="0"/>
  </r>
  <r>
    <x v="429"/>
    <x v="15"/>
    <x v="0"/>
    <n v="38"/>
    <x v="1"/>
    <n v="3"/>
    <n v="54123"/>
    <n v="6"/>
    <n v="50"/>
    <n v="4"/>
    <n v="97"/>
    <x v="5"/>
    <x v="0"/>
  </r>
  <r>
    <x v="430"/>
    <x v="14"/>
    <x v="2"/>
    <n v="39"/>
    <x v="0"/>
    <n v="1"/>
    <n v="31389"/>
    <n v="12"/>
    <n v="50"/>
    <n v="4"/>
    <n v="99"/>
    <x v="0"/>
    <x v="0"/>
  </r>
  <r>
    <x v="431"/>
    <x v="9"/>
    <x v="3"/>
    <n v="31"/>
    <x v="0"/>
    <n v="8"/>
    <n v="47805"/>
    <n v="15"/>
    <n v="44"/>
    <n v="1"/>
    <n v="88"/>
    <x v="2"/>
    <x v="1"/>
  </r>
  <r>
    <x v="432"/>
    <x v="14"/>
    <x v="3"/>
    <n v="38"/>
    <x v="1"/>
    <n v="9"/>
    <n v="47827"/>
    <n v="3"/>
    <n v="48"/>
    <n v="1"/>
    <n v="95"/>
    <x v="4"/>
    <x v="0"/>
  </r>
  <r>
    <x v="433"/>
    <x v="7"/>
    <x v="3"/>
    <n v="24"/>
    <x v="0"/>
    <n v="14"/>
    <n v="48017"/>
    <n v="13"/>
    <n v="36"/>
    <n v="3"/>
    <n v="87"/>
    <x v="1"/>
    <x v="1"/>
  </r>
  <r>
    <x v="434"/>
    <x v="8"/>
    <x v="3"/>
    <n v="33"/>
    <x v="0"/>
    <n v="5"/>
    <n v="48089"/>
    <n v="10"/>
    <n v="37"/>
    <n v="4"/>
    <n v="90"/>
    <x v="5"/>
    <x v="0"/>
  </r>
  <r>
    <x v="435"/>
    <x v="8"/>
    <x v="2"/>
    <n v="38"/>
    <x v="0"/>
    <n v="2"/>
    <n v="52688"/>
    <n v="9"/>
    <n v="44"/>
    <n v="2"/>
    <n v="89"/>
    <x v="2"/>
    <x v="1"/>
  </r>
  <r>
    <x v="436"/>
    <x v="8"/>
    <x v="0"/>
    <n v="38"/>
    <x v="0"/>
    <n v="10"/>
    <n v="48173"/>
    <n v="8"/>
    <n v="35"/>
    <n v="4"/>
    <n v="91"/>
    <x v="4"/>
    <x v="0"/>
  </r>
  <r>
    <x v="437"/>
    <x v="13"/>
    <x v="0"/>
    <n v="24"/>
    <x v="1"/>
    <n v="11"/>
    <n v="48408"/>
    <n v="8"/>
    <n v="36"/>
    <n v="2"/>
    <n v="93"/>
    <x v="2"/>
    <x v="0"/>
  </r>
  <r>
    <x v="438"/>
    <x v="8"/>
    <x v="2"/>
    <n v="30"/>
    <x v="1"/>
    <n v="10"/>
    <n v="48503"/>
    <n v="13"/>
    <n v="35"/>
    <n v="4"/>
    <n v="92"/>
    <x v="2"/>
    <x v="0"/>
  </r>
  <r>
    <x v="439"/>
    <x v="16"/>
    <x v="1"/>
    <n v="31"/>
    <x v="0"/>
    <n v="12"/>
    <n v="48510"/>
    <n v="6"/>
    <n v="48"/>
    <n v="5"/>
    <n v="86"/>
    <x v="4"/>
    <x v="1"/>
  </r>
  <r>
    <x v="440"/>
    <x v="8"/>
    <x v="0"/>
    <n v="35"/>
    <x v="0"/>
    <n v="12"/>
    <n v="48783"/>
    <n v="14"/>
    <n v="40"/>
    <n v="4"/>
    <n v="88"/>
    <x v="4"/>
    <x v="1"/>
  </r>
  <r>
    <x v="441"/>
    <x v="2"/>
    <x v="3"/>
    <n v="35"/>
    <x v="0"/>
    <n v="15"/>
    <n v="49071"/>
    <n v="13"/>
    <n v="45"/>
    <n v="4"/>
    <n v="96"/>
    <x v="4"/>
    <x v="0"/>
  </r>
  <r>
    <x v="442"/>
    <x v="8"/>
    <x v="2"/>
    <n v="36"/>
    <x v="1"/>
    <n v="5"/>
    <n v="49089"/>
    <n v="14"/>
    <n v="41"/>
    <n v="5"/>
    <n v="98"/>
    <x v="5"/>
    <x v="0"/>
  </r>
  <r>
    <x v="443"/>
    <x v="7"/>
    <x v="3"/>
    <n v="38"/>
    <x v="0"/>
    <n v="14"/>
    <n v="49179"/>
    <n v="11"/>
    <n v="35"/>
    <n v="3"/>
    <n v="98"/>
    <x v="5"/>
    <x v="0"/>
  </r>
  <r>
    <x v="444"/>
    <x v="18"/>
    <x v="0"/>
    <n v="25"/>
    <x v="1"/>
    <n v="3"/>
    <n v="55469"/>
    <n v="9"/>
    <n v="37"/>
    <n v="1"/>
    <n v="85"/>
    <x v="5"/>
    <x v="1"/>
  </r>
  <r>
    <x v="445"/>
    <x v="14"/>
    <x v="0"/>
    <n v="32"/>
    <x v="0"/>
    <n v="7"/>
    <n v="49181"/>
    <n v="4"/>
    <n v="37"/>
    <n v="2"/>
    <n v="93"/>
    <x v="5"/>
    <x v="0"/>
  </r>
  <r>
    <x v="446"/>
    <x v="8"/>
    <x v="0"/>
    <n v="34"/>
    <x v="0"/>
    <n v="3"/>
    <n v="67031"/>
    <n v="12"/>
    <n v="38"/>
    <n v="1"/>
    <n v="99"/>
    <x v="0"/>
    <x v="0"/>
  </r>
  <r>
    <x v="447"/>
    <x v="10"/>
    <x v="2"/>
    <n v="24"/>
    <x v="0"/>
    <n v="9"/>
    <n v="49186"/>
    <n v="3"/>
    <n v="35"/>
    <n v="3"/>
    <n v="89"/>
    <x v="2"/>
    <x v="1"/>
  </r>
  <r>
    <x v="448"/>
    <x v="9"/>
    <x v="1"/>
    <n v="36"/>
    <x v="1"/>
    <n v="12"/>
    <n v="49197"/>
    <n v="3"/>
    <n v="40"/>
    <n v="4"/>
    <n v="100"/>
    <x v="0"/>
    <x v="0"/>
  </r>
  <r>
    <x v="449"/>
    <x v="16"/>
    <x v="3"/>
    <n v="40"/>
    <x v="1"/>
    <n v="13"/>
    <n v="49299"/>
    <n v="5"/>
    <n v="38"/>
    <n v="3"/>
    <n v="95"/>
    <x v="1"/>
    <x v="0"/>
  </r>
  <r>
    <x v="450"/>
    <x v="14"/>
    <x v="0"/>
    <n v="33"/>
    <x v="1"/>
    <n v="12"/>
    <n v="49385"/>
    <n v="11"/>
    <n v="40"/>
    <n v="5"/>
    <n v="91"/>
    <x v="3"/>
    <x v="0"/>
  </r>
  <r>
    <x v="451"/>
    <x v="12"/>
    <x v="2"/>
    <n v="32"/>
    <x v="0"/>
    <n v="3"/>
    <n v="78971"/>
    <n v="5"/>
    <n v="40"/>
    <n v="3"/>
    <n v="96"/>
    <x v="2"/>
    <x v="0"/>
  </r>
  <r>
    <x v="452"/>
    <x v="1"/>
    <x v="2"/>
    <n v="30"/>
    <x v="0"/>
    <n v="4"/>
    <n v="28161"/>
    <n v="5"/>
    <n v="38"/>
    <n v="5"/>
    <n v="89"/>
    <x v="5"/>
    <x v="1"/>
  </r>
  <r>
    <x v="453"/>
    <x v="13"/>
    <x v="2"/>
    <n v="25"/>
    <x v="1"/>
    <n v="6"/>
    <n v="49455"/>
    <n v="11"/>
    <n v="46"/>
    <n v="5"/>
    <n v="94"/>
    <x v="4"/>
    <x v="0"/>
  </r>
  <r>
    <x v="454"/>
    <x v="18"/>
    <x v="0"/>
    <n v="39"/>
    <x v="0"/>
    <n v="3"/>
    <n v="51327"/>
    <n v="3"/>
    <n v="35"/>
    <n v="3"/>
    <n v="97"/>
    <x v="5"/>
    <x v="0"/>
  </r>
  <r>
    <x v="455"/>
    <x v="11"/>
    <x v="2"/>
    <n v="38"/>
    <x v="0"/>
    <n v="14"/>
    <n v="49731"/>
    <n v="3"/>
    <n v="48"/>
    <n v="2"/>
    <n v="89"/>
    <x v="4"/>
    <x v="1"/>
  </r>
  <r>
    <x v="456"/>
    <x v="15"/>
    <x v="1"/>
    <n v="22"/>
    <x v="0"/>
    <n v="7"/>
    <n v="49753"/>
    <n v="7"/>
    <n v="49"/>
    <n v="5"/>
    <n v="92"/>
    <x v="2"/>
    <x v="0"/>
  </r>
  <r>
    <x v="457"/>
    <x v="7"/>
    <x v="3"/>
    <n v="31"/>
    <x v="0"/>
    <n v="13"/>
    <n v="49757"/>
    <n v="9"/>
    <n v="47"/>
    <n v="2"/>
    <n v="87"/>
    <x v="0"/>
    <x v="1"/>
  </r>
  <r>
    <x v="458"/>
    <x v="19"/>
    <x v="0"/>
    <n v="40"/>
    <x v="0"/>
    <n v="3"/>
    <n v="71868"/>
    <n v="5"/>
    <n v="41"/>
    <n v="2"/>
    <n v="88"/>
    <x v="0"/>
    <x v="1"/>
  </r>
  <r>
    <x v="459"/>
    <x v="18"/>
    <x v="1"/>
    <n v="39"/>
    <x v="0"/>
    <n v="14"/>
    <n v="49969"/>
    <n v="10"/>
    <n v="41"/>
    <n v="1"/>
    <n v="94"/>
    <x v="3"/>
    <x v="0"/>
  </r>
  <r>
    <x v="460"/>
    <x v="2"/>
    <x v="2"/>
    <n v="22"/>
    <x v="0"/>
    <n v="12"/>
    <n v="49985"/>
    <n v="5"/>
    <n v="50"/>
    <n v="2"/>
    <n v="85"/>
    <x v="3"/>
    <x v="1"/>
  </r>
  <r>
    <x v="461"/>
    <x v="10"/>
    <x v="1"/>
    <n v="34"/>
    <x v="0"/>
    <n v="3"/>
    <n v="48449"/>
    <n v="6"/>
    <n v="50"/>
    <n v="1"/>
    <n v="95"/>
    <x v="0"/>
    <x v="0"/>
  </r>
  <r>
    <x v="462"/>
    <x v="15"/>
    <x v="2"/>
    <n v="30"/>
    <x v="1"/>
    <n v="12"/>
    <n v="50030"/>
    <n v="9"/>
    <n v="39"/>
    <n v="1"/>
    <n v="94"/>
    <x v="4"/>
    <x v="0"/>
  </r>
  <r>
    <x v="463"/>
    <x v="17"/>
    <x v="1"/>
    <n v="39"/>
    <x v="1"/>
    <n v="10"/>
    <n v="50032"/>
    <n v="14"/>
    <n v="41"/>
    <n v="2"/>
    <n v="88"/>
    <x v="4"/>
    <x v="1"/>
  </r>
  <r>
    <x v="464"/>
    <x v="2"/>
    <x v="3"/>
    <n v="39"/>
    <x v="0"/>
    <n v="8"/>
    <n v="50036"/>
    <n v="12"/>
    <n v="39"/>
    <n v="4"/>
    <n v="87"/>
    <x v="3"/>
    <x v="1"/>
  </r>
  <r>
    <x v="465"/>
    <x v="15"/>
    <x v="0"/>
    <n v="29"/>
    <x v="0"/>
    <n v="7"/>
    <n v="50092"/>
    <n v="14"/>
    <n v="35"/>
    <n v="4"/>
    <n v="100"/>
    <x v="0"/>
    <x v="0"/>
  </r>
  <r>
    <x v="466"/>
    <x v="7"/>
    <x v="3"/>
    <n v="24"/>
    <x v="1"/>
    <n v="13"/>
    <n v="50111"/>
    <n v="15"/>
    <n v="47"/>
    <n v="1"/>
    <n v="88"/>
    <x v="0"/>
    <x v="1"/>
  </r>
  <r>
    <x v="467"/>
    <x v="6"/>
    <x v="0"/>
    <n v="30"/>
    <x v="0"/>
    <n v="5"/>
    <n v="50118"/>
    <n v="13"/>
    <n v="46"/>
    <n v="1"/>
    <n v="91"/>
    <x v="2"/>
    <x v="0"/>
  </r>
  <r>
    <x v="468"/>
    <x v="10"/>
    <x v="2"/>
    <n v="39"/>
    <x v="1"/>
    <n v="7"/>
    <n v="50193"/>
    <n v="9"/>
    <n v="43"/>
    <n v="1"/>
    <n v="96"/>
    <x v="3"/>
    <x v="0"/>
  </r>
  <r>
    <x v="469"/>
    <x v="9"/>
    <x v="3"/>
    <n v="24"/>
    <x v="0"/>
    <n v="5"/>
    <n v="50265"/>
    <n v="9"/>
    <n v="46"/>
    <n v="5"/>
    <n v="93"/>
    <x v="3"/>
    <x v="0"/>
  </r>
  <r>
    <x v="470"/>
    <x v="13"/>
    <x v="3"/>
    <n v="28"/>
    <x v="1"/>
    <n v="3"/>
    <n v="28485"/>
    <n v="3"/>
    <n v="36"/>
    <n v="4"/>
    <n v="91"/>
    <x v="5"/>
    <x v="0"/>
  </r>
  <r>
    <x v="471"/>
    <x v="15"/>
    <x v="1"/>
    <n v="31"/>
    <x v="1"/>
    <n v="10"/>
    <n v="50363"/>
    <n v="15"/>
    <n v="49"/>
    <n v="3"/>
    <n v="99"/>
    <x v="1"/>
    <x v="0"/>
  </r>
  <r>
    <x v="472"/>
    <x v="7"/>
    <x v="3"/>
    <n v="28"/>
    <x v="0"/>
    <n v="3"/>
    <n v="28307"/>
    <n v="8"/>
    <n v="46"/>
    <n v="3"/>
    <n v="91"/>
    <x v="2"/>
    <x v="0"/>
  </r>
  <r>
    <x v="473"/>
    <x v="1"/>
    <x v="3"/>
    <n v="37"/>
    <x v="0"/>
    <n v="4"/>
    <n v="39334"/>
    <n v="13"/>
    <n v="49"/>
    <n v="5"/>
    <n v="93"/>
    <x v="4"/>
    <x v="0"/>
  </r>
  <r>
    <x v="474"/>
    <x v="10"/>
    <x v="3"/>
    <n v="32"/>
    <x v="0"/>
    <n v="13"/>
    <n v="50387"/>
    <n v="7"/>
    <n v="44"/>
    <n v="4"/>
    <n v="89"/>
    <x v="1"/>
    <x v="1"/>
  </r>
  <r>
    <x v="475"/>
    <x v="0"/>
    <x v="0"/>
    <n v="27"/>
    <x v="1"/>
    <n v="11"/>
    <n v="50498"/>
    <n v="9"/>
    <n v="38"/>
    <n v="4"/>
    <n v="85"/>
    <x v="4"/>
    <x v="1"/>
  </r>
  <r>
    <x v="476"/>
    <x v="19"/>
    <x v="1"/>
    <n v="37"/>
    <x v="0"/>
    <n v="6"/>
    <n v="50504"/>
    <n v="10"/>
    <n v="39"/>
    <n v="1"/>
    <n v="99"/>
    <x v="2"/>
    <x v="0"/>
  </r>
  <r>
    <x v="477"/>
    <x v="4"/>
    <x v="2"/>
    <n v="40"/>
    <x v="0"/>
    <n v="13"/>
    <n v="50507"/>
    <n v="13"/>
    <n v="44"/>
    <n v="4"/>
    <n v="85"/>
    <x v="1"/>
    <x v="1"/>
  </r>
  <r>
    <x v="478"/>
    <x v="13"/>
    <x v="1"/>
    <n v="38"/>
    <x v="1"/>
    <n v="8"/>
    <n v="50527"/>
    <n v="14"/>
    <n v="43"/>
    <n v="3"/>
    <n v="94"/>
    <x v="1"/>
    <x v="0"/>
  </r>
  <r>
    <x v="479"/>
    <x v="10"/>
    <x v="2"/>
    <n v="35"/>
    <x v="1"/>
    <n v="13"/>
    <n v="50592"/>
    <n v="12"/>
    <n v="42"/>
    <n v="4"/>
    <n v="89"/>
    <x v="3"/>
    <x v="1"/>
  </r>
  <r>
    <x v="480"/>
    <x v="0"/>
    <x v="0"/>
    <n v="23"/>
    <x v="1"/>
    <n v="6"/>
    <n v="50611"/>
    <n v="10"/>
    <n v="45"/>
    <n v="1"/>
    <n v="85"/>
    <x v="2"/>
    <x v="1"/>
  </r>
  <r>
    <x v="481"/>
    <x v="3"/>
    <x v="2"/>
    <n v="31"/>
    <x v="1"/>
    <n v="6"/>
    <n v="50711"/>
    <n v="3"/>
    <n v="37"/>
    <n v="2"/>
    <n v="95"/>
    <x v="4"/>
    <x v="0"/>
  </r>
  <r>
    <x v="482"/>
    <x v="8"/>
    <x v="3"/>
    <n v="27"/>
    <x v="0"/>
    <n v="7"/>
    <n v="50714"/>
    <n v="8"/>
    <n v="42"/>
    <n v="3"/>
    <n v="86"/>
    <x v="3"/>
    <x v="1"/>
  </r>
  <r>
    <x v="483"/>
    <x v="12"/>
    <x v="1"/>
    <n v="35"/>
    <x v="1"/>
    <n v="12"/>
    <n v="50779"/>
    <n v="4"/>
    <n v="50"/>
    <n v="4"/>
    <n v="99"/>
    <x v="2"/>
    <x v="0"/>
  </r>
  <r>
    <x v="484"/>
    <x v="3"/>
    <x v="1"/>
    <n v="40"/>
    <x v="0"/>
    <n v="5"/>
    <n v="50849"/>
    <n v="5"/>
    <n v="45"/>
    <n v="3"/>
    <n v="90"/>
    <x v="1"/>
    <x v="0"/>
  </r>
  <r>
    <x v="485"/>
    <x v="17"/>
    <x v="2"/>
    <n v="25"/>
    <x v="0"/>
    <n v="1"/>
    <n v="60500"/>
    <n v="8"/>
    <n v="50"/>
    <n v="5"/>
    <n v="92"/>
    <x v="1"/>
    <x v="0"/>
  </r>
  <r>
    <x v="486"/>
    <x v="15"/>
    <x v="1"/>
    <n v="22"/>
    <x v="0"/>
    <n v="2"/>
    <n v="55104"/>
    <n v="13"/>
    <n v="47"/>
    <n v="2"/>
    <n v="91"/>
    <x v="2"/>
    <x v="0"/>
  </r>
  <r>
    <x v="487"/>
    <x v="8"/>
    <x v="1"/>
    <n v="25"/>
    <x v="0"/>
    <n v="13"/>
    <n v="50968"/>
    <n v="12"/>
    <n v="42"/>
    <n v="3"/>
    <n v="98"/>
    <x v="0"/>
    <x v="0"/>
  </r>
  <r>
    <x v="488"/>
    <x v="2"/>
    <x v="1"/>
    <n v="40"/>
    <x v="0"/>
    <n v="2"/>
    <n v="56295"/>
    <n v="9"/>
    <n v="43"/>
    <n v="5"/>
    <n v="97"/>
    <x v="2"/>
    <x v="0"/>
  </r>
  <r>
    <x v="489"/>
    <x v="2"/>
    <x v="0"/>
    <n v="27"/>
    <x v="1"/>
    <n v="2"/>
    <n v="29743"/>
    <n v="6"/>
    <n v="39"/>
    <n v="2"/>
    <n v="92"/>
    <x v="4"/>
    <x v="0"/>
  </r>
  <r>
    <x v="490"/>
    <x v="15"/>
    <x v="1"/>
    <n v="38"/>
    <x v="0"/>
    <n v="12"/>
    <n v="51087"/>
    <n v="3"/>
    <n v="42"/>
    <n v="5"/>
    <n v="99"/>
    <x v="2"/>
    <x v="0"/>
  </r>
  <r>
    <x v="491"/>
    <x v="15"/>
    <x v="1"/>
    <n v="33"/>
    <x v="0"/>
    <n v="15"/>
    <n v="51226"/>
    <n v="15"/>
    <n v="46"/>
    <n v="3"/>
    <n v="99"/>
    <x v="3"/>
    <x v="0"/>
  </r>
  <r>
    <x v="492"/>
    <x v="19"/>
    <x v="2"/>
    <n v="26"/>
    <x v="0"/>
    <n v="2"/>
    <n v="46424"/>
    <n v="3"/>
    <n v="38"/>
    <n v="4"/>
    <n v="89"/>
    <x v="1"/>
    <x v="1"/>
  </r>
  <r>
    <x v="493"/>
    <x v="10"/>
    <x v="1"/>
    <n v="36"/>
    <x v="0"/>
    <n v="2"/>
    <n v="62610"/>
    <n v="3"/>
    <n v="37"/>
    <n v="2"/>
    <n v="88"/>
    <x v="2"/>
    <x v="1"/>
  </r>
  <r>
    <x v="494"/>
    <x v="9"/>
    <x v="0"/>
    <n v="26"/>
    <x v="1"/>
    <n v="7"/>
    <n v="51259"/>
    <n v="6"/>
    <n v="45"/>
    <n v="5"/>
    <n v="91"/>
    <x v="0"/>
    <x v="0"/>
  </r>
  <r>
    <x v="495"/>
    <x v="10"/>
    <x v="0"/>
    <n v="36"/>
    <x v="0"/>
    <n v="12"/>
    <n v="51269"/>
    <n v="5"/>
    <n v="47"/>
    <n v="1"/>
    <n v="91"/>
    <x v="1"/>
    <x v="0"/>
  </r>
  <r>
    <x v="496"/>
    <x v="19"/>
    <x v="3"/>
    <n v="35"/>
    <x v="0"/>
    <n v="7"/>
    <n v="51309"/>
    <n v="11"/>
    <n v="49"/>
    <n v="2"/>
    <n v="85"/>
    <x v="5"/>
    <x v="1"/>
  </r>
  <r>
    <x v="497"/>
    <x v="6"/>
    <x v="1"/>
    <n v="33"/>
    <x v="1"/>
    <n v="7"/>
    <n v="51353"/>
    <n v="10"/>
    <n v="46"/>
    <n v="2"/>
    <n v="96"/>
    <x v="0"/>
    <x v="0"/>
  </r>
  <r>
    <x v="498"/>
    <x v="3"/>
    <x v="3"/>
    <n v="24"/>
    <x v="0"/>
    <n v="10"/>
    <n v="51438"/>
    <n v="13"/>
    <n v="38"/>
    <n v="5"/>
    <n v="89"/>
    <x v="0"/>
    <x v="1"/>
  </r>
  <r>
    <x v="499"/>
    <x v="10"/>
    <x v="0"/>
    <n v="39"/>
    <x v="1"/>
    <n v="15"/>
    <n v="51488"/>
    <n v="9"/>
    <n v="40"/>
    <n v="1"/>
    <n v="88"/>
    <x v="0"/>
    <x v="1"/>
  </r>
  <r>
    <x v="500"/>
    <x v="17"/>
    <x v="3"/>
    <n v="30"/>
    <x v="1"/>
    <n v="5"/>
    <n v="51571"/>
    <n v="4"/>
    <n v="47"/>
    <n v="3"/>
    <n v="88"/>
    <x v="5"/>
    <x v="1"/>
  </r>
  <r>
    <x v="501"/>
    <x v="18"/>
    <x v="1"/>
    <n v="24"/>
    <x v="0"/>
    <n v="10"/>
    <n v="51584"/>
    <n v="15"/>
    <n v="44"/>
    <n v="4"/>
    <n v="86"/>
    <x v="3"/>
    <x v="1"/>
  </r>
  <r>
    <x v="502"/>
    <x v="19"/>
    <x v="0"/>
    <n v="32"/>
    <x v="0"/>
    <n v="7"/>
    <n v="51630"/>
    <n v="15"/>
    <n v="46"/>
    <n v="3"/>
    <n v="85"/>
    <x v="3"/>
    <x v="1"/>
  </r>
  <r>
    <x v="503"/>
    <x v="16"/>
    <x v="3"/>
    <n v="39"/>
    <x v="1"/>
    <n v="5"/>
    <n v="51728"/>
    <n v="14"/>
    <n v="46"/>
    <n v="3"/>
    <n v="91"/>
    <x v="5"/>
    <x v="0"/>
  </r>
  <r>
    <x v="504"/>
    <x v="1"/>
    <x v="2"/>
    <n v="31"/>
    <x v="0"/>
    <n v="9"/>
    <n v="51740"/>
    <n v="15"/>
    <n v="45"/>
    <n v="5"/>
    <n v="89"/>
    <x v="1"/>
    <x v="1"/>
  </r>
  <r>
    <x v="505"/>
    <x v="1"/>
    <x v="2"/>
    <n v="23"/>
    <x v="1"/>
    <n v="5"/>
    <n v="51900"/>
    <n v="3"/>
    <n v="47"/>
    <n v="4"/>
    <n v="96"/>
    <x v="3"/>
    <x v="0"/>
  </r>
  <r>
    <x v="506"/>
    <x v="13"/>
    <x v="0"/>
    <n v="30"/>
    <x v="0"/>
    <n v="6"/>
    <n v="51986"/>
    <n v="14"/>
    <n v="46"/>
    <n v="1"/>
    <n v="100"/>
    <x v="1"/>
    <x v="0"/>
  </r>
  <r>
    <x v="507"/>
    <x v="9"/>
    <x v="3"/>
    <n v="28"/>
    <x v="1"/>
    <n v="15"/>
    <n v="52074"/>
    <n v="6"/>
    <n v="46"/>
    <n v="4"/>
    <n v="87"/>
    <x v="3"/>
    <x v="1"/>
  </r>
  <r>
    <x v="508"/>
    <x v="13"/>
    <x v="1"/>
    <n v="34"/>
    <x v="0"/>
    <n v="13"/>
    <n v="52079"/>
    <n v="9"/>
    <n v="44"/>
    <n v="5"/>
    <n v="99"/>
    <x v="5"/>
    <x v="0"/>
  </r>
  <r>
    <x v="509"/>
    <x v="1"/>
    <x v="1"/>
    <n v="33"/>
    <x v="0"/>
    <n v="15"/>
    <n v="52092"/>
    <n v="12"/>
    <n v="50"/>
    <n v="2"/>
    <n v="90"/>
    <x v="3"/>
    <x v="0"/>
  </r>
  <r>
    <x v="510"/>
    <x v="12"/>
    <x v="2"/>
    <n v="31"/>
    <x v="0"/>
    <n v="1"/>
    <n v="30374"/>
    <n v="9"/>
    <n v="50"/>
    <n v="4"/>
    <n v="92"/>
    <x v="1"/>
    <x v="0"/>
  </r>
  <r>
    <x v="511"/>
    <x v="9"/>
    <x v="2"/>
    <n v="35"/>
    <x v="0"/>
    <n v="10"/>
    <n v="52130"/>
    <n v="9"/>
    <n v="40"/>
    <n v="1"/>
    <n v="94"/>
    <x v="1"/>
    <x v="0"/>
  </r>
  <r>
    <x v="512"/>
    <x v="7"/>
    <x v="2"/>
    <n v="35"/>
    <x v="0"/>
    <n v="9"/>
    <n v="52185"/>
    <n v="10"/>
    <n v="46"/>
    <n v="4"/>
    <n v="92"/>
    <x v="0"/>
    <x v="0"/>
  </r>
  <r>
    <x v="513"/>
    <x v="9"/>
    <x v="3"/>
    <n v="29"/>
    <x v="0"/>
    <n v="4"/>
    <n v="30761"/>
    <n v="13"/>
    <n v="37"/>
    <n v="3"/>
    <n v="86"/>
    <x v="5"/>
    <x v="1"/>
  </r>
  <r>
    <x v="514"/>
    <x v="12"/>
    <x v="0"/>
    <n v="24"/>
    <x v="0"/>
    <n v="6"/>
    <n v="52290"/>
    <n v="3"/>
    <n v="37"/>
    <n v="3"/>
    <n v="89"/>
    <x v="0"/>
    <x v="1"/>
  </r>
  <r>
    <x v="515"/>
    <x v="3"/>
    <x v="3"/>
    <n v="25"/>
    <x v="1"/>
    <n v="15"/>
    <n v="52308"/>
    <n v="12"/>
    <n v="43"/>
    <n v="5"/>
    <n v="90"/>
    <x v="5"/>
    <x v="0"/>
  </r>
  <r>
    <x v="516"/>
    <x v="4"/>
    <x v="0"/>
    <n v="30"/>
    <x v="1"/>
    <n v="6"/>
    <n v="52334"/>
    <n v="4"/>
    <n v="36"/>
    <n v="3"/>
    <n v="88"/>
    <x v="3"/>
    <x v="1"/>
  </r>
  <r>
    <x v="517"/>
    <x v="11"/>
    <x v="3"/>
    <n v="23"/>
    <x v="0"/>
    <n v="6"/>
    <n v="52431"/>
    <n v="6"/>
    <n v="44"/>
    <n v="5"/>
    <n v="100"/>
    <x v="1"/>
    <x v="0"/>
  </r>
  <r>
    <x v="518"/>
    <x v="11"/>
    <x v="3"/>
    <n v="35"/>
    <x v="0"/>
    <n v="14"/>
    <n v="52496"/>
    <n v="8"/>
    <n v="43"/>
    <n v="5"/>
    <n v="97"/>
    <x v="4"/>
    <x v="0"/>
  </r>
  <r>
    <x v="519"/>
    <x v="5"/>
    <x v="2"/>
    <n v="31"/>
    <x v="0"/>
    <n v="15"/>
    <n v="52538"/>
    <n v="6"/>
    <n v="42"/>
    <n v="5"/>
    <n v="86"/>
    <x v="3"/>
    <x v="1"/>
  </r>
  <r>
    <x v="520"/>
    <x v="19"/>
    <x v="2"/>
    <n v="28"/>
    <x v="1"/>
    <n v="11"/>
    <n v="52581"/>
    <n v="3"/>
    <n v="45"/>
    <n v="3"/>
    <n v="100"/>
    <x v="2"/>
    <x v="0"/>
  </r>
  <r>
    <x v="521"/>
    <x v="2"/>
    <x v="2"/>
    <n v="33"/>
    <x v="0"/>
    <n v="8"/>
    <n v="52648"/>
    <n v="9"/>
    <n v="48"/>
    <n v="3"/>
    <n v="94"/>
    <x v="3"/>
    <x v="0"/>
  </r>
  <r>
    <x v="522"/>
    <x v="1"/>
    <x v="0"/>
    <n v="31"/>
    <x v="0"/>
    <n v="4"/>
    <n v="69364"/>
    <n v="12"/>
    <n v="44"/>
    <n v="5"/>
    <n v="94"/>
    <x v="2"/>
    <x v="0"/>
  </r>
  <r>
    <x v="523"/>
    <x v="4"/>
    <x v="2"/>
    <n v="33"/>
    <x v="1"/>
    <n v="3"/>
    <n v="68178"/>
    <n v="12"/>
    <n v="50"/>
    <n v="2"/>
    <n v="91"/>
    <x v="3"/>
    <x v="0"/>
  </r>
  <r>
    <x v="524"/>
    <x v="19"/>
    <x v="2"/>
    <n v="34"/>
    <x v="1"/>
    <n v="12"/>
    <n v="52685"/>
    <n v="14"/>
    <n v="49"/>
    <n v="5"/>
    <n v="93"/>
    <x v="0"/>
    <x v="0"/>
  </r>
  <r>
    <x v="525"/>
    <x v="8"/>
    <x v="1"/>
    <n v="22"/>
    <x v="1"/>
    <n v="15"/>
    <n v="52695"/>
    <n v="14"/>
    <n v="37"/>
    <n v="1"/>
    <n v="96"/>
    <x v="2"/>
    <x v="0"/>
  </r>
  <r>
    <x v="526"/>
    <x v="8"/>
    <x v="0"/>
    <n v="36"/>
    <x v="1"/>
    <n v="14"/>
    <n v="52708"/>
    <n v="8"/>
    <n v="42"/>
    <n v="2"/>
    <n v="89"/>
    <x v="2"/>
    <x v="1"/>
  </r>
  <r>
    <x v="527"/>
    <x v="0"/>
    <x v="1"/>
    <n v="37"/>
    <x v="0"/>
    <n v="14"/>
    <n v="52763"/>
    <n v="4"/>
    <n v="49"/>
    <n v="1"/>
    <n v="94"/>
    <x v="4"/>
    <x v="0"/>
  </r>
  <r>
    <x v="528"/>
    <x v="16"/>
    <x v="0"/>
    <n v="39"/>
    <x v="1"/>
    <n v="4"/>
    <n v="64942"/>
    <n v="12"/>
    <n v="43"/>
    <n v="3"/>
    <n v="94"/>
    <x v="5"/>
    <x v="0"/>
  </r>
  <r>
    <x v="529"/>
    <x v="10"/>
    <x v="1"/>
    <n v="28"/>
    <x v="0"/>
    <n v="1"/>
    <n v="49651"/>
    <n v="6"/>
    <n v="47"/>
    <n v="2"/>
    <n v="95"/>
    <x v="2"/>
    <x v="0"/>
  </r>
  <r>
    <x v="530"/>
    <x v="18"/>
    <x v="0"/>
    <n v="26"/>
    <x v="0"/>
    <n v="2"/>
    <n v="48042"/>
    <n v="14"/>
    <n v="49"/>
    <n v="2"/>
    <n v="96"/>
    <x v="3"/>
    <x v="0"/>
  </r>
  <r>
    <x v="531"/>
    <x v="1"/>
    <x v="2"/>
    <n v="33"/>
    <x v="0"/>
    <n v="13"/>
    <n v="52816"/>
    <n v="10"/>
    <n v="36"/>
    <n v="4"/>
    <n v="85"/>
    <x v="4"/>
    <x v="1"/>
  </r>
  <r>
    <x v="532"/>
    <x v="4"/>
    <x v="2"/>
    <n v="39"/>
    <x v="0"/>
    <n v="14"/>
    <n v="52857"/>
    <n v="9"/>
    <n v="36"/>
    <n v="5"/>
    <n v="93"/>
    <x v="1"/>
    <x v="0"/>
  </r>
  <r>
    <x v="533"/>
    <x v="3"/>
    <x v="3"/>
    <n v="28"/>
    <x v="0"/>
    <n v="11"/>
    <n v="52868"/>
    <n v="4"/>
    <n v="48"/>
    <n v="1"/>
    <n v="88"/>
    <x v="3"/>
    <x v="1"/>
  </r>
  <r>
    <x v="534"/>
    <x v="19"/>
    <x v="3"/>
    <n v="30"/>
    <x v="1"/>
    <n v="4"/>
    <n v="77846"/>
    <n v="11"/>
    <n v="46"/>
    <n v="3"/>
    <n v="92"/>
    <x v="0"/>
    <x v="0"/>
  </r>
  <r>
    <x v="535"/>
    <x v="15"/>
    <x v="2"/>
    <n v="22"/>
    <x v="1"/>
    <n v="13"/>
    <n v="53047"/>
    <n v="14"/>
    <n v="49"/>
    <n v="5"/>
    <n v="85"/>
    <x v="1"/>
    <x v="1"/>
  </r>
  <r>
    <x v="536"/>
    <x v="3"/>
    <x v="2"/>
    <n v="30"/>
    <x v="0"/>
    <n v="4"/>
    <n v="62805"/>
    <n v="15"/>
    <n v="47"/>
    <n v="2"/>
    <n v="93"/>
    <x v="0"/>
    <x v="0"/>
  </r>
  <r>
    <x v="537"/>
    <x v="10"/>
    <x v="1"/>
    <n v="33"/>
    <x v="1"/>
    <n v="5"/>
    <n v="53049"/>
    <n v="15"/>
    <n v="43"/>
    <n v="3"/>
    <n v="89"/>
    <x v="5"/>
    <x v="1"/>
  </r>
  <r>
    <x v="538"/>
    <x v="11"/>
    <x v="2"/>
    <n v="25"/>
    <x v="0"/>
    <n v="10"/>
    <n v="53098"/>
    <n v="15"/>
    <n v="45"/>
    <n v="4"/>
    <n v="85"/>
    <x v="3"/>
    <x v="1"/>
  </r>
  <r>
    <x v="539"/>
    <x v="10"/>
    <x v="3"/>
    <n v="32"/>
    <x v="1"/>
    <n v="7"/>
    <n v="53244"/>
    <n v="9"/>
    <n v="37"/>
    <n v="3"/>
    <n v="88"/>
    <x v="0"/>
    <x v="1"/>
  </r>
  <r>
    <x v="540"/>
    <x v="16"/>
    <x v="3"/>
    <n v="35"/>
    <x v="0"/>
    <n v="11"/>
    <n v="53316"/>
    <n v="8"/>
    <n v="39"/>
    <n v="5"/>
    <n v="97"/>
    <x v="1"/>
    <x v="0"/>
  </r>
  <r>
    <x v="541"/>
    <x v="18"/>
    <x v="3"/>
    <n v="31"/>
    <x v="0"/>
    <n v="13"/>
    <n v="53453"/>
    <n v="9"/>
    <n v="42"/>
    <n v="1"/>
    <n v="100"/>
    <x v="1"/>
    <x v="0"/>
  </r>
  <r>
    <x v="542"/>
    <x v="7"/>
    <x v="1"/>
    <n v="29"/>
    <x v="1"/>
    <n v="2"/>
    <n v="77066"/>
    <n v="5"/>
    <n v="36"/>
    <n v="1"/>
    <n v="99"/>
    <x v="2"/>
    <x v="0"/>
  </r>
  <r>
    <x v="543"/>
    <x v="6"/>
    <x v="1"/>
    <n v="22"/>
    <x v="1"/>
    <n v="12"/>
    <n v="53454"/>
    <n v="8"/>
    <n v="35"/>
    <n v="3"/>
    <n v="85"/>
    <x v="0"/>
    <x v="1"/>
  </r>
  <r>
    <x v="544"/>
    <x v="9"/>
    <x v="0"/>
    <n v="25"/>
    <x v="0"/>
    <n v="2"/>
    <n v="66424"/>
    <n v="6"/>
    <n v="43"/>
    <n v="5"/>
    <n v="91"/>
    <x v="3"/>
    <x v="0"/>
  </r>
  <r>
    <x v="545"/>
    <x v="12"/>
    <x v="1"/>
    <n v="25"/>
    <x v="0"/>
    <n v="4"/>
    <n v="44139"/>
    <n v="14"/>
    <n v="50"/>
    <n v="5"/>
    <n v="89"/>
    <x v="2"/>
    <x v="1"/>
  </r>
  <r>
    <x v="546"/>
    <x v="12"/>
    <x v="0"/>
    <n v="23"/>
    <x v="1"/>
    <n v="5"/>
    <n v="53855"/>
    <n v="10"/>
    <n v="37"/>
    <n v="1"/>
    <n v="88"/>
    <x v="2"/>
    <x v="1"/>
  </r>
  <r>
    <x v="547"/>
    <x v="7"/>
    <x v="3"/>
    <n v="33"/>
    <x v="0"/>
    <n v="5"/>
    <n v="53985"/>
    <n v="15"/>
    <n v="48"/>
    <n v="2"/>
    <n v="85"/>
    <x v="2"/>
    <x v="1"/>
  </r>
  <r>
    <x v="548"/>
    <x v="1"/>
    <x v="3"/>
    <n v="23"/>
    <x v="0"/>
    <n v="12"/>
    <n v="54057"/>
    <n v="10"/>
    <n v="47"/>
    <n v="2"/>
    <n v="85"/>
    <x v="5"/>
    <x v="1"/>
  </r>
  <r>
    <x v="549"/>
    <x v="16"/>
    <x v="2"/>
    <n v="34"/>
    <x v="1"/>
    <n v="10"/>
    <n v="54085"/>
    <n v="14"/>
    <n v="40"/>
    <n v="2"/>
    <n v="86"/>
    <x v="0"/>
    <x v="1"/>
  </r>
  <r>
    <x v="550"/>
    <x v="8"/>
    <x v="2"/>
    <n v="33"/>
    <x v="0"/>
    <n v="8"/>
    <n v="54136"/>
    <n v="5"/>
    <n v="46"/>
    <n v="1"/>
    <n v="85"/>
    <x v="4"/>
    <x v="1"/>
  </r>
  <r>
    <x v="551"/>
    <x v="6"/>
    <x v="2"/>
    <n v="38"/>
    <x v="0"/>
    <n v="1"/>
    <n v="31910"/>
    <n v="12"/>
    <n v="41"/>
    <n v="1"/>
    <n v="98"/>
    <x v="2"/>
    <x v="0"/>
  </r>
  <r>
    <x v="552"/>
    <x v="8"/>
    <x v="2"/>
    <n v="37"/>
    <x v="0"/>
    <n v="8"/>
    <n v="54449"/>
    <n v="8"/>
    <n v="38"/>
    <n v="2"/>
    <n v="89"/>
    <x v="2"/>
    <x v="1"/>
  </r>
  <r>
    <x v="553"/>
    <x v="6"/>
    <x v="0"/>
    <n v="30"/>
    <x v="1"/>
    <n v="3"/>
    <n v="58426"/>
    <n v="6"/>
    <n v="35"/>
    <n v="1"/>
    <n v="85"/>
    <x v="5"/>
    <x v="1"/>
  </r>
  <r>
    <x v="554"/>
    <x v="14"/>
    <x v="3"/>
    <n v="39"/>
    <x v="0"/>
    <n v="9"/>
    <n v="54495"/>
    <n v="12"/>
    <n v="49"/>
    <n v="3"/>
    <n v="90"/>
    <x v="1"/>
    <x v="0"/>
  </r>
  <r>
    <x v="555"/>
    <x v="8"/>
    <x v="1"/>
    <n v="37"/>
    <x v="0"/>
    <n v="10"/>
    <n v="54611"/>
    <n v="7"/>
    <n v="39"/>
    <n v="5"/>
    <n v="95"/>
    <x v="4"/>
    <x v="0"/>
  </r>
  <r>
    <x v="556"/>
    <x v="11"/>
    <x v="1"/>
    <n v="38"/>
    <x v="1"/>
    <n v="7"/>
    <n v="54630"/>
    <n v="15"/>
    <n v="48"/>
    <n v="4"/>
    <n v="85"/>
    <x v="5"/>
    <x v="1"/>
  </r>
  <r>
    <x v="557"/>
    <x v="16"/>
    <x v="3"/>
    <n v="27"/>
    <x v="1"/>
    <n v="6"/>
    <n v="54654"/>
    <n v="9"/>
    <n v="40"/>
    <n v="2"/>
    <n v="98"/>
    <x v="5"/>
    <x v="0"/>
  </r>
  <r>
    <x v="558"/>
    <x v="9"/>
    <x v="0"/>
    <n v="38"/>
    <x v="0"/>
    <n v="6"/>
    <n v="54672"/>
    <n v="7"/>
    <n v="46"/>
    <n v="1"/>
    <n v="87"/>
    <x v="0"/>
    <x v="1"/>
  </r>
  <r>
    <x v="559"/>
    <x v="4"/>
    <x v="0"/>
    <n v="30"/>
    <x v="0"/>
    <n v="8"/>
    <n v="54721"/>
    <n v="5"/>
    <n v="35"/>
    <n v="1"/>
    <n v="89"/>
    <x v="3"/>
    <x v="1"/>
  </r>
  <r>
    <x v="560"/>
    <x v="8"/>
    <x v="0"/>
    <n v="25"/>
    <x v="0"/>
    <n v="8"/>
    <n v="54822"/>
    <n v="5"/>
    <n v="40"/>
    <n v="2"/>
    <n v="92"/>
    <x v="0"/>
    <x v="0"/>
  </r>
  <r>
    <x v="561"/>
    <x v="15"/>
    <x v="3"/>
    <n v="28"/>
    <x v="1"/>
    <n v="5"/>
    <n v="54843"/>
    <n v="8"/>
    <n v="44"/>
    <n v="1"/>
    <n v="100"/>
    <x v="0"/>
    <x v="0"/>
  </r>
  <r>
    <x v="562"/>
    <x v="16"/>
    <x v="0"/>
    <n v="23"/>
    <x v="1"/>
    <n v="7"/>
    <n v="54945"/>
    <n v="3"/>
    <n v="40"/>
    <n v="4"/>
    <n v="90"/>
    <x v="1"/>
    <x v="0"/>
  </r>
  <r>
    <x v="563"/>
    <x v="18"/>
    <x v="2"/>
    <n v="40"/>
    <x v="1"/>
    <n v="10"/>
    <n v="55023"/>
    <n v="14"/>
    <n v="48"/>
    <n v="5"/>
    <n v="95"/>
    <x v="5"/>
    <x v="0"/>
  </r>
  <r>
    <x v="564"/>
    <x v="3"/>
    <x v="0"/>
    <n v="38"/>
    <x v="0"/>
    <n v="3"/>
    <n v="51572"/>
    <n v="6"/>
    <n v="37"/>
    <n v="4"/>
    <n v="99"/>
    <x v="0"/>
    <x v="0"/>
  </r>
  <r>
    <x v="565"/>
    <x v="15"/>
    <x v="1"/>
    <n v="32"/>
    <x v="0"/>
    <n v="10"/>
    <n v="55119"/>
    <n v="6"/>
    <n v="45"/>
    <n v="3"/>
    <n v="99"/>
    <x v="0"/>
    <x v="0"/>
  </r>
  <r>
    <x v="566"/>
    <x v="4"/>
    <x v="2"/>
    <n v="24"/>
    <x v="0"/>
    <n v="7"/>
    <n v="55142"/>
    <n v="9"/>
    <n v="35"/>
    <n v="2"/>
    <n v="97"/>
    <x v="2"/>
    <x v="0"/>
  </r>
  <r>
    <x v="567"/>
    <x v="5"/>
    <x v="2"/>
    <n v="27"/>
    <x v="1"/>
    <n v="9"/>
    <n v="55207"/>
    <n v="3"/>
    <n v="47"/>
    <n v="2"/>
    <n v="99"/>
    <x v="5"/>
    <x v="0"/>
  </r>
  <r>
    <x v="568"/>
    <x v="1"/>
    <x v="2"/>
    <n v="31"/>
    <x v="0"/>
    <n v="4"/>
    <n v="43779"/>
    <n v="15"/>
    <n v="38"/>
    <n v="1"/>
    <n v="90"/>
    <x v="0"/>
    <x v="0"/>
  </r>
  <r>
    <x v="569"/>
    <x v="8"/>
    <x v="3"/>
    <n v="29"/>
    <x v="0"/>
    <n v="1"/>
    <n v="41921"/>
    <n v="9"/>
    <n v="35"/>
    <n v="5"/>
    <n v="92"/>
    <x v="5"/>
    <x v="0"/>
  </r>
  <r>
    <x v="570"/>
    <x v="5"/>
    <x v="0"/>
    <n v="35"/>
    <x v="1"/>
    <n v="12"/>
    <n v="55273"/>
    <n v="14"/>
    <n v="41"/>
    <n v="1"/>
    <n v="98"/>
    <x v="4"/>
    <x v="0"/>
  </r>
  <r>
    <x v="571"/>
    <x v="10"/>
    <x v="0"/>
    <n v="38"/>
    <x v="1"/>
    <n v="3"/>
    <n v="34896"/>
    <n v="5"/>
    <n v="36"/>
    <n v="1"/>
    <n v="100"/>
    <x v="0"/>
    <x v="0"/>
  </r>
  <r>
    <x v="572"/>
    <x v="16"/>
    <x v="1"/>
    <n v="37"/>
    <x v="0"/>
    <n v="12"/>
    <n v="55287"/>
    <n v="5"/>
    <n v="49"/>
    <n v="5"/>
    <n v="85"/>
    <x v="0"/>
    <x v="1"/>
  </r>
  <r>
    <x v="573"/>
    <x v="5"/>
    <x v="1"/>
    <n v="37"/>
    <x v="0"/>
    <n v="12"/>
    <n v="55382"/>
    <n v="4"/>
    <n v="35"/>
    <n v="2"/>
    <n v="91"/>
    <x v="2"/>
    <x v="0"/>
  </r>
  <r>
    <x v="574"/>
    <x v="19"/>
    <x v="2"/>
    <n v="26"/>
    <x v="1"/>
    <n v="3"/>
    <n v="58756"/>
    <n v="3"/>
    <n v="50"/>
    <n v="1"/>
    <n v="93"/>
    <x v="5"/>
    <x v="0"/>
  </r>
  <r>
    <x v="575"/>
    <x v="10"/>
    <x v="1"/>
    <n v="31"/>
    <x v="0"/>
    <n v="7"/>
    <n v="55410"/>
    <n v="3"/>
    <n v="37"/>
    <n v="1"/>
    <n v="98"/>
    <x v="4"/>
    <x v="0"/>
  </r>
  <r>
    <x v="576"/>
    <x v="19"/>
    <x v="2"/>
    <n v="23"/>
    <x v="0"/>
    <n v="7"/>
    <n v="55413"/>
    <n v="12"/>
    <n v="40"/>
    <n v="5"/>
    <n v="100"/>
    <x v="2"/>
    <x v="0"/>
  </r>
  <r>
    <x v="577"/>
    <x v="17"/>
    <x v="1"/>
    <n v="40"/>
    <x v="1"/>
    <n v="3"/>
    <n v="46506"/>
    <n v="6"/>
    <n v="38"/>
    <n v="1"/>
    <n v="100"/>
    <x v="5"/>
    <x v="0"/>
  </r>
  <r>
    <x v="578"/>
    <x v="14"/>
    <x v="0"/>
    <n v="38"/>
    <x v="1"/>
    <n v="13"/>
    <n v="55439"/>
    <n v="6"/>
    <n v="44"/>
    <n v="5"/>
    <n v="98"/>
    <x v="4"/>
    <x v="0"/>
  </r>
  <r>
    <x v="579"/>
    <x v="5"/>
    <x v="2"/>
    <n v="38"/>
    <x v="1"/>
    <n v="9"/>
    <n v="55487"/>
    <n v="8"/>
    <n v="42"/>
    <n v="3"/>
    <n v="96"/>
    <x v="1"/>
    <x v="0"/>
  </r>
  <r>
    <x v="580"/>
    <x v="12"/>
    <x v="3"/>
    <n v="36"/>
    <x v="1"/>
    <n v="15"/>
    <n v="55514"/>
    <n v="3"/>
    <n v="38"/>
    <n v="3"/>
    <n v="100"/>
    <x v="5"/>
    <x v="0"/>
  </r>
  <r>
    <x v="581"/>
    <x v="10"/>
    <x v="1"/>
    <n v="35"/>
    <x v="0"/>
    <n v="12"/>
    <n v="55540"/>
    <n v="7"/>
    <n v="49"/>
    <n v="2"/>
    <n v="88"/>
    <x v="3"/>
    <x v="1"/>
  </r>
  <r>
    <x v="582"/>
    <x v="5"/>
    <x v="0"/>
    <n v="40"/>
    <x v="1"/>
    <n v="6"/>
    <n v="55610"/>
    <n v="10"/>
    <n v="47"/>
    <n v="1"/>
    <n v="90"/>
    <x v="1"/>
    <x v="0"/>
  </r>
  <r>
    <x v="583"/>
    <x v="9"/>
    <x v="0"/>
    <n v="32"/>
    <x v="1"/>
    <n v="2"/>
    <n v="74105"/>
    <n v="12"/>
    <n v="45"/>
    <n v="2"/>
    <n v="97"/>
    <x v="2"/>
    <x v="0"/>
  </r>
  <r>
    <x v="584"/>
    <x v="19"/>
    <x v="1"/>
    <n v="29"/>
    <x v="0"/>
    <n v="4"/>
    <n v="43096"/>
    <n v="10"/>
    <n v="37"/>
    <n v="5"/>
    <n v="90"/>
    <x v="4"/>
    <x v="0"/>
  </r>
  <r>
    <x v="585"/>
    <x v="16"/>
    <x v="0"/>
    <n v="33"/>
    <x v="0"/>
    <n v="10"/>
    <n v="55647"/>
    <n v="15"/>
    <n v="45"/>
    <n v="2"/>
    <n v="100"/>
    <x v="4"/>
    <x v="0"/>
  </r>
  <r>
    <x v="586"/>
    <x v="15"/>
    <x v="2"/>
    <n v="32"/>
    <x v="0"/>
    <n v="6"/>
    <n v="55647"/>
    <n v="13"/>
    <n v="47"/>
    <n v="5"/>
    <n v="94"/>
    <x v="5"/>
    <x v="0"/>
  </r>
  <r>
    <x v="587"/>
    <x v="16"/>
    <x v="1"/>
    <n v="27"/>
    <x v="0"/>
    <n v="10"/>
    <n v="55668"/>
    <n v="6"/>
    <n v="37"/>
    <n v="2"/>
    <n v="98"/>
    <x v="2"/>
    <x v="0"/>
  </r>
  <r>
    <x v="588"/>
    <x v="12"/>
    <x v="0"/>
    <n v="35"/>
    <x v="1"/>
    <n v="4"/>
    <n v="51421"/>
    <n v="10"/>
    <n v="37"/>
    <n v="3"/>
    <n v="96"/>
    <x v="1"/>
    <x v="0"/>
  </r>
  <r>
    <x v="589"/>
    <x v="3"/>
    <x v="3"/>
    <n v="26"/>
    <x v="1"/>
    <n v="13"/>
    <n v="55717"/>
    <n v="14"/>
    <n v="42"/>
    <n v="4"/>
    <n v="87"/>
    <x v="3"/>
    <x v="1"/>
  </r>
  <r>
    <x v="590"/>
    <x v="3"/>
    <x v="2"/>
    <n v="33"/>
    <x v="0"/>
    <n v="12"/>
    <n v="55753"/>
    <n v="4"/>
    <n v="42"/>
    <n v="2"/>
    <n v="90"/>
    <x v="1"/>
    <x v="0"/>
  </r>
  <r>
    <x v="591"/>
    <x v="7"/>
    <x v="3"/>
    <n v="37"/>
    <x v="0"/>
    <n v="1"/>
    <n v="47113"/>
    <n v="4"/>
    <n v="47"/>
    <n v="2"/>
    <n v="99"/>
    <x v="1"/>
    <x v="0"/>
  </r>
  <r>
    <x v="592"/>
    <x v="12"/>
    <x v="2"/>
    <n v="25"/>
    <x v="0"/>
    <n v="7"/>
    <n v="55753"/>
    <n v="6"/>
    <n v="49"/>
    <n v="1"/>
    <n v="96"/>
    <x v="0"/>
    <x v="0"/>
  </r>
  <r>
    <x v="593"/>
    <x v="19"/>
    <x v="1"/>
    <n v="31"/>
    <x v="1"/>
    <n v="4"/>
    <n v="49119"/>
    <n v="11"/>
    <n v="39"/>
    <n v="2"/>
    <n v="90"/>
    <x v="4"/>
    <x v="0"/>
  </r>
  <r>
    <x v="594"/>
    <x v="3"/>
    <x v="2"/>
    <n v="29"/>
    <x v="1"/>
    <n v="3"/>
    <n v="27788"/>
    <n v="12"/>
    <n v="41"/>
    <n v="3"/>
    <n v="88"/>
    <x v="5"/>
    <x v="1"/>
  </r>
  <r>
    <x v="595"/>
    <x v="4"/>
    <x v="3"/>
    <n v="39"/>
    <x v="0"/>
    <n v="9"/>
    <n v="55784"/>
    <n v="13"/>
    <n v="49"/>
    <n v="5"/>
    <n v="85"/>
    <x v="4"/>
    <x v="1"/>
  </r>
  <r>
    <x v="596"/>
    <x v="11"/>
    <x v="3"/>
    <n v="26"/>
    <x v="1"/>
    <n v="12"/>
    <n v="55889"/>
    <n v="12"/>
    <n v="35"/>
    <n v="3"/>
    <n v="95"/>
    <x v="1"/>
    <x v="0"/>
  </r>
  <r>
    <x v="597"/>
    <x v="2"/>
    <x v="1"/>
    <n v="40"/>
    <x v="0"/>
    <n v="11"/>
    <n v="55919"/>
    <n v="5"/>
    <n v="40"/>
    <n v="5"/>
    <n v="92"/>
    <x v="5"/>
    <x v="0"/>
  </r>
  <r>
    <x v="598"/>
    <x v="12"/>
    <x v="1"/>
    <n v="30"/>
    <x v="1"/>
    <n v="1"/>
    <n v="28491"/>
    <n v="10"/>
    <n v="36"/>
    <n v="1"/>
    <n v="86"/>
    <x v="1"/>
    <x v="1"/>
  </r>
  <r>
    <x v="599"/>
    <x v="9"/>
    <x v="2"/>
    <n v="39"/>
    <x v="1"/>
    <n v="15"/>
    <n v="55974"/>
    <n v="6"/>
    <n v="41"/>
    <n v="3"/>
    <n v="89"/>
    <x v="1"/>
    <x v="1"/>
  </r>
  <r>
    <x v="600"/>
    <x v="18"/>
    <x v="0"/>
    <n v="36"/>
    <x v="1"/>
    <n v="1"/>
    <n v="75488"/>
    <n v="8"/>
    <n v="40"/>
    <n v="3"/>
    <n v="87"/>
    <x v="0"/>
    <x v="1"/>
  </r>
  <r>
    <x v="601"/>
    <x v="10"/>
    <x v="2"/>
    <n v="34"/>
    <x v="1"/>
    <n v="10"/>
    <n v="56170"/>
    <n v="12"/>
    <n v="43"/>
    <n v="3"/>
    <n v="89"/>
    <x v="2"/>
    <x v="1"/>
  </r>
  <r>
    <x v="602"/>
    <x v="3"/>
    <x v="1"/>
    <n v="35"/>
    <x v="1"/>
    <n v="14"/>
    <n v="56191"/>
    <n v="9"/>
    <n v="37"/>
    <n v="1"/>
    <n v="93"/>
    <x v="3"/>
    <x v="0"/>
  </r>
  <r>
    <x v="603"/>
    <x v="19"/>
    <x v="0"/>
    <n v="37"/>
    <x v="0"/>
    <n v="12"/>
    <n v="56352"/>
    <n v="15"/>
    <n v="36"/>
    <n v="1"/>
    <n v="90"/>
    <x v="2"/>
    <x v="0"/>
  </r>
  <r>
    <x v="604"/>
    <x v="12"/>
    <x v="0"/>
    <n v="29"/>
    <x v="0"/>
    <n v="9"/>
    <n v="56505"/>
    <n v="8"/>
    <n v="50"/>
    <n v="1"/>
    <n v="95"/>
    <x v="5"/>
    <x v="0"/>
  </r>
  <r>
    <x v="605"/>
    <x v="8"/>
    <x v="3"/>
    <n v="27"/>
    <x v="1"/>
    <n v="5"/>
    <n v="56535"/>
    <n v="5"/>
    <n v="50"/>
    <n v="4"/>
    <n v="95"/>
    <x v="4"/>
    <x v="0"/>
  </r>
  <r>
    <x v="606"/>
    <x v="8"/>
    <x v="3"/>
    <n v="37"/>
    <x v="0"/>
    <n v="10"/>
    <n v="56540"/>
    <n v="5"/>
    <n v="43"/>
    <n v="3"/>
    <n v="86"/>
    <x v="4"/>
    <x v="1"/>
  </r>
  <r>
    <x v="607"/>
    <x v="5"/>
    <x v="0"/>
    <n v="26"/>
    <x v="0"/>
    <n v="13"/>
    <n v="56603"/>
    <n v="5"/>
    <n v="38"/>
    <n v="3"/>
    <n v="91"/>
    <x v="2"/>
    <x v="0"/>
  </r>
  <r>
    <x v="608"/>
    <x v="17"/>
    <x v="2"/>
    <n v="38"/>
    <x v="0"/>
    <n v="15"/>
    <n v="56625"/>
    <n v="11"/>
    <n v="41"/>
    <n v="4"/>
    <n v="100"/>
    <x v="1"/>
    <x v="0"/>
  </r>
  <r>
    <x v="609"/>
    <x v="10"/>
    <x v="0"/>
    <n v="24"/>
    <x v="1"/>
    <n v="11"/>
    <n v="56689"/>
    <n v="7"/>
    <n v="40"/>
    <n v="2"/>
    <n v="96"/>
    <x v="2"/>
    <x v="0"/>
  </r>
  <r>
    <x v="610"/>
    <x v="1"/>
    <x v="2"/>
    <n v="25"/>
    <x v="0"/>
    <n v="8"/>
    <n v="56769"/>
    <n v="14"/>
    <n v="46"/>
    <n v="4"/>
    <n v="89"/>
    <x v="2"/>
    <x v="1"/>
  </r>
  <r>
    <x v="611"/>
    <x v="6"/>
    <x v="2"/>
    <n v="36"/>
    <x v="1"/>
    <n v="10"/>
    <n v="56872"/>
    <n v="8"/>
    <n v="38"/>
    <n v="2"/>
    <n v="85"/>
    <x v="4"/>
    <x v="1"/>
  </r>
  <r>
    <x v="612"/>
    <x v="6"/>
    <x v="1"/>
    <n v="33"/>
    <x v="0"/>
    <n v="7"/>
    <n v="56888"/>
    <n v="12"/>
    <n v="45"/>
    <n v="5"/>
    <n v="98"/>
    <x v="5"/>
    <x v="0"/>
  </r>
  <r>
    <x v="613"/>
    <x v="2"/>
    <x v="0"/>
    <n v="26"/>
    <x v="1"/>
    <n v="5"/>
    <n v="56972"/>
    <n v="13"/>
    <n v="50"/>
    <n v="2"/>
    <n v="89"/>
    <x v="5"/>
    <x v="1"/>
  </r>
  <r>
    <x v="614"/>
    <x v="10"/>
    <x v="2"/>
    <n v="30"/>
    <x v="0"/>
    <n v="6"/>
    <n v="56977"/>
    <n v="11"/>
    <n v="37"/>
    <n v="3"/>
    <n v="95"/>
    <x v="1"/>
    <x v="0"/>
  </r>
  <r>
    <x v="615"/>
    <x v="17"/>
    <x v="2"/>
    <n v="32"/>
    <x v="1"/>
    <n v="7"/>
    <n v="57164"/>
    <n v="5"/>
    <n v="45"/>
    <n v="1"/>
    <n v="94"/>
    <x v="2"/>
    <x v="0"/>
  </r>
  <r>
    <x v="616"/>
    <x v="12"/>
    <x v="2"/>
    <n v="33"/>
    <x v="1"/>
    <n v="14"/>
    <n v="57267"/>
    <n v="9"/>
    <n v="35"/>
    <n v="5"/>
    <n v="96"/>
    <x v="5"/>
    <x v="0"/>
  </r>
  <r>
    <x v="617"/>
    <x v="13"/>
    <x v="3"/>
    <n v="40"/>
    <x v="0"/>
    <n v="11"/>
    <n v="57298"/>
    <n v="8"/>
    <n v="36"/>
    <n v="3"/>
    <n v="85"/>
    <x v="0"/>
    <x v="1"/>
  </r>
  <r>
    <x v="618"/>
    <x v="1"/>
    <x v="1"/>
    <n v="24"/>
    <x v="1"/>
    <n v="10"/>
    <n v="57445"/>
    <n v="13"/>
    <n v="39"/>
    <n v="5"/>
    <n v="95"/>
    <x v="5"/>
    <x v="0"/>
  </r>
  <r>
    <x v="619"/>
    <x v="11"/>
    <x v="0"/>
    <n v="22"/>
    <x v="0"/>
    <n v="8"/>
    <n v="57478"/>
    <n v="7"/>
    <n v="45"/>
    <n v="4"/>
    <n v="88"/>
    <x v="0"/>
    <x v="1"/>
  </r>
  <r>
    <x v="620"/>
    <x v="14"/>
    <x v="1"/>
    <n v="36"/>
    <x v="0"/>
    <n v="8"/>
    <n v="57510"/>
    <n v="8"/>
    <n v="40"/>
    <n v="4"/>
    <n v="97"/>
    <x v="1"/>
    <x v="0"/>
  </r>
  <r>
    <x v="621"/>
    <x v="3"/>
    <x v="2"/>
    <n v="35"/>
    <x v="1"/>
    <n v="10"/>
    <n v="57547"/>
    <n v="8"/>
    <n v="37"/>
    <n v="5"/>
    <n v="97"/>
    <x v="4"/>
    <x v="0"/>
  </r>
  <r>
    <x v="622"/>
    <x v="6"/>
    <x v="2"/>
    <n v="36"/>
    <x v="0"/>
    <n v="15"/>
    <n v="57642"/>
    <n v="13"/>
    <n v="47"/>
    <n v="5"/>
    <n v="93"/>
    <x v="1"/>
    <x v="0"/>
  </r>
  <r>
    <x v="623"/>
    <x v="2"/>
    <x v="2"/>
    <n v="26"/>
    <x v="1"/>
    <n v="11"/>
    <n v="57734"/>
    <n v="5"/>
    <n v="49"/>
    <n v="3"/>
    <n v="90"/>
    <x v="2"/>
    <x v="0"/>
  </r>
  <r>
    <x v="624"/>
    <x v="2"/>
    <x v="2"/>
    <n v="22"/>
    <x v="0"/>
    <n v="6"/>
    <n v="57781"/>
    <n v="11"/>
    <n v="48"/>
    <n v="5"/>
    <n v="99"/>
    <x v="2"/>
    <x v="0"/>
  </r>
  <r>
    <x v="625"/>
    <x v="19"/>
    <x v="3"/>
    <n v="28"/>
    <x v="0"/>
    <n v="13"/>
    <n v="57958"/>
    <n v="5"/>
    <n v="45"/>
    <n v="4"/>
    <n v="94"/>
    <x v="3"/>
    <x v="0"/>
  </r>
  <r>
    <x v="626"/>
    <x v="1"/>
    <x v="3"/>
    <n v="27"/>
    <x v="1"/>
    <n v="11"/>
    <n v="57960"/>
    <n v="13"/>
    <n v="39"/>
    <n v="1"/>
    <n v="95"/>
    <x v="4"/>
    <x v="0"/>
  </r>
  <r>
    <x v="627"/>
    <x v="4"/>
    <x v="0"/>
    <n v="26"/>
    <x v="0"/>
    <n v="2"/>
    <n v="50872"/>
    <n v="15"/>
    <n v="43"/>
    <n v="2"/>
    <n v="98"/>
    <x v="1"/>
    <x v="0"/>
  </r>
  <r>
    <x v="628"/>
    <x v="15"/>
    <x v="3"/>
    <n v="23"/>
    <x v="0"/>
    <n v="2"/>
    <n v="73954"/>
    <n v="9"/>
    <n v="41"/>
    <n v="3"/>
    <n v="100"/>
    <x v="4"/>
    <x v="0"/>
  </r>
  <r>
    <x v="629"/>
    <x v="7"/>
    <x v="2"/>
    <n v="40"/>
    <x v="0"/>
    <n v="10"/>
    <n v="57993"/>
    <n v="13"/>
    <n v="50"/>
    <n v="4"/>
    <n v="96"/>
    <x v="1"/>
    <x v="0"/>
  </r>
  <r>
    <x v="630"/>
    <x v="3"/>
    <x v="2"/>
    <n v="37"/>
    <x v="1"/>
    <n v="9"/>
    <n v="58112"/>
    <n v="14"/>
    <n v="45"/>
    <n v="1"/>
    <n v="90"/>
    <x v="0"/>
    <x v="0"/>
  </r>
  <r>
    <x v="631"/>
    <x v="15"/>
    <x v="2"/>
    <n v="24"/>
    <x v="0"/>
    <n v="10"/>
    <n v="58118"/>
    <n v="11"/>
    <n v="48"/>
    <n v="2"/>
    <n v="89"/>
    <x v="4"/>
    <x v="1"/>
  </r>
  <r>
    <x v="632"/>
    <x v="8"/>
    <x v="0"/>
    <n v="40"/>
    <x v="0"/>
    <n v="9"/>
    <n v="58225"/>
    <n v="3"/>
    <n v="47"/>
    <n v="2"/>
    <n v="88"/>
    <x v="4"/>
    <x v="1"/>
  </r>
  <r>
    <x v="633"/>
    <x v="5"/>
    <x v="2"/>
    <n v="33"/>
    <x v="1"/>
    <n v="13"/>
    <n v="58452"/>
    <n v="5"/>
    <n v="49"/>
    <n v="1"/>
    <n v="90"/>
    <x v="1"/>
    <x v="0"/>
  </r>
  <r>
    <x v="634"/>
    <x v="17"/>
    <x v="2"/>
    <n v="25"/>
    <x v="0"/>
    <n v="11"/>
    <n v="58690"/>
    <n v="5"/>
    <n v="48"/>
    <n v="4"/>
    <n v="92"/>
    <x v="5"/>
    <x v="0"/>
  </r>
  <r>
    <x v="635"/>
    <x v="19"/>
    <x v="3"/>
    <n v="32"/>
    <x v="1"/>
    <n v="6"/>
    <n v="58694"/>
    <n v="13"/>
    <n v="48"/>
    <n v="3"/>
    <n v="98"/>
    <x v="2"/>
    <x v="0"/>
  </r>
  <r>
    <x v="636"/>
    <x v="3"/>
    <x v="3"/>
    <n v="32"/>
    <x v="0"/>
    <n v="13"/>
    <n v="58740"/>
    <n v="7"/>
    <n v="44"/>
    <n v="2"/>
    <n v="95"/>
    <x v="3"/>
    <x v="0"/>
  </r>
  <r>
    <x v="637"/>
    <x v="13"/>
    <x v="3"/>
    <n v="28"/>
    <x v="0"/>
    <n v="6"/>
    <n v="58872"/>
    <n v="13"/>
    <n v="37"/>
    <n v="3"/>
    <n v="99"/>
    <x v="5"/>
    <x v="0"/>
  </r>
  <r>
    <x v="638"/>
    <x v="10"/>
    <x v="3"/>
    <n v="28"/>
    <x v="1"/>
    <n v="12"/>
    <n v="58874"/>
    <n v="13"/>
    <n v="47"/>
    <n v="2"/>
    <n v="99"/>
    <x v="0"/>
    <x v="0"/>
  </r>
  <r>
    <x v="639"/>
    <x v="12"/>
    <x v="3"/>
    <n v="23"/>
    <x v="1"/>
    <n v="15"/>
    <n v="58893"/>
    <n v="8"/>
    <n v="37"/>
    <n v="2"/>
    <n v="90"/>
    <x v="1"/>
    <x v="0"/>
  </r>
  <r>
    <x v="640"/>
    <x v="18"/>
    <x v="3"/>
    <n v="26"/>
    <x v="1"/>
    <n v="11"/>
    <n v="58930"/>
    <n v="5"/>
    <n v="44"/>
    <n v="2"/>
    <n v="92"/>
    <x v="2"/>
    <x v="0"/>
  </r>
  <r>
    <x v="641"/>
    <x v="7"/>
    <x v="0"/>
    <n v="39"/>
    <x v="0"/>
    <n v="6"/>
    <n v="58953"/>
    <n v="5"/>
    <n v="43"/>
    <n v="2"/>
    <n v="97"/>
    <x v="3"/>
    <x v="0"/>
  </r>
  <r>
    <x v="642"/>
    <x v="3"/>
    <x v="3"/>
    <n v="34"/>
    <x v="1"/>
    <n v="6"/>
    <n v="58956"/>
    <n v="3"/>
    <n v="49"/>
    <n v="4"/>
    <n v="91"/>
    <x v="3"/>
    <x v="0"/>
  </r>
  <r>
    <x v="643"/>
    <x v="6"/>
    <x v="0"/>
    <n v="39"/>
    <x v="1"/>
    <n v="15"/>
    <n v="59000"/>
    <n v="12"/>
    <n v="37"/>
    <n v="5"/>
    <n v="97"/>
    <x v="3"/>
    <x v="0"/>
  </r>
  <r>
    <x v="644"/>
    <x v="19"/>
    <x v="1"/>
    <n v="37"/>
    <x v="1"/>
    <n v="13"/>
    <n v="59079"/>
    <n v="15"/>
    <n v="45"/>
    <n v="5"/>
    <n v="92"/>
    <x v="0"/>
    <x v="0"/>
  </r>
  <r>
    <x v="645"/>
    <x v="0"/>
    <x v="2"/>
    <n v="23"/>
    <x v="1"/>
    <n v="4"/>
    <n v="25075"/>
    <n v="10"/>
    <n v="37"/>
    <n v="3"/>
    <n v="96"/>
    <x v="5"/>
    <x v="0"/>
  </r>
  <r>
    <x v="646"/>
    <x v="10"/>
    <x v="2"/>
    <n v="27"/>
    <x v="1"/>
    <n v="2"/>
    <n v="31057"/>
    <n v="3"/>
    <n v="44"/>
    <n v="2"/>
    <n v="96"/>
    <x v="4"/>
    <x v="0"/>
  </r>
  <r>
    <x v="647"/>
    <x v="2"/>
    <x v="1"/>
    <n v="27"/>
    <x v="0"/>
    <n v="13"/>
    <n v="59222"/>
    <n v="7"/>
    <n v="47"/>
    <n v="3"/>
    <n v="88"/>
    <x v="5"/>
    <x v="1"/>
  </r>
  <r>
    <x v="648"/>
    <x v="10"/>
    <x v="0"/>
    <n v="25"/>
    <x v="1"/>
    <n v="4"/>
    <n v="61121"/>
    <n v="10"/>
    <n v="46"/>
    <n v="5"/>
    <n v="85"/>
    <x v="5"/>
    <x v="1"/>
  </r>
  <r>
    <x v="649"/>
    <x v="16"/>
    <x v="0"/>
    <n v="39"/>
    <x v="0"/>
    <n v="4"/>
    <n v="67849"/>
    <n v="6"/>
    <n v="50"/>
    <n v="4"/>
    <n v="90"/>
    <x v="1"/>
    <x v="0"/>
  </r>
  <r>
    <x v="650"/>
    <x v="0"/>
    <x v="3"/>
    <n v="34"/>
    <x v="1"/>
    <n v="5"/>
    <n v="59266"/>
    <n v="15"/>
    <n v="45"/>
    <n v="5"/>
    <n v="93"/>
    <x v="3"/>
    <x v="0"/>
  </r>
  <r>
    <x v="651"/>
    <x v="11"/>
    <x v="1"/>
    <n v="25"/>
    <x v="1"/>
    <n v="14"/>
    <n v="59355"/>
    <n v="12"/>
    <n v="36"/>
    <n v="1"/>
    <n v="97"/>
    <x v="4"/>
    <x v="0"/>
  </r>
  <r>
    <x v="652"/>
    <x v="4"/>
    <x v="0"/>
    <n v="28"/>
    <x v="0"/>
    <n v="11"/>
    <n v="59465"/>
    <n v="7"/>
    <n v="42"/>
    <n v="1"/>
    <n v="100"/>
    <x v="1"/>
    <x v="0"/>
  </r>
  <r>
    <x v="653"/>
    <x v="4"/>
    <x v="0"/>
    <n v="26"/>
    <x v="1"/>
    <n v="12"/>
    <n v="59495"/>
    <n v="13"/>
    <n v="46"/>
    <n v="5"/>
    <n v="98"/>
    <x v="2"/>
    <x v="0"/>
  </r>
  <r>
    <x v="654"/>
    <x v="16"/>
    <x v="2"/>
    <n v="34"/>
    <x v="1"/>
    <n v="8"/>
    <n v="59582"/>
    <n v="13"/>
    <n v="37"/>
    <n v="5"/>
    <n v="99"/>
    <x v="4"/>
    <x v="0"/>
  </r>
  <r>
    <x v="655"/>
    <x v="0"/>
    <x v="3"/>
    <n v="38"/>
    <x v="1"/>
    <n v="10"/>
    <n v="59673"/>
    <n v="9"/>
    <n v="42"/>
    <n v="5"/>
    <n v="95"/>
    <x v="0"/>
    <x v="0"/>
  </r>
  <r>
    <x v="656"/>
    <x v="7"/>
    <x v="3"/>
    <n v="36"/>
    <x v="1"/>
    <n v="9"/>
    <n v="59729"/>
    <n v="3"/>
    <n v="41"/>
    <n v="3"/>
    <n v="86"/>
    <x v="0"/>
    <x v="1"/>
  </r>
  <r>
    <x v="657"/>
    <x v="4"/>
    <x v="1"/>
    <n v="33"/>
    <x v="1"/>
    <n v="11"/>
    <n v="59755"/>
    <n v="3"/>
    <n v="40"/>
    <n v="5"/>
    <n v="92"/>
    <x v="0"/>
    <x v="0"/>
  </r>
  <r>
    <x v="658"/>
    <x v="18"/>
    <x v="3"/>
    <n v="27"/>
    <x v="1"/>
    <n v="7"/>
    <n v="59942"/>
    <n v="13"/>
    <n v="39"/>
    <n v="2"/>
    <n v="90"/>
    <x v="1"/>
    <x v="0"/>
  </r>
  <r>
    <x v="659"/>
    <x v="14"/>
    <x v="3"/>
    <n v="28"/>
    <x v="1"/>
    <n v="5"/>
    <n v="60090"/>
    <n v="13"/>
    <n v="44"/>
    <n v="5"/>
    <n v="93"/>
    <x v="0"/>
    <x v="0"/>
  </r>
  <r>
    <x v="660"/>
    <x v="17"/>
    <x v="2"/>
    <n v="33"/>
    <x v="0"/>
    <n v="2"/>
    <n v="53672"/>
    <n v="13"/>
    <n v="37"/>
    <n v="3"/>
    <n v="87"/>
    <x v="5"/>
    <x v="1"/>
  </r>
  <r>
    <x v="661"/>
    <x v="11"/>
    <x v="2"/>
    <n v="36"/>
    <x v="1"/>
    <n v="2"/>
    <n v="65925"/>
    <n v="12"/>
    <n v="46"/>
    <n v="4"/>
    <n v="92"/>
    <x v="3"/>
    <x v="0"/>
  </r>
  <r>
    <x v="662"/>
    <x v="14"/>
    <x v="0"/>
    <n v="40"/>
    <x v="1"/>
    <n v="15"/>
    <n v="60169"/>
    <n v="10"/>
    <n v="38"/>
    <n v="3"/>
    <n v="89"/>
    <x v="4"/>
    <x v="1"/>
  </r>
  <r>
    <x v="663"/>
    <x v="13"/>
    <x v="3"/>
    <n v="39"/>
    <x v="0"/>
    <n v="6"/>
    <n v="60185"/>
    <n v="15"/>
    <n v="42"/>
    <n v="3"/>
    <n v="86"/>
    <x v="2"/>
    <x v="1"/>
  </r>
  <r>
    <x v="664"/>
    <x v="12"/>
    <x v="2"/>
    <n v="30"/>
    <x v="1"/>
    <n v="15"/>
    <n v="60197"/>
    <n v="9"/>
    <n v="42"/>
    <n v="5"/>
    <n v="96"/>
    <x v="5"/>
    <x v="0"/>
  </r>
  <r>
    <x v="665"/>
    <x v="14"/>
    <x v="3"/>
    <n v="27"/>
    <x v="1"/>
    <n v="13"/>
    <n v="60204"/>
    <n v="15"/>
    <n v="43"/>
    <n v="1"/>
    <n v="91"/>
    <x v="2"/>
    <x v="0"/>
  </r>
  <r>
    <x v="666"/>
    <x v="11"/>
    <x v="0"/>
    <n v="26"/>
    <x v="0"/>
    <n v="13"/>
    <n v="60238"/>
    <n v="15"/>
    <n v="43"/>
    <n v="3"/>
    <n v="94"/>
    <x v="1"/>
    <x v="0"/>
  </r>
  <r>
    <x v="667"/>
    <x v="18"/>
    <x v="1"/>
    <n v="26"/>
    <x v="1"/>
    <n v="5"/>
    <n v="60301"/>
    <n v="12"/>
    <n v="36"/>
    <n v="5"/>
    <n v="94"/>
    <x v="4"/>
    <x v="0"/>
  </r>
  <r>
    <x v="668"/>
    <x v="4"/>
    <x v="3"/>
    <n v="28"/>
    <x v="1"/>
    <n v="12"/>
    <n v="60304"/>
    <n v="15"/>
    <n v="46"/>
    <n v="2"/>
    <n v="97"/>
    <x v="3"/>
    <x v="0"/>
  </r>
  <r>
    <x v="669"/>
    <x v="9"/>
    <x v="3"/>
    <n v="27"/>
    <x v="1"/>
    <n v="12"/>
    <n v="60342"/>
    <n v="8"/>
    <n v="50"/>
    <n v="4"/>
    <n v="95"/>
    <x v="2"/>
    <x v="0"/>
  </r>
  <r>
    <x v="670"/>
    <x v="13"/>
    <x v="0"/>
    <n v="24"/>
    <x v="0"/>
    <n v="7"/>
    <n v="60513"/>
    <n v="8"/>
    <n v="41"/>
    <n v="1"/>
    <n v="91"/>
    <x v="1"/>
    <x v="0"/>
  </r>
  <r>
    <x v="671"/>
    <x v="17"/>
    <x v="0"/>
    <n v="22"/>
    <x v="1"/>
    <n v="14"/>
    <n v="60700"/>
    <n v="9"/>
    <n v="36"/>
    <n v="3"/>
    <n v="99"/>
    <x v="1"/>
    <x v="0"/>
  </r>
  <r>
    <x v="672"/>
    <x v="10"/>
    <x v="3"/>
    <n v="22"/>
    <x v="1"/>
    <n v="15"/>
    <n v="60768"/>
    <n v="3"/>
    <n v="41"/>
    <n v="4"/>
    <n v="92"/>
    <x v="3"/>
    <x v="0"/>
  </r>
  <r>
    <x v="673"/>
    <x v="18"/>
    <x v="3"/>
    <n v="33"/>
    <x v="1"/>
    <n v="3"/>
    <n v="63638"/>
    <n v="13"/>
    <n v="39"/>
    <n v="2"/>
    <n v="93"/>
    <x v="3"/>
    <x v="0"/>
  </r>
  <r>
    <x v="674"/>
    <x v="16"/>
    <x v="2"/>
    <n v="33"/>
    <x v="0"/>
    <n v="9"/>
    <n v="60842"/>
    <n v="5"/>
    <n v="36"/>
    <n v="2"/>
    <n v="87"/>
    <x v="0"/>
    <x v="1"/>
  </r>
  <r>
    <x v="675"/>
    <x v="4"/>
    <x v="2"/>
    <n v="34"/>
    <x v="0"/>
    <n v="1"/>
    <n v="79818"/>
    <n v="6"/>
    <n v="42"/>
    <n v="5"/>
    <n v="92"/>
    <x v="4"/>
    <x v="0"/>
  </r>
  <r>
    <x v="676"/>
    <x v="17"/>
    <x v="0"/>
    <n v="28"/>
    <x v="1"/>
    <n v="4"/>
    <n v="58269"/>
    <n v="12"/>
    <n v="36"/>
    <n v="1"/>
    <n v="88"/>
    <x v="0"/>
    <x v="1"/>
  </r>
  <r>
    <x v="677"/>
    <x v="8"/>
    <x v="3"/>
    <n v="22"/>
    <x v="1"/>
    <n v="14"/>
    <n v="60946"/>
    <n v="9"/>
    <n v="45"/>
    <n v="5"/>
    <n v="93"/>
    <x v="3"/>
    <x v="0"/>
  </r>
  <r>
    <x v="678"/>
    <x v="3"/>
    <x v="0"/>
    <n v="31"/>
    <x v="1"/>
    <n v="9"/>
    <n v="60967"/>
    <n v="9"/>
    <n v="50"/>
    <n v="5"/>
    <n v="100"/>
    <x v="4"/>
    <x v="0"/>
  </r>
  <r>
    <x v="679"/>
    <x v="17"/>
    <x v="3"/>
    <n v="23"/>
    <x v="0"/>
    <n v="12"/>
    <n v="61225"/>
    <n v="13"/>
    <n v="38"/>
    <n v="5"/>
    <n v="86"/>
    <x v="2"/>
    <x v="1"/>
  </r>
  <r>
    <x v="680"/>
    <x v="1"/>
    <x v="3"/>
    <n v="33"/>
    <x v="0"/>
    <n v="1"/>
    <n v="60040"/>
    <n v="6"/>
    <n v="42"/>
    <n v="5"/>
    <n v="98"/>
    <x v="1"/>
    <x v="0"/>
  </r>
  <r>
    <x v="681"/>
    <x v="12"/>
    <x v="3"/>
    <n v="29"/>
    <x v="0"/>
    <n v="1"/>
    <n v="38611"/>
    <n v="5"/>
    <n v="45"/>
    <n v="5"/>
    <n v="86"/>
    <x v="3"/>
    <x v="1"/>
  </r>
  <r>
    <x v="682"/>
    <x v="7"/>
    <x v="2"/>
    <n v="32"/>
    <x v="0"/>
    <n v="4"/>
    <n v="52321"/>
    <n v="8"/>
    <n v="46"/>
    <n v="4"/>
    <n v="92"/>
    <x v="0"/>
    <x v="0"/>
  </r>
  <r>
    <x v="683"/>
    <x v="7"/>
    <x v="3"/>
    <n v="39"/>
    <x v="1"/>
    <n v="1"/>
    <n v="47902"/>
    <n v="10"/>
    <n v="38"/>
    <n v="1"/>
    <n v="97"/>
    <x v="0"/>
    <x v="0"/>
  </r>
  <r>
    <x v="684"/>
    <x v="10"/>
    <x v="1"/>
    <n v="31"/>
    <x v="0"/>
    <n v="4"/>
    <n v="58909"/>
    <n v="10"/>
    <n v="40"/>
    <n v="4"/>
    <n v="89"/>
    <x v="2"/>
    <x v="1"/>
  </r>
  <r>
    <x v="685"/>
    <x v="9"/>
    <x v="0"/>
    <n v="35"/>
    <x v="0"/>
    <n v="11"/>
    <n v="61411"/>
    <n v="6"/>
    <n v="44"/>
    <n v="4"/>
    <n v="92"/>
    <x v="1"/>
    <x v="0"/>
  </r>
  <r>
    <x v="686"/>
    <x v="13"/>
    <x v="3"/>
    <n v="25"/>
    <x v="0"/>
    <n v="10"/>
    <n v="61488"/>
    <n v="11"/>
    <n v="44"/>
    <n v="1"/>
    <n v="99"/>
    <x v="4"/>
    <x v="0"/>
  </r>
  <r>
    <x v="687"/>
    <x v="0"/>
    <x v="2"/>
    <n v="27"/>
    <x v="1"/>
    <n v="9"/>
    <n v="61493"/>
    <n v="4"/>
    <n v="40"/>
    <n v="4"/>
    <n v="85"/>
    <x v="1"/>
    <x v="1"/>
  </r>
  <r>
    <x v="688"/>
    <x v="1"/>
    <x v="2"/>
    <n v="22"/>
    <x v="1"/>
    <n v="2"/>
    <n v="36546"/>
    <n v="11"/>
    <n v="41"/>
    <n v="5"/>
    <n v="96"/>
    <x v="3"/>
    <x v="0"/>
  </r>
  <r>
    <x v="689"/>
    <x v="1"/>
    <x v="0"/>
    <n v="29"/>
    <x v="0"/>
    <n v="2"/>
    <n v="33668"/>
    <n v="10"/>
    <n v="38"/>
    <n v="4"/>
    <n v="85"/>
    <x v="2"/>
    <x v="1"/>
  </r>
  <r>
    <x v="690"/>
    <x v="9"/>
    <x v="1"/>
    <n v="37"/>
    <x v="1"/>
    <n v="7"/>
    <n v="61685"/>
    <n v="6"/>
    <n v="49"/>
    <n v="3"/>
    <n v="86"/>
    <x v="0"/>
    <x v="1"/>
  </r>
  <r>
    <x v="691"/>
    <x v="11"/>
    <x v="1"/>
    <n v="23"/>
    <x v="1"/>
    <n v="14"/>
    <n v="61777"/>
    <n v="13"/>
    <n v="44"/>
    <n v="4"/>
    <n v="86"/>
    <x v="4"/>
    <x v="1"/>
  </r>
  <r>
    <x v="692"/>
    <x v="15"/>
    <x v="2"/>
    <n v="27"/>
    <x v="0"/>
    <n v="5"/>
    <n v="61779"/>
    <n v="6"/>
    <n v="42"/>
    <n v="2"/>
    <n v="93"/>
    <x v="1"/>
    <x v="0"/>
  </r>
  <r>
    <x v="693"/>
    <x v="5"/>
    <x v="3"/>
    <n v="38"/>
    <x v="1"/>
    <n v="1"/>
    <n v="63566"/>
    <n v="15"/>
    <n v="47"/>
    <n v="3"/>
    <n v="94"/>
    <x v="4"/>
    <x v="0"/>
  </r>
  <r>
    <x v="694"/>
    <x v="3"/>
    <x v="0"/>
    <n v="23"/>
    <x v="0"/>
    <n v="1"/>
    <n v="54295"/>
    <n v="10"/>
    <n v="41"/>
    <n v="4"/>
    <n v="94"/>
    <x v="0"/>
    <x v="0"/>
  </r>
  <r>
    <x v="695"/>
    <x v="16"/>
    <x v="3"/>
    <n v="29"/>
    <x v="0"/>
    <n v="15"/>
    <n v="61847"/>
    <n v="7"/>
    <n v="37"/>
    <n v="1"/>
    <n v="88"/>
    <x v="3"/>
    <x v="1"/>
  </r>
  <r>
    <x v="696"/>
    <x v="8"/>
    <x v="2"/>
    <n v="36"/>
    <x v="0"/>
    <n v="11"/>
    <n v="61878"/>
    <n v="9"/>
    <n v="42"/>
    <n v="1"/>
    <n v="97"/>
    <x v="1"/>
    <x v="0"/>
  </r>
  <r>
    <x v="697"/>
    <x v="12"/>
    <x v="0"/>
    <n v="23"/>
    <x v="1"/>
    <n v="8"/>
    <n v="61982"/>
    <n v="3"/>
    <n v="42"/>
    <n v="1"/>
    <n v="85"/>
    <x v="0"/>
    <x v="1"/>
  </r>
  <r>
    <x v="698"/>
    <x v="14"/>
    <x v="1"/>
    <n v="39"/>
    <x v="0"/>
    <n v="11"/>
    <n v="62072"/>
    <n v="7"/>
    <n v="42"/>
    <n v="3"/>
    <n v="90"/>
    <x v="1"/>
    <x v="0"/>
  </r>
  <r>
    <x v="699"/>
    <x v="2"/>
    <x v="0"/>
    <n v="40"/>
    <x v="1"/>
    <n v="8"/>
    <n v="62083"/>
    <n v="7"/>
    <n v="43"/>
    <n v="2"/>
    <n v="97"/>
    <x v="0"/>
    <x v="0"/>
  </r>
  <r>
    <x v="700"/>
    <x v="14"/>
    <x v="2"/>
    <n v="36"/>
    <x v="1"/>
    <n v="10"/>
    <n v="62179"/>
    <n v="6"/>
    <n v="44"/>
    <n v="5"/>
    <n v="90"/>
    <x v="4"/>
    <x v="0"/>
  </r>
  <r>
    <x v="701"/>
    <x v="16"/>
    <x v="1"/>
    <n v="34"/>
    <x v="1"/>
    <n v="8"/>
    <n v="62224"/>
    <n v="6"/>
    <n v="44"/>
    <n v="1"/>
    <n v="87"/>
    <x v="0"/>
    <x v="1"/>
  </r>
  <r>
    <x v="702"/>
    <x v="9"/>
    <x v="1"/>
    <n v="31"/>
    <x v="1"/>
    <n v="3"/>
    <n v="36106"/>
    <n v="9"/>
    <n v="38"/>
    <n v="2"/>
    <n v="87"/>
    <x v="5"/>
    <x v="1"/>
  </r>
  <r>
    <x v="703"/>
    <x v="11"/>
    <x v="3"/>
    <n v="33"/>
    <x v="1"/>
    <n v="8"/>
    <n v="62295"/>
    <n v="4"/>
    <n v="38"/>
    <n v="5"/>
    <n v="94"/>
    <x v="4"/>
    <x v="0"/>
  </r>
  <r>
    <x v="704"/>
    <x v="14"/>
    <x v="1"/>
    <n v="32"/>
    <x v="1"/>
    <n v="14"/>
    <n v="62346"/>
    <n v="12"/>
    <n v="40"/>
    <n v="2"/>
    <n v="97"/>
    <x v="5"/>
    <x v="0"/>
  </r>
  <r>
    <x v="705"/>
    <x v="4"/>
    <x v="2"/>
    <n v="34"/>
    <x v="1"/>
    <n v="15"/>
    <n v="62356"/>
    <n v="5"/>
    <n v="46"/>
    <n v="2"/>
    <n v="97"/>
    <x v="2"/>
    <x v="0"/>
  </r>
  <r>
    <x v="706"/>
    <x v="0"/>
    <x v="1"/>
    <n v="39"/>
    <x v="1"/>
    <n v="7"/>
    <n v="62373"/>
    <n v="15"/>
    <n v="49"/>
    <n v="5"/>
    <n v="100"/>
    <x v="1"/>
    <x v="0"/>
  </r>
  <r>
    <x v="707"/>
    <x v="19"/>
    <x v="2"/>
    <n v="31"/>
    <x v="1"/>
    <n v="5"/>
    <n v="62380"/>
    <n v="4"/>
    <n v="35"/>
    <n v="2"/>
    <n v="89"/>
    <x v="4"/>
    <x v="1"/>
  </r>
  <r>
    <x v="708"/>
    <x v="14"/>
    <x v="2"/>
    <n v="34"/>
    <x v="1"/>
    <n v="6"/>
    <n v="62532"/>
    <n v="13"/>
    <n v="50"/>
    <n v="3"/>
    <n v="86"/>
    <x v="5"/>
    <x v="1"/>
  </r>
  <r>
    <x v="709"/>
    <x v="15"/>
    <x v="2"/>
    <n v="36"/>
    <x v="0"/>
    <n v="6"/>
    <n v="62694"/>
    <n v="7"/>
    <n v="39"/>
    <n v="2"/>
    <n v="93"/>
    <x v="4"/>
    <x v="0"/>
  </r>
  <r>
    <x v="710"/>
    <x v="0"/>
    <x v="1"/>
    <n v="39"/>
    <x v="0"/>
    <n v="1"/>
    <n v="64229"/>
    <n v="14"/>
    <n v="48"/>
    <n v="4"/>
    <n v="100"/>
    <x v="0"/>
    <x v="0"/>
  </r>
  <r>
    <x v="711"/>
    <x v="13"/>
    <x v="0"/>
    <n v="32"/>
    <x v="1"/>
    <n v="8"/>
    <n v="62704"/>
    <n v="10"/>
    <n v="45"/>
    <n v="3"/>
    <n v="85"/>
    <x v="0"/>
    <x v="1"/>
  </r>
  <r>
    <x v="712"/>
    <x v="12"/>
    <x v="2"/>
    <n v="33"/>
    <x v="0"/>
    <n v="11"/>
    <n v="62892"/>
    <n v="4"/>
    <n v="47"/>
    <n v="4"/>
    <n v="85"/>
    <x v="1"/>
    <x v="1"/>
  </r>
  <r>
    <x v="713"/>
    <x v="5"/>
    <x v="0"/>
    <n v="34"/>
    <x v="0"/>
    <n v="13"/>
    <n v="63016"/>
    <n v="13"/>
    <n v="46"/>
    <n v="4"/>
    <n v="93"/>
    <x v="4"/>
    <x v="0"/>
  </r>
  <r>
    <x v="714"/>
    <x v="12"/>
    <x v="0"/>
    <n v="25"/>
    <x v="0"/>
    <n v="5"/>
    <n v="63107"/>
    <n v="7"/>
    <n v="44"/>
    <n v="3"/>
    <n v="85"/>
    <x v="1"/>
    <x v="1"/>
  </r>
  <r>
    <x v="715"/>
    <x v="11"/>
    <x v="1"/>
    <n v="36"/>
    <x v="0"/>
    <n v="3"/>
    <n v="46803"/>
    <n v="3"/>
    <n v="44"/>
    <n v="1"/>
    <n v="85"/>
    <x v="2"/>
    <x v="1"/>
  </r>
  <r>
    <x v="716"/>
    <x v="3"/>
    <x v="2"/>
    <n v="33"/>
    <x v="0"/>
    <n v="3"/>
    <n v="30382"/>
    <n v="11"/>
    <n v="45"/>
    <n v="1"/>
    <n v="88"/>
    <x v="1"/>
    <x v="1"/>
  </r>
  <r>
    <x v="717"/>
    <x v="6"/>
    <x v="3"/>
    <n v="33"/>
    <x v="1"/>
    <n v="5"/>
    <n v="63111"/>
    <n v="12"/>
    <n v="49"/>
    <n v="1"/>
    <n v="95"/>
    <x v="2"/>
    <x v="0"/>
  </r>
  <r>
    <x v="718"/>
    <x v="8"/>
    <x v="1"/>
    <n v="36"/>
    <x v="0"/>
    <n v="15"/>
    <n v="63136"/>
    <n v="8"/>
    <n v="37"/>
    <n v="4"/>
    <n v="92"/>
    <x v="0"/>
    <x v="0"/>
  </r>
  <r>
    <x v="719"/>
    <x v="5"/>
    <x v="0"/>
    <n v="35"/>
    <x v="1"/>
    <n v="13"/>
    <n v="63153"/>
    <n v="5"/>
    <n v="46"/>
    <n v="3"/>
    <n v="91"/>
    <x v="4"/>
    <x v="0"/>
  </r>
  <r>
    <x v="720"/>
    <x v="2"/>
    <x v="1"/>
    <n v="26"/>
    <x v="0"/>
    <n v="10"/>
    <n v="63222"/>
    <n v="7"/>
    <n v="47"/>
    <n v="2"/>
    <n v="87"/>
    <x v="5"/>
    <x v="1"/>
  </r>
  <r>
    <x v="721"/>
    <x v="15"/>
    <x v="1"/>
    <n v="24"/>
    <x v="0"/>
    <n v="9"/>
    <n v="63268"/>
    <n v="9"/>
    <n v="37"/>
    <n v="5"/>
    <n v="95"/>
    <x v="0"/>
    <x v="0"/>
  </r>
  <r>
    <x v="722"/>
    <x v="10"/>
    <x v="0"/>
    <n v="29"/>
    <x v="0"/>
    <n v="5"/>
    <n v="63398"/>
    <n v="10"/>
    <n v="37"/>
    <n v="3"/>
    <n v="87"/>
    <x v="0"/>
    <x v="1"/>
  </r>
  <r>
    <x v="723"/>
    <x v="2"/>
    <x v="1"/>
    <n v="32"/>
    <x v="1"/>
    <n v="11"/>
    <n v="63673"/>
    <n v="5"/>
    <n v="42"/>
    <n v="1"/>
    <n v="87"/>
    <x v="3"/>
    <x v="1"/>
  </r>
  <r>
    <x v="724"/>
    <x v="1"/>
    <x v="2"/>
    <n v="38"/>
    <x v="1"/>
    <n v="12"/>
    <n v="63711"/>
    <n v="15"/>
    <n v="50"/>
    <n v="3"/>
    <n v="94"/>
    <x v="1"/>
    <x v="0"/>
  </r>
  <r>
    <x v="725"/>
    <x v="5"/>
    <x v="2"/>
    <n v="39"/>
    <x v="1"/>
    <n v="4"/>
    <n v="76635"/>
    <n v="12"/>
    <n v="35"/>
    <n v="3"/>
    <n v="87"/>
    <x v="1"/>
    <x v="1"/>
  </r>
  <r>
    <x v="726"/>
    <x v="17"/>
    <x v="2"/>
    <n v="26"/>
    <x v="1"/>
    <n v="7"/>
    <n v="63858"/>
    <n v="6"/>
    <n v="50"/>
    <n v="5"/>
    <n v="92"/>
    <x v="3"/>
    <x v="0"/>
  </r>
  <r>
    <x v="727"/>
    <x v="11"/>
    <x v="0"/>
    <n v="40"/>
    <x v="1"/>
    <n v="1"/>
    <n v="31414"/>
    <n v="6"/>
    <n v="44"/>
    <n v="4"/>
    <n v="100"/>
    <x v="5"/>
    <x v="0"/>
  </r>
  <r>
    <x v="728"/>
    <x v="1"/>
    <x v="3"/>
    <n v="39"/>
    <x v="1"/>
    <n v="12"/>
    <n v="63943"/>
    <n v="15"/>
    <n v="48"/>
    <n v="4"/>
    <n v="95"/>
    <x v="0"/>
    <x v="0"/>
  </r>
  <r>
    <x v="729"/>
    <x v="9"/>
    <x v="1"/>
    <n v="37"/>
    <x v="0"/>
    <n v="7"/>
    <n v="64028"/>
    <n v="8"/>
    <n v="50"/>
    <n v="5"/>
    <n v="90"/>
    <x v="3"/>
    <x v="0"/>
  </r>
  <r>
    <x v="730"/>
    <x v="7"/>
    <x v="0"/>
    <n v="28"/>
    <x v="0"/>
    <n v="13"/>
    <n v="64041"/>
    <n v="12"/>
    <n v="48"/>
    <n v="3"/>
    <n v="96"/>
    <x v="2"/>
    <x v="0"/>
  </r>
  <r>
    <x v="731"/>
    <x v="17"/>
    <x v="0"/>
    <n v="40"/>
    <x v="0"/>
    <n v="8"/>
    <n v="64048"/>
    <n v="10"/>
    <n v="43"/>
    <n v="4"/>
    <n v="87"/>
    <x v="5"/>
    <x v="1"/>
  </r>
  <r>
    <x v="732"/>
    <x v="19"/>
    <x v="1"/>
    <n v="33"/>
    <x v="1"/>
    <n v="4"/>
    <n v="50835"/>
    <n v="6"/>
    <n v="43"/>
    <n v="3"/>
    <n v="86"/>
    <x v="0"/>
    <x v="1"/>
  </r>
  <r>
    <x v="733"/>
    <x v="3"/>
    <x v="2"/>
    <n v="24"/>
    <x v="1"/>
    <n v="2"/>
    <n v="46387"/>
    <n v="6"/>
    <n v="41"/>
    <n v="4"/>
    <n v="96"/>
    <x v="0"/>
    <x v="0"/>
  </r>
  <r>
    <x v="734"/>
    <x v="1"/>
    <x v="2"/>
    <n v="30"/>
    <x v="1"/>
    <n v="8"/>
    <n v="64104"/>
    <n v="13"/>
    <n v="50"/>
    <n v="3"/>
    <n v="93"/>
    <x v="4"/>
    <x v="0"/>
  </r>
  <r>
    <x v="735"/>
    <x v="15"/>
    <x v="0"/>
    <n v="28"/>
    <x v="0"/>
    <n v="11"/>
    <n v="64181"/>
    <n v="15"/>
    <n v="41"/>
    <n v="4"/>
    <n v="89"/>
    <x v="3"/>
    <x v="1"/>
  </r>
  <r>
    <x v="736"/>
    <x v="7"/>
    <x v="1"/>
    <n v="31"/>
    <x v="1"/>
    <n v="4"/>
    <n v="28364"/>
    <n v="12"/>
    <n v="35"/>
    <n v="2"/>
    <n v="100"/>
    <x v="3"/>
    <x v="0"/>
  </r>
  <r>
    <x v="737"/>
    <x v="16"/>
    <x v="0"/>
    <n v="22"/>
    <x v="0"/>
    <n v="15"/>
    <n v="64463"/>
    <n v="8"/>
    <n v="36"/>
    <n v="4"/>
    <n v="87"/>
    <x v="3"/>
    <x v="1"/>
  </r>
  <r>
    <x v="738"/>
    <x v="5"/>
    <x v="1"/>
    <n v="24"/>
    <x v="0"/>
    <n v="10"/>
    <n v="64625"/>
    <n v="14"/>
    <n v="46"/>
    <n v="2"/>
    <n v="87"/>
    <x v="2"/>
    <x v="1"/>
  </r>
  <r>
    <x v="739"/>
    <x v="19"/>
    <x v="1"/>
    <n v="29"/>
    <x v="1"/>
    <n v="10"/>
    <n v="64660"/>
    <n v="12"/>
    <n v="48"/>
    <n v="5"/>
    <n v="95"/>
    <x v="0"/>
    <x v="0"/>
  </r>
  <r>
    <x v="740"/>
    <x v="15"/>
    <x v="0"/>
    <n v="32"/>
    <x v="1"/>
    <n v="14"/>
    <n v="64803"/>
    <n v="11"/>
    <n v="44"/>
    <n v="4"/>
    <n v="92"/>
    <x v="4"/>
    <x v="0"/>
  </r>
  <r>
    <x v="741"/>
    <x v="6"/>
    <x v="1"/>
    <n v="34"/>
    <x v="1"/>
    <n v="6"/>
    <n v="64915"/>
    <n v="7"/>
    <n v="38"/>
    <n v="3"/>
    <n v="95"/>
    <x v="1"/>
    <x v="0"/>
  </r>
  <r>
    <x v="742"/>
    <x v="15"/>
    <x v="2"/>
    <n v="28"/>
    <x v="1"/>
    <n v="9"/>
    <n v="65062"/>
    <n v="11"/>
    <n v="42"/>
    <n v="4"/>
    <n v="96"/>
    <x v="0"/>
    <x v="0"/>
  </r>
  <r>
    <x v="743"/>
    <x v="14"/>
    <x v="2"/>
    <n v="27"/>
    <x v="1"/>
    <n v="12"/>
    <n v="65112"/>
    <n v="15"/>
    <n v="39"/>
    <n v="1"/>
    <n v="87"/>
    <x v="4"/>
    <x v="1"/>
  </r>
  <r>
    <x v="744"/>
    <x v="7"/>
    <x v="3"/>
    <n v="37"/>
    <x v="1"/>
    <n v="7"/>
    <n v="65122"/>
    <n v="6"/>
    <n v="41"/>
    <n v="4"/>
    <n v="89"/>
    <x v="1"/>
    <x v="1"/>
  </r>
  <r>
    <x v="745"/>
    <x v="7"/>
    <x v="1"/>
    <n v="39"/>
    <x v="0"/>
    <n v="10"/>
    <n v="65136"/>
    <n v="3"/>
    <n v="45"/>
    <n v="2"/>
    <n v="98"/>
    <x v="3"/>
    <x v="0"/>
  </r>
  <r>
    <x v="746"/>
    <x v="10"/>
    <x v="0"/>
    <n v="30"/>
    <x v="0"/>
    <n v="11"/>
    <n v="65189"/>
    <n v="15"/>
    <n v="50"/>
    <n v="2"/>
    <n v="86"/>
    <x v="5"/>
    <x v="1"/>
  </r>
  <r>
    <x v="747"/>
    <x v="4"/>
    <x v="2"/>
    <n v="27"/>
    <x v="1"/>
    <n v="5"/>
    <n v="65198"/>
    <n v="3"/>
    <n v="38"/>
    <n v="1"/>
    <n v="92"/>
    <x v="4"/>
    <x v="0"/>
  </r>
  <r>
    <x v="748"/>
    <x v="17"/>
    <x v="2"/>
    <n v="39"/>
    <x v="0"/>
    <n v="15"/>
    <n v="65233"/>
    <n v="15"/>
    <n v="42"/>
    <n v="1"/>
    <n v="96"/>
    <x v="0"/>
    <x v="0"/>
  </r>
  <r>
    <x v="749"/>
    <x v="13"/>
    <x v="2"/>
    <n v="37"/>
    <x v="0"/>
    <n v="2"/>
    <n v="55675"/>
    <n v="8"/>
    <n v="48"/>
    <n v="2"/>
    <n v="98"/>
    <x v="0"/>
    <x v="0"/>
  </r>
  <r>
    <x v="750"/>
    <x v="1"/>
    <x v="2"/>
    <n v="35"/>
    <x v="1"/>
    <n v="2"/>
    <n v="36294"/>
    <n v="15"/>
    <n v="45"/>
    <n v="4"/>
    <n v="87"/>
    <x v="4"/>
    <x v="1"/>
  </r>
  <r>
    <x v="751"/>
    <x v="16"/>
    <x v="3"/>
    <n v="31"/>
    <x v="0"/>
    <n v="15"/>
    <n v="65275"/>
    <n v="14"/>
    <n v="43"/>
    <n v="4"/>
    <n v="97"/>
    <x v="4"/>
    <x v="0"/>
  </r>
  <r>
    <x v="752"/>
    <x v="4"/>
    <x v="3"/>
    <n v="30"/>
    <x v="1"/>
    <n v="11"/>
    <n v="65473"/>
    <n v="5"/>
    <n v="47"/>
    <n v="3"/>
    <n v="89"/>
    <x v="5"/>
    <x v="1"/>
  </r>
  <r>
    <x v="753"/>
    <x v="1"/>
    <x v="1"/>
    <n v="35"/>
    <x v="1"/>
    <n v="6"/>
    <n v="65583"/>
    <n v="4"/>
    <n v="43"/>
    <n v="1"/>
    <n v="87"/>
    <x v="0"/>
    <x v="1"/>
  </r>
  <r>
    <x v="754"/>
    <x v="3"/>
    <x v="2"/>
    <n v="23"/>
    <x v="1"/>
    <n v="8"/>
    <n v="65686"/>
    <n v="4"/>
    <n v="46"/>
    <n v="4"/>
    <n v="94"/>
    <x v="1"/>
    <x v="0"/>
  </r>
  <r>
    <x v="755"/>
    <x v="10"/>
    <x v="1"/>
    <n v="32"/>
    <x v="1"/>
    <n v="8"/>
    <n v="65732"/>
    <n v="6"/>
    <n v="38"/>
    <n v="3"/>
    <n v="91"/>
    <x v="5"/>
    <x v="0"/>
  </r>
  <r>
    <x v="756"/>
    <x v="6"/>
    <x v="3"/>
    <n v="31"/>
    <x v="1"/>
    <n v="14"/>
    <n v="65770"/>
    <n v="6"/>
    <n v="39"/>
    <n v="3"/>
    <n v="97"/>
    <x v="1"/>
    <x v="0"/>
  </r>
  <r>
    <x v="757"/>
    <x v="0"/>
    <x v="2"/>
    <n v="35"/>
    <x v="1"/>
    <n v="1"/>
    <n v="58532"/>
    <n v="13"/>
    <n v="38"/>
    <n v="4"/>
    <n v="90"/>
    <x v="2"/>
    <x v="0"/>
  </r>
  <r>
    <x v="758"/>
    <x v="18"/>
    <x v="1"/>
    <n v="24"/>
    <x v="0"/>
    <n v="6"/>
    <n v="65779"/>
    <n v="15"/>
    <n v="43"/>
    <n v="3"/>
    <n v="91"/>
    <x v="2"/>
    <x v="0"/>
  </r>
  <r>
    <x v="759"/>
    <x v="14"/>
    <x v="0"/>
    <n v="32"/>
    <x v="1"/>
    <n v="13"/>
    <n v="65786"/>
    <n v="3"/>
    <n v="41"/>
    <n v="5"/>
    <n v="99"/>
    <x v="5"/>
    <x v="0"/>
  </r>
  <r>
    <x v="760"/>
    <x v="9"/>
    <x v="3"/>
    <n v="40"/>
    <x v="1"/>
    <n v="15"/>
    <n v="65839"/>
    <n v="10"/>
    <n v="37"/>
    <n v="1"/>
    <n v="93"/>
    <x v="2"/>
    <x v="0"/>
  </r>
  <r>
    <x v="761"/>
    <x v="0"/>
    <x v="0"/>
    <n v="28"/>
    <x v="0"/>
    <n v="4"/>
    <n v="68844"/>
    <n v="15"/>
    <n v="37"/>
    <n v="4"/>
    <n v="91"/>
    <x v="1"/>
    <x v="0"/>
  </r>
  <r>
    <x v="762"/>
    <x v="1"/>
    <x v="0"/>
    <n v="33"/>
    <x v="0"/>
    <n v="11"/>
    <n v="65958"/>
    <n v="6"/>
    <n v="42"/>
    <n v="2"/>
    <n v="99"/>
    <x v="4"/>
    <x v="0"/>
  </r>
  <r>
    <x v="763"/>
    <x v="10"/>
    <x v="3"/>
    <n v="38"/>
    <x v="0"/>
    <n v="9"/>
    <n v="66138"/>
    <n v="15"/>
    <n v="48"/>
    <n v="4"/>
    <n v="99"/>
    <x v="2"/>
    <x v="0"/>
  </r>
  <r>
    <x v="764"/>
    <x v="0"/>
    <x v="0"/>
    <n v="38"/>
    <x v="1"/>
    <n v="12"/>
    <n v="66323"/>
    <n v="3"/>
    <n v="39"/>
    <n v="3"/>
    <n v="98"/>
    <x v="0"/>
    <x v="0"/>
  </r>
  <r>
    <x v="765"/>
    <x v="17"/>
    <x v="2"/>
    <n v="32"/>
    <x v="0"/>
    <n v="12"/>
    <n v="66342"/>
    <n v="7"/>
    <n v="44"/>
    <n v="4"/>
    <n v="86"/>
    <x v="5"/>
    <x v="1"/>
  </r>
  <r>
    <x v="766"/>
    <x v="9"/>
    <x v="1"/>
    <n v="38"/>
    <x v="0"/>
    <n v="15"/>
    <n v="66562"/>
    <n v="14"/>
    <n v="42"/>
    <n v="1"/>
    <n v="93"/>
    <x v="3"/>
    <x v="0"/>
  </r>
  <r>
    <x v="767"/>
    <x v="1"/>
    <x v="0"/>
    <n v="38"/>
    <x v="1"/>
    <n v="12"/>
    <n v="66664"/>
    <n v="10"/>
    <n v="47"/>
    <n v="1"/>
    <n v="100"/>
    <x v="1"/>
    <x v="0"/>
  </r>
  <r>
    <x v="768"/>
    <x v="8"/>
    <x v="1"/>
    <n v="26"/>
    <x v="1"/>
    <n v="6"/>
    <n v="66767"/>
    <n v="7"/>
    <n v="45"/>
    <n v="3"/>
    <n v="85"/>
    <x v="3"/>
    <x v="1"/>
  </r>
  <r>
    <x v="769"/>
    <x v="12"/>
    <x v="2"/>
    <n v="28"/>
    <x v="1"/>
    <n v="7"/>
    <n v="66771"/>
    <n v="5"/>
    <n v="35"/>
    <n v="2"/>
    <n v="93"/>
    <x v="3"/>
    <x v="0"/>
  </r>
  <r>
    <x v="770"/>
    <x v="8"/>
    <x v="2"/>
    <n v="37"/>
    <x v="0"/>
    <n v="8"/>
    <n v="66787"/>
    <n v="6"/>
    <n v="50"/>
    <n v="2"/>
    <n v="91"/>
    <x v="4"/>
    <x v="0"/>
  </r>
  <r>
    <x v="771"/>
    <x v="19"/>
    <x v="3"/>
    <n v="29"/>
    <x v="1"/>
    <n v="9"/>
    <n v="66813"/>
    <n v="12"/>
    <n v="48"/>
    <n v="3"/>
    <n v="95"/>
    <x v="3"/>
    <x v="0"/>
  </r>
  <r>
    <x v="772"/>
    <x v="14"/>
    <x v="2"/>
    <n v="23"/>
    <x v="1"/>
    <n v="13"/>
    <n v="66867"/>
    <n v="7"/>
    <n v="45"/>
    <n v="1"/>
    <n v="98"/>
    <x v="2"/>
    <x v="0"/>
  </r>
  <r>
    <x v="773"/>
    <x v="19"/>
    <x v="0"/>
    <n v="29"/>
    <x v="0"/>
    <n v="7"/>
    <n v="66985"/>
    <n v="3"/>
    <n v="48"/>
    <n v="1"/>
    <n v="93"/>
    <x v="1"/>
    <x v="0"/>
  </r>
  <r>
    <x v="774"/>
    <x v="19"/>
    <x v="1"/>
    <n v="24"/>
    <x v="0"/>
    <n v="2"/>
    <n v="43037"/>
    <n v="4"/>
    <n v="48"/>
    <n v="4"/>
    <n v="90"/>
    <x v="2"/>
    <x v="0"/>
  </r>
  <r>
    <x v="775"/>
    <x v="7"/>
    <x v="3"/>
    <n v="34"/>
    <x v="0"/>
    <n v="9"/>
    <n v="67051"/>
    <n v="5"/>
    <n v="46"/>
    <n v="1"/>
    <n v="92"/>
    <x v="3"/>
    <x v="0"/>
  </r>
  <r>
    <x v="776"/>
    <x v="12"/>
    <x v="1"/>
    <n v="38"/>
    <x v="0"/>
    <n v="2"/>
    <n v="54853"/>
    <n v="6"/>
    <n v="50"/>
    <n v="3"/>
    <n v="89"/>
    <x v="1"/>
    <x v="1"/>
  </r>
  <r>
    <x v="777"/>
    <x v="1"/>
    <x v="2"/>
    <n v="32"/>
    <x v="1"/>
    <n v="2"/>
    <n v="48319"/>
    <n v="10"/>
    <n v="37"/>
    <n v="1"/>
    <n v="86"/>
    <x v="3"/>
    <x v="1"/>
  </r>
  <r>
    <x v="778"/>
    <x v="13"/>
    <x v="0"/>
    <n v="35"/>
    <x v="1"/>
    <n v="6"/>
    <n v="67065"/>
    <n v="12"/>
    <n v="38"/>
    <n v="3"/>
    <n v="98"/>
    <x v="4"/>
    <x v="0"/>
  </r>
  <r>
    <x v="779"/>
    <x v="2"/>
    <x v="3"/>
    <n v="23"/>
    <x v="1"/>
    <n v="15"/>
    <n v="67166"/>
    <n v="15"/>
    <n v="48"/>
    <n v="4"/>
    <n v="87"/>
    <x v="3"/>
    <x v="1"/>
  </r>
  <r>
    <x v="780"/>
    <x v="7"/>
    <x v="2"/>
    <n v="29"/>
    <x v="0"/>
    <n v="10"/>
    <n v="67203"/>
    <n v="4"/>
    <n v="41"/>
    <n v="4"/>
    <n v="93"/>
    <x v="0"/>
    <x v="0"/>
  </r>
  <r>
    <x v="781"/>
    <x v="17"/>
    <x v="3"/>
    <n v="23"/>
    <x v="1"/>
    <n v="6"/>
    <n v="67517"/>
    <n v="12"/>
    <n v="37"/>
    <n v="3"/>
    <n v="87"/>
    <x v="2"/>
    <x v="1"/>
  </r>
  <r>
    <x v="782"/>
    <x v="14"/>
    <x v="1"/>
    <n v="26"/>
    <x v="0"/>
    <n v="14"/>
    <n v="67518"/>
    <n v="11"/>
    <n v="40"/>
    <n v="5"/>
    <n v="90"/>
    <x v="0"/>
    <x v="0"/>
  </r>
  <r>
    <x v="783"/>
    <x v="16"/>
    <x v="2"/>
    <n v="31"/>
    <x v="0"/>
    <n v="12"/>
    <n v="67540"/>
    <n v="3"/>
    <n v="36"/>
    <n v="2"/>
    <n v="100"/>
    <x v="1"/>
    <x v="0"/>
  </r>
  <r>
    <x v="784"/>
    <x v="6"/>
    <x v="2"/>
    <n v="32"/>
    <x v="0"/>
    <n v="14"/>
    <n v="67574"/>
    <n v="5"/>
    <n v="44"/>
    <n v="2"/>
    <n v="99"/>
    <x v="4"/>
    <x v="0"/>
  </r>
  <r>
    <x v="785"/>
    <x v="12"/>
    <x v="0"/>
    <n v="40"/>
    <x v="0"/>
    <n v="9"/>
    <n v="67574"/>
    <n v="4"/>
    <n v="48"/>
    <n v="3"/>
    <n v="100"/>
    <x v="0"/>
    <x v="0"/>
  </r>
  <r>
    <x v="786"/>
    <x v="15"/>
    <x v="0"/>
    <n v="22"/>
    <x v="1"/>
    <n v="1"/>
    <n v="70571"/>
    <n v="12"/>
    <n v="42"/>
    <n v="4"/>
    <n v="95"/>
    <x v="3"/>
    <x v="0"/>
  </r>
  <r>
    <x v="787"/>
    <x v="12"/>
    <x v="1"/>
    <n v="38"/>
    <x v="0"/>
    <n v="3"/>
    <n v="39338"/>
    <n v="14"/>
    <n v="37"/>
    <n v="5"/>
    <n v="91"/>
    <x v="0"/>
    <x v="0"/>
  </r>
  <r>
    <x v="788"/>
    <x v="8"/>
    <x v="2"/>
    <n v="37"/>
    <x v="1"/>
    <n v="9"/>
    <n v="67695"/>
    <n v="11"/>
    <n v="35"/>
    <n v="5"/>
    <n v="86"/>
    <x v="2"/>
    <x v="1"/>
  </r>
  <r>
    <x v="789"/>
    <x v="2"/>
    <x v="3"/>
    <n v="34"/>
    <x v="0"/>
    <n v="11"/>
    <n v="67715"/>
    <n v="13"/>
    <n v="48"/>
    <n v="5"/>
    <n v="88"/>
    <x v="0"/>
    <x v="1"/>
  </r>
  <r>
    <x v="790"/>
    <x v="19"/>
    <x v="3"/>
    <n v="40"/>
    <x v="1"/>
    <n v="13"/>
    <n v="67783"/>
    <n v="10"/>
    <n v="36"/>
    <n v="4"/>
    <n v="94"/>
    <x v="5"/>
    <x v="0"/>
  </r>
  <r>
    <x v="791"/>
    <x v="9"/>
    <x v="1"/>
    <n v="39"/>
    <x v="0"/>
    <n v="10"/>
    <n v="68105"/>
    <n v="5"/>
    <n v="41"/>
    <n v="4"/>
    <n v="87"/>
    <x v="5"/>
    <x v="1"/>
  </r>
  <r>
    <x v="792"/>
    <x v="12"/>
    <x v="0"/>
    <n v="25"/>
    <x v="1"/>
    <n v="8"/>
    <n v="68164"/>
    <n v="10"/>
    <n v="43"/>
    <n v="5"/>
    <n v="95"/>
    <x v="0"/>
    <x v="0"/>
  </r>
  <r>
    <x v="793"/>
    <x v="1"/>
    <x v="0"/>
    <n v="26"/>
    <x v="1"/>
    <n v="7"/>
    <n v="68341"/>
    <n v="6"/>
    <n v="39"/>
    <n v="5"/>
    <n v="99"/>
    <x v="0"/>
    <x v="0"/>
  </r>
  <r>
    <x v="794"/>
    <x v="5"/>
    <x v="3"/>
    <n v="40"/>
    <x v="0"/>
    <n v="7"/>
    <n v="68473"/>
    <n v="9"/>
    <n v="45"/>
    <n v="2"/>
    <n v="96"/>
    <x v="0"/>
    <x v="0"/>
  </r>
  <r>
    <x v="795"/>
    <x v="0"/>
    <x v="3"/>
    <n v="30"/>
    <x v="1"/>
    <n v="4"/>
    <n v="26852"/>
    <n v="8"/>
    <n v="40"/>
    <n v="5"/>
    <n v="90"/>
    <x v="1"/>
    <x v="0"/>
  </r>
  <r>
    <x v="796"/>
    <x v="5"/>
    <x v="2"/>
    <n v="37"/>
    <x v="1"/>
    <n v="1"/>
    <n v="32958"/>
    <n v="6"/>
    <n v="49"/>
    <n v="1"/>
    <n v="95"/>
    <x v="1"/>
    <x v="0"/>
  </r>
  <r>
    <x v="797"/>
    <x v="13"/>
    <x v="0"/>
    <n v="39"/>
    <x v="0"/>
    <n v="13"/>
    <n v="68584"/>
    <n v="9"/>
    <n v="50"/>
    <n v="1"/>
    <n v="86"/>
    <x v="0"/>
    <x v="1"/>
  </r>
  <r>
    <x v="798"/>
    <x v="6"/>
    <x v="0"/>
    <n v="31"/>
    <x v="0"/>
    <n v="3"/>
    <n v="63199"/>
    <n v="7"/>
    <n v="48"/>
    <n v="3"/>
    <n v="97"/>
    <x v="5"/>
    <x v="0"/>
  </r>
  <r>
    <x v="799"/>
    <x v="4"/>
    <x v="2"/>
    <n v="40"/>
    <x v="0"/>
    <n v="12"/>
    <n v="68631"/>
    <n v="6"/>
    <n v="38"/>
    <n v="5"/>
    <n v="86"/>
    <x v="3"/>
    <x v="1"/>
  </r>
  <r>
    <x v="800"/>
    <x v="0"/>
    <x v="2"/>
    <n v="27"/>
    <x v="0"/>
    <n v="15"/>
    <n v="68675"/>
    <n v="7"/>
    <n v="48"/>
    <n v="3"/>
    <n v="90"/>
    <x v="5"/>
    <x v="0"/>
  </r>
  <r>
    <x v="801"/>
    <x v="0"/>
    <x v="0"/>
    <n v="26"/>
    <x v="0"/>
    <n v="13"/>
    <n v="68675"/>
    <n v="11"/>
    <n v="41"/>
    <n v="5"/>
    <n v="92"/>
    <x v="4"/>
    <x v="0"/>
  </r>
  <r>
    <x v="802"/>
    <x v="2"/>
    <x v="0"/>
    <n v="24"/>
    <x v="0"/>
    <n v="8"/>
    <n v="68682"/>
    <n v="12"/>
    <n v="46"/>
    <n v="3"/>
    <n v="87"/>
    <x v="5"/>
    <x v="1"/>
  </r>
  <r>
    <x v="803"/>
    <x v="2"/>
    <x v="3"/>
    <n v="39"/>
    <x v="0"/>
    <n v="4"/>
    <n v="32375"/>
    <n v="10"/>
    <n v="37"/>
    <n v="1"/>
    <n v="92"/>
    <x v="2"/>
    <x v="0"/>
  </r>
  <r>
    <x v="804"/>
    <x v="16"/>
    <x v="3"/>
    <n v="38"/>
    <x v="1"/>
    <n v="9"/>
    <n v="68694"/>
    <n v="6"/>
    <n v="41"/>
    <n v="1"/>
    <n v="96"/>
    <x v="1"/>
    <x v="0"/>
  </r>
  <r>
    <x v="805"/>
    <x v="0"/>
    <x v="0"/>
    <n v="27"/>
    <x v="0"/>
    <n v="2"/>
    <n v="45767"/>
    <n v="4"/>
    <n v="47"/>
    <n v="5"/>
    <n v="87"/>
    <x v="2"/>
    <x v="1"/>
  </r>
  <r>
    <x v="806"/>
    <x v="16"/>
    <x v="3"/>
    <n v="31"/>
    <x v="0"/>
    <n v="11"/>
    <n v="68859"/>
    <n v="3"/>
    <n v="36"/>
    <n v="2"/>
    <n v="96"/>
    <x v="2"/>
    <x v="0"/>
  </r>
  <r>
    <x v="807"/>
    <x v="18"/>
    <x v="0"/>
    <n v="30"/>
    <x v="1"/>
    <n v="9"/>
    <n v="68933"/>
    <n v="8"/>
    <n v="41"/>
    <n v="2"/>
    <n v="97"/>
    <x v="4"/>
    <x v="0"/>
  </r>
  <r>
    <x v="808"/>
    <x v="6"/>
    <x v="0"/>
    <n v="26"/>
    <x v="1"/>
    <n v="6"/>
    <n v="68941"/>
    <n v="9"/>
    <n v="37"/>
    <n v="1"/>
    <n v="100"/>
    <x v="5"/>
    <x v="0"/>
  </r>
  <r>
    <x v="809"/>
    <x v="11"/>
    <x v="0"/>
    <n v="39"/>
    <x v="0"/>
    <n v="7"/>
    <n v="68953"/>
    <n v="7"/>
    <n v="44"/>
    <n v="3"/>
    <n v="97"/>
    <x v="3"/>
    <x v="0"/>
  </r>
  <r>
    <x v="810"/>
    <x v="11"/>
    <x v="0"/>
    <n v="39"/>
    <x v="1"/>
    <n v="5"/>
    <n v="68983"/>
    <n v="13"/>
    <n v="49"/>
    <n v="4"/>
    <n v="92"/>
    <x v="5"/>
    <x v="0"/>
  </r>
  <r>
    <x v="811"/>
    <x v="9"/>
    <x v="1"/>
    <n v="24"/>
    <x v="1"/>
    <n v="6"/>
    <n v="68992"/>
    <n v="13"/>
    <n v="45"/>
    <n v="2"/>
    <n v="98"/>
    <x v="0"/>
    <x v="0"/>
  </r>
  <r>
    <x v="812"/>
    <x v="1"/>
    <x v="3"/>
    <n v="23"/>
    <x v="0"/>
    <n v="2"/>
    <n v="47483"/>
    <n v="4"/>
    <n v="40"/>
    <n v="1"/>
    <n v="88"/>
    <x v="1"/>
    <x v="1"/>
  </r>
  <r>
    <x v="813"/>
    <x v="19"/>
    <x v="1"/>
    <n v="25"/>
    <x v="0"/>
    <n v="5"/>
    <n v="69535"/>
    <n v="13"/>
    <n v="38"/>
    <n v="5"/>
    <n v="93"/>
    <x v="1"/>
    <x v="0"/>
  </r>
  <r>
    <x v="814"/>
    <x v="9"/>
    <x v="2"/>
    <n v="36"/>
    <x v="0"/>
    <n v="1"/>
    <n v="40418"/>
    <n v="15"/>
    <n v="43"/>
    <n v="1"/>
    <n v="96"/>
    <x v="4"/>
    <x v="0"/>
  </r>
  <r>
    <x v="815"/>
    <x v="10"/>
    <x v="1"/>
    <n v="33"/>
    <x v="1"/>
    <n v="8"/>
    <n v="69587"/>
    <n v="3"/>
    <n v="46"/>
    <n v="2"/>
    <n v="93"/>
    <x v="5"/>
    <x v="0"/>
  </r>
  <r>
    <x v="816"/>
    <x v="6"/>
    <x v="1"/>
    <n v="28"/>
    <x v="0"/>
    <n v="10"/>
    <n v="69634"/>
    <n v="15"/>
    <n v="49"/>
    <n v="2"/>
    <n v="99"/>
    <x v="3"/>
    <x v="0"/>
  </r>
  <r>
    <x v="817"/>
    <x v="9"/>
    <x v="2"/>
    <n v="38"/>
    <x v="1"/>
    <n v="14"/>
    <n v="69650"/>
    <n v="5"/>
    <n v="41"/>
    <n v="3"/>
    <n v="94"/>
    <x v="3"/>
    <x v="0"/>
  </r>
  <r>
    <x v="818"/>
    <x v="9"/>
    <x v="3"/>
    <n v="25"/>
    <x v="1"/>
    <n v="5"/>
    <n v="69679"/>
    <n v="8"/>
    <n v="44"/>
    <n v="5"/>
    <n v="92"/>
    <x v="0"/>
    <x v="0"/>
  </r>
  <r>
    <x v="819"/>
    <x v="12"/>
    <x v="1"/>
    <n v="25"/>
    <x v="1"/>
    <n v="14"/>
    <n v="69787"/>
    <n v="9"/>
    <n v="35"/>
    <n v="5"/>
    <n v="87"/>
    <x v="5"/>
    <x v="1"/>
  </r>
  <r>
    <x v="820"/>
    <x v="18"/>
    <x v="1"/>
    <n v="29"/>
    <x v="1"/>
    <n v="15"/>
    <n v="69802"/>
    <n v="6"/>
    <n v="42"/>
    <n v="3"/>
    <n v="91"/>
    <x v="2"/>
    <x v="0"/>
  </r>
  <r>
    <x v="821"/>
    <x v="9"/>
    <x v="2"/>
    <n v="35"/>
    <x v="1"/>
    <n v="5"/>
    <n v="69810"/>
    <n v="11"/>
    <n v="37"/>
    <n v="5"/>
    <n v="97"/>
    <x v="1"/>
    <x v="0"/>
  </r>
  <r>
    <x v="822"/>
    <x v="11"/>
    <x v="3"/>
    <n v="31"/>
    <x v="1"/>
    <n v="14"/>
    <n v="69917"/>
    <n v="14"/>
    <n v="50"/>
    <n v="2"/>
    <n v="88"/>
    <x v="3"/>
    <x v="1"/>
  </r>
  <r>
    <x v="823"/>
    <x v="9"/>
    <x v="1"/>
    <n v="38"/>
    <x v="1"/>
    <n v="2"/>
    <n v="69734"/>
    <n v="13"/>
    <n v="38"/>
    <n v="5"/>
    <n v="89"/>
    <x v="4"/>
    <x v="1"/>
  </r>
  <r>
    <x v="824"/>
    <x v="10"/>
    <x v="0"/>
    <n v="40"/>
    <x v="0"/>
    <n v="2"/>
    <n v="59916"/>
    <n v="10"/>
    <n v="35"/>
    <n v="1"/>
    <n v="98"/>
    <x v="2"/>
    <x v="0"/>
  </r>
  <r>
    <x v="825"/>
    <x v="16"/>
    <x v="3"/>
    <n v="31"/>
    <x v="1"/>
    <n v="6"/>
    <n v="69943"/>
    <n v="5"/>
    <n v="37"/>
    <n v="5"/>
    <n v="87"/>
    <x v="4"/>
    <x v="1"/>
  </r>
  <r>
    <x v="826"/>
    <x v="8"/>
    <x v="0"/>
    <n v="39"/>
    <x v="1"/>
    <n v="2"/>
    <n v="32567"/>
    <n v="12"/>
    <n v="43"/>
    <n v="1"/>
    <n v="93"/>
    <x v="3"/>
    <x v="0"/>
  </r>
  <r>
    <x v="827"/>
    <x v="4"/>
    <x v="2"/>
    <n v="26"/>
    <x v="0"/>
    <n v="15"/>
    <n v="69946"/>
    <n v="8"/>
    <n v="42"/>
    <n v="3"/>
    <n v="85"/>
    <x v="4"/>
    <x v="1"/>
  </r>
  <r>
    <x v="828"/>
    <x v="18"/>
    <x v="2"/>
    <n v="28"/>
    <x v="1"/>
    <n v="1"/>
    <n v="71342"/>
    <n v="11"/>
    <n v="41"/>
    <n v="1"/>
    <n v="89"/>
    <x v="3"/>
    <x v="1"/>
  </r>
  <r>
    <x v="829"/>
    <x v="13"/>
    <x v="2"/>
    <n v="40"/>
    <x v="1"/>
    <n v="10"/>
    <n v="69960"/>
    <n v="12"/>
    <n v="38"/>
    <n v="1"/>
    <n v="89"/>
    <x v="0"/>
    <x v="1"/>
  </r>
  <r>
    <x v="830"/>
    <x v="18"/>
    <x v="3"/>
    <n v="36"/>
    <x v="1"/>
    <n v="14"/>
    <n v="70024"/>
    <n v="8"/>
    <n v="45"/>
    <n v="5"/>
    <n v="96"/>
    <x v="2"/>
    <x v="0"/>
  </r>
  <r>
    <x v="831"/>
    <x v="8"/>
    <x v="0"/>
    <n v="25"/>
    <x v="1"/>
    <n v="2"/>
    <n v="47078"/>
    <n v="9"/>
    <n v="49"/>
    <n v="3"/>
    <n v="100"/>
    <x v="2"/>
    <x v="0"/>
  </r>
  <r>
    <x v="832"/>
    <x v="0"/>
    <x v="1"/>
    <n v="32"/>
    <x v="1"/>
    <n v="12"/>
    <n v="70242"/>
    <n v="6"/>
    <n v="36"/>
    <n v="1"/>
    <n v="87"/>
    <x v="4"/>
    <x v="1"/>
  </r>
  <r>
    <x v="833"/>
    <x v="17"/>
    <x v="2"/>
    <n v="35"/>
    <x v="0"/>
    <n v="6"/>
    <n v="70256"/>
    <n v="4"/>
    <n v="40"/>
    <n v="5"/>
    <n v="87"/>
    <x v="1"/>
    <x v="1"/>
  </r>
  <r>
    <x v="834"/>
    <x v="4"/>
    <x v="0"/>
    <n v="39"/>
    <x v="0"/>
    <n v="4"/>
    <n v="42304"/>
    <n v="7"/>
    <n v="45"/>
    <n v="1"/>
    <n v="93"/>
    <x v="5"/>
    <x v="0"/>
  </r>
  <r>
    <x v="835"/>
    <x v="13"/>
    <x v="2"/>
    <n v="25"/>
    <x v="1"/>
    <n v="13"/>
    <n v="70293"/>
    <n v="9"/>
    <n v="48"/>
    <n v="4"/>
    <n v="100"/>
    <x v="3"/>
    <x v="0"/>
  </r>
  <r>
    <x v="836"/>
    <x v="15"/>
    <x v="3"/>
    <n v="35"/>
    <x v="0"/>
    <n v="7"/>
    <n v="70317"/>
    <n v="15"/>
    <n v="49"/>
    <n v="2"/>
    <n v="94"/>
    <x v="4"/>
    <x v="0"/>
  </r>
  <r>
    <x v="837"/>
    <x v="3"/>
    <x v="2"/>
    <n v="29"/>
    <x v="1"/>
    <n v="10"/>
    <n v="70340"/>
    <n v="6"/>
    <n v="42"/>
    <n v="5"/>
    <n v="89"/>
    <x v="1"/>
    <x v="1"/>
  </r>
  <r>
    <x v="838"/>
    <x v="0"/>
    <x v="0"/>
    <n v="23"/>
    <x v="0"/>
    <n v="3"/>
    <n v="68014"/>
    <n v="8"/>
    <n v="38"/>
    <n v="2"/>
    <n v="98"/>
    <x v="5"/>
    <x v="0"/>
  </r>
  <r>
    <x v="839"/>
    <x v="13"/>
    <x v="3"/>
    <n v="38"/>
    <x v="1"/>
    <n v="8"/>
    <n v="70483"/>
    <n v="10"/>
    <n v="41"/>
    <n v="5"/>
    <n v="97"/>
    <x v="0"/>
    <x v="0"/>
  </r>
  <r>
    <x v="840"/>
    <x v="13"/>
    <x v="0"/>
    <n v="24"/>
    <x v="1"/>
    <n v="1"/>
    <n v="44268"/>
    <n v="3"/>
    <n v="36"/>
    <n v="3"/>
    <n v="88"/>
    <x v="3"/>
    <x v="1"/>
  </r>
  <r>
    <x v="841"/>
    <x v="13"/>
    <x v="2"/>
    <n v="40"/>
    <x v="1"/>
    <n v="7"/>
    <n v="70483"/>
    <n v="14"/>
    <n v="43"/>
    <n v="2"/>
    <n v="88"/>
    <x v="4"/>
    <x v="1"/>
  </r>
  <r>
    <x v="842"/>
    <x v="16"/>
    <x v="3"/>
    <n v="39"/>
    <x v="0"/>
    <n v="11"/>
    <n v="70671"/>
    <n v="12"/>
    <n v="46"/>
    <n v="2"/>
    <n v="85"/>
    <x v="5"/>
    <x v="1"/>
  </r>
  <r>
    <x v="843"/>
    <x v="7"/>
    <x v="0"/>
    <n v="27"/>
    <x v="0"/>
    <n v="4"/>
    <n v="66701"/>
    <n v="6"/>
    <n v="45"/>
    <n v="1"/>
    <n v="97"/>
    <x v="2"/>
    <x v="0"/>
  </r>
  <r>
    <x v="844"/>
    <x v="16"/>
    <x v="3"/>
    <n v="36"/>
    <x v="1"/>
    <n v="7"/>
    <n v="70701"/>
    <n v="13"/>
    <n v="36"/>
    <n v="2"/>
    <n v="96"/>
    <x v="0"/>
    <x v="0"/>
  </r>
  <r>
    <x v="845"/>
    <x v="4"/>
    <x v="2"/>
    <n v="32"/>
    <x v="0"/>
    <n v="13"/>
    <n v="70733"/>
    <n v="6"/>
    <n v="35"/>
    <n v="4"/>
    <n v="93"/>
    <x v="3"/>
    <x v="0"/>
  </r>
  <r>
    <x v="846"/>
    <x v="19"/>
    <x v="0"/>
    <n v="36"/>
    <x v="0"/>
    <n v="9"/>
    <n v="70767"/>
    <n v="8"/>
    <n v="44"/>
    <n v="3"/>
    <n v="90"/>
    <x v="4"/>
    <x v="0"/>
  </r>
  <r>
    <x v="847"/>
    <x v="3"/>
    <x v="0"/>
    <n v="40"/>
    <x v="0"/>
    <n v="11"/>
    <n v="70826"/>
    <n v="9"/>
    <n v="48"/>
    <n v="2"/>
    <n v="94"/>
    <x v="1"/>
    <x v="0"/>
  </r>
  <r>
    <x v="848"/>
    <x v="8"/>
    <x v="0"/>
    <n v="38"/>
    <x v="1"/>
    <n v="3"/>
    <n v="46069"/>
    <n v="12"/>
    <n v="45"/>
    <n v="1"/>
    <n v="85"/>
    <x v="1"/>
    <x v="1"/>
  </r>
  <r>
    <x v="849"/>
    <x v="8"/>
    <x v="2"/>
    <n v="37"/>
    <x v="1"/>
    <n v="8"/>
    <n v="71183"/>
    <n v="11"/>
    <n v="39"/>
    <n v="1"/>
    <n v="100"/>
    <x v="5"/>
    <x v="0"/>
  </r>
  <r>
    <x v="850"/>
    <x v="1"/>
    <x v="1"/>
    <n v="39"/>
    <x v="1"/>
    <n v="8"/>
    <n v="71215"/>
    <n v="7"/>
    <n v="41"/>
    <n v="4"/>
    <n v="86"/>
    <x v="2"/>
    <x v="1"/>
  </r>
  <r>
    <x v="851"/>
    <x v="12"/>
    <x v="3"/>
    <n v="38"/>
    <x v="1"/>
    <n v="2"/>
    <n v="62234"/>
    <n v="11"/>
    <n v="50"/>
    <n v="4"/>
    <n v="94"/>
    <x v="0"/>
    <x v="0"/>
  </r>
  <r>
    <x v="852"/>
    <x v="6"/>
    <x v="1"/>
    <n v="22"/>
    <x v="0"/>
    <n v="15"/>
    <n v="71226"/>
    <n v="5"/>
    <n v="36"/>
    <n v="1"/>
    <n v="98"/>
    <x v="5"/>
    <x v="0"/>
  </r>
  <r>
    <x v="853"/>
    <x v="3"/>
    <x v="1"/>
    <n v="30"/>
    <x v="0"/>
    <n v="3"/>
    <n v="26438"/>
    <n v="14"/>
    <n v="48"/>
    <n v="3"/>
    <n v="94"/>
    <x v="1"/>
    <x v="0"/>
  </r>
  <r>
    <x v="854"/>
    <x v="12"/>
    <x v="3"/>
    <n v="27"/>
    <x v="1"/>
    <n v="11"/>
    <n v="71265"/>
    <n v="11"/>
    <n v="47"/>
    <n v="3"/>
    <n v="91"/>
    <x v="2"/>
    <x v="0"/>
  </r>
  <r>
    <x v="855"/>
    <x v="3"/>
    <x v="1"/>
    <n v="26"/>
    <x v="1"/>
    <n v="12"/>
    <n v="71354"/>
    <n v="9"/>
    <n v="40"/>
    <n v="5"/>
    <n v="88"/>
    <x v="4"/>
    <x v="1"/>
  </r>
  <r>
    <x v="856"/>
    <x v="8"/>
    <x v="3"/>
    <n v="22"/>
    <x v="0"/>
    <n v="9"/>
    <n v="71429"/>
    <n v="6"/>
    <n v="39"/>
    <n v="1"/>
    <n v="100"/>
    <x v="3"/>
    <x v="0"/>
  </r>
  <r>
    <x v="857"/>
    <x v="2"/>
    <x v="3"/>
    <n v="38"/>
    <x v="1"/>
    <n v="8"/>
    <n v="71490"/>
    <n v="11"/>
    <n v="46"/>
    <n v="1"/>
    <n v="94"/>
    <x v="0"/>
    <x v="0"/>
  </r>
  <r>
    <x v="858"/>
    <x v="1"/>
    <x v="3"/>
    <n v="30"/>
    <x v="1"/>
    <n v="7"/>
    <n v="71560"/>
    <n v="6"/>
    <n v="44"/>
    <n v="5"/>
    <n v="92"/>
    <x v="5"/>
    <x v="0"/>
  </r>
  <r>
    <x v="859"/>
    <x v="19"/>
    <x v="0"/>
    <n v="31"/>
    <x v="1"/>
    <n v="9"/>
    <n v="71640"/>
    <n v="11"/>
    <n v="47"/>
    <n v="3"/>
    <n v="87"/>
    <x v="2"/>
    <x v="1"/>
  </r>
  <r>
    <x v="860"/>
    <x v="17"/>
    <x v="0"/>
    <n v="24"/>
    <x v="0"/>
    <n v="2"/>
    <n v="62648"/>
    <n v="3"/>
    <n v="43"/>
    <n v="2"/>
    <n v="87"/>
    <x v="2"/>
    <x v="1"/>
  </r>
  <r>
    <x v="861"/>
    <x v="2"/>
    <x v="1"/>
    <n v="40"/>
    <x v="0"/>
    <n v="4"/>
    <n v="38931"/>
    <n v="15"/>
    <n v="48"/>
    <n v="5"/>
    <n v="91"/>
    <x v="0"/>
    <x v="0"/>
  </r>
  <r>
    <x v="862"/>
    <x v="2"/>
    <x v="2"/>
    <n v="31"/>
    <x v="0"/>
    <n v="12"/>
    <n v="71700"/>
    <n v="10"/>
    <n v="43"/>
    <n v="4"/>
    <n v="89"/>
    <x v="1"/>
    <x v="1"/>
  </r>
  <r>
    <x v="863"/>
    <x v="5"/>
    <x v="3"/>
    <n v="32"/>
    <x v="1"/>
    <n v="12"/>
    <n v="72027"/>
    <n v="10"/>
    <n v="39"/>
    <n v="4"/>
    <n v="95"/>
    <x v="1"/>
    <x v="0"/>
  </r>
  <r>
    <x v="864"/>
    <x v="19"/>
    <x v="3"/>
    <n v="23"/>
    <x v="1"/>
    <n v="13"/>
    <n v="72046"/>
    <n v="6"/>
    <n v="36"/>
    <n v="2"/>
    <n v="97"/>
    <x v="2"/>
    <x v="0"/>
  </r>
  <r>
    <x v="865"/>
    <x v="11"/>
    <x v="1"/>
    <n v="29"/>
    <x v="1"/>
    <n v="8"/>
    <n v="72233"/>
    <n v="8"/>
    <n v="44"/>
    <n v="1"/>
    <n v="88"/>
    <x v="1"/>
    <x v="1"/>
  </r>
  <r>
    <x v="866"/>
    <x v="1"/>
    <x v="0"/>
    <n v="29"/>
    <x v="0"/>
    <n v="8"/>
    <n v="72387"/>
    <n v="5"/>
    <n v="41"/>
    <n v="3"/>
    <n v="92"/>
    <x v="2"/>
    <x v="0"/>
  </r>
  <r>
    <x v="867"/>
    <x v="11"/>
    <x v="3"/>
    <n v="27"/>
    <x v="0"/>
    <n v="8"/>
    <n v="72406"/>
    <n v="14"/>
    <n v="35"/>
    <n v="5"/>
    <n v="85"/>
    <x v="3"/>
    <x v="1"/>
  </r>
  <r>
    <x v="868"/>
    <x v="15"/>
    <x v="0"/>
    <n v="31"/>
    <x v="1"/>
    <n v="2"/>
    <n v="30550"/>
    <n v="9"/>
    <n v="48"/>
    <n v="2"/>
    <n v="90"/>
    <x v="1"/>
    <x v="0"/>
  </r>
  <r>
    <x v="869"/>
    <x v="18"/>
    <x v="2"/>
    <n v="35"/>
    <x v="0"/>
    <n v="1"/>
    <n v="52211"/>
    <n v="14"/>
    <n v="37"/>
    <n v="5"/>
    <n v="95"/>
    <x v="5"/>
    <x v="0"/>
  </r>
  <r>
    <x v="870"/>
    <x v="7"/>
    <x v="0"/>
    <n v="22"/>
    <x v="1"/>
    <n v="15"/>
    <n v="72494"/>
    <n v="5"/>
    <n v="45"/>
    <n v="2"/>
    <n v="96"/>
    <x v="0"/>
    <x v="0"/>
  </r>
  <r>
    <x v="871"/>
    <x v="10"/>
    <x v="0"/>
    <n v="34"/>
    <x v="1"/>
    <n v="4"/>
    <n v="51177"/>
    <n v="10"/>
    <n v="40"/>
    <n v="2"/>
    <n v="89"/>
    <x v="2"/>
    <x v="1"/>
  </r>
  <r>
    <x v="872"/>
    <x v="2"/>
    <x v="1"/>
    <n v="35"/>
    <x v="0"/>
    <n v="14"/>
    <n v="72546"/>
    <n v="4"/>
    <n v="43"/>
    <n v="5"/>
    <n v="87"/>
    <x v="4"/>
    <x v="1"/>
  </r>
  <r>
    <x v="873"/>
    <x v="18"/>
    <x v="0"/>
    <n v="23"/>
    <x v="0"/>
    <n v="5"/>
    <n v="72626"/>
    <n v="5"/>
    <n v="36"/>
    <n v="3"/>
    <n v="99"/>
    <x v="4"/>
    <x v="0"/>
  </r>
  <r>
    <x v="874"/>
    <x v="9"/>
    <x v="2"/>
    <n v="34"/>
    <x v="1"/>
    <n v="4"/>
    <n v="66208"/>
    <n v="3"/>
    <n v="43"/>
    <n v="5"/>
    <n v="95"/>
    <x v="0"/>
    <x v="0"/>
  </r>
  <r>
    <x v="875"/>
    <x v="1"/>
    <x v="3"/>
    <n v="39"/>
    <x v="1"/>
    <n v="7"/>
    <n v="72703"/>
    <n v="15"/>
    <n v="43"/>
    <n v="1"/>
    <n v="88"/>
    <x v="0"/>
    <x v="1"/>
  </r>
  <r>
    <x v="876"/>
    <x v="15"/>
    <x v="1"/>
    <n v="35"/>
    <x v="1"/>
    <n v="15"/>
    <n v="72829"/>
    <n v="12"/>
    <n v="38"/>
    <n v="1"/>
    <n v="89"/>
    <x v="3"/>
    <x v="1"/>
  </r>
  <r>
    <x v="877"/>
    <x v="19"/>
    <x v="0"/>
    <n v="36"/>
    <x v="0"/>
    <n v="15"/>
    <n v="72897"/>
    <n v="5"/>
    <n v="40"/>
    <n v="3"/>
    <n v="90"/>
    <x v="0"/>
    <x v="0"/>
  </r>
  <r>
    <x v="878"/>
    <x v="8"/>
    <x v="0"/>
    <n v="38"/>
    <x v="0"/>
    <n v="6"/>
    <n v="72900"/>
    <n v="9"/>
    <n v="35"/>
    <n v="5"/>
    <n v="89"/>
    <x v="3"/>
    <x v="1"/>
  </r>
  <r>
    <x v="879"/>
    <x v="8"/>
    <x v="0"/>
    <n v="33"/>
    <x v="0"/>
    <n v="2"/>
    <n v="59797"/>
    <n v="8"/>
    <n v="44"/>
    <n v="3"/>
    <n v="92"/>
    <x v="3"/>
    <x v="0"/>
  </r>
  <r>
    <x v="880"/>
    <x v="1"/>
    <x v="2"/>
    <n v="24"/>
    <x v="0"/>
    <n v="1"/>
    <n v="71209"/>
    <n v="6"/>
    <n v="43"/>
    <n v="2"/>
    <n v="93"/>
    <x v="4"/>
    <x v="0"/>
  </r>
  <r>
    <x v="881"/>
    <x v="13"/>
    <x v="2"/>
    <n v="29"/>
    <x v="0"/>
    <n v="12"/>
    <n v="72940"/>
    <n v="14"/>
    <n v="36"/>
    <n v="5"/>
    <n v="99"/>
    <x v="0"/>
    <x v="0"/>
  </r>
  <r>
    <x v="882"/>
    <x v="15"/>
    <x v="3"/>
    <n v="25"/>
    <x v="1"/>
    <n v="3"/>
    <n v="40052"/>
    <n v="13"/>
    <n v="38"/>
    <n v="5"/>
    <n v="92"/>
    <x v="5"/>
    <x v="0"/>
  </r>
  <r>
    <x v="883"/>
    <x v="6"/>
    <x v="2"/>
    <n v="29"/>
    <x v="0"/>
    <n v="12"/>
    <n v="72963"/>
    <n v="15"/>
    <n v="37"/>
    <n v="1"/>
    <n v="92"/>
    <x v="4"/>
    <x v="0"/>
  </r>
  <r>
    <x v="884"/>
    <x v="18"/>
    <x v="3"/>
    <n v="26"/>
    <x v="0"/>
    <n v="8"/>
    <n v="73165"/>
    <n v="14"/>
    <n v="37"/>
    <n v="4"/>
    <n v="100"/>
    <x v="0"/>
    <x v="0"/>
  </r>
  <r>
    <x v="885"/>
    <x v="8"/>
    <x v="0"/>
    <n v="25"/>
    <x v="1"/>
    <n v="3"/>
    <n v="65518"/>
    <n v="10"/>
    <n v="45"/>
    <n v="1"/>
    <n v="89"/>
    <x v="5"/>
    <x v="1"/>
  </r>
  <r>
    <x v="886"/>
    <x v="1"/>
    <x v="2"/>
    <n v="33"/>
    <x v="0"/>
    <n v="9"/>
    <n v="73293"/>
    <n v="14"/>
    <n v="48"/>
    <n v="1"/>
    <n v="98"/>
    <x v="0"/>
    <x v="0"/>
  </r>
  <r>
    <x v="887"/>
    <x v="10"/>
    <x v="0"/>
    <n v="24"/>
    <x v="0"/>
    <n v="13"/>
    <n v="73356"/>
    <n v="13"/>
    <n v="35"/>
    <n v="3"/>
    <n v="93"/>
    <x v="2"/>
    <x v="0"/>
  </r>
  <r>
    <x v="888"/>
    <x v="11"/>
    <x v="0"/>
    <n v="23"/>
    <x v="0"/>
    <n v="5"/>
    <n v="73375"/>
    <n v="4"/>
    <n v="43"/>
    <n v="5"/>
    <n v="93"/>
    <x v="3"/>
    <x v="0"/>
  </r>
  <r>
    <x v="889"/>
    <x v="10"/>
    <x v="1"/>
    <n v="27"/>
    <x v="0"/>
    <n v="5"/>
    <n v="73427"/>
    <n v="3"/>
    <n v="41"/>
    <n v="4"/>
    <n v="89"/>
    <x v="2"/>
    <x v="1"/>
  </r>
  <r>
    <x v="890"/>
    <x v="6"/>
    <x v="3"/>
    <n v="26"/>
    <x v="0"/>
    <n v="1"/>
    <n v="59711"/>
    <n v="6"/>
    <n v="50"/>
    <n v="1"/>
    <n v="100"/>
    <x v="1"/>
    <x v="0"/>
  </r>
  <r>
    <x v="891"/>
    <x v="19"/>
    <x v="1"/>
    <n v="35"/>
    <x v="0"/>
    <n v="3"/>
    <n v="76718"/>
    <n v="14"/>
    <n v="49"/>
    <n v="1"/>
    <n v="91"/>
    <x v="5"/>
    <x v="0"/>
  </r>
  <r>
    <x v="892"/>
    <x v="17"/>
    <x v="3"/>
    <n v="33"/>
    <x v="1"/>
    <n v="14"/>
    <n v="73546"/>
    <n v="10"/>
    <n v="48"/>
    <n v="1"/>
    <n v="90"/>
    <x v="5"/>
    <x v="0"/>
  </r>
  <r>
    <x v="893"/>
    <x v="2"/>
    <x v="0"/>
    <n v="34"/>
    <x v="1"/>
    <n v="13"/>
    <n v="73661"/>
    <n v="6"/>
    <n v="40"/>
    <n v="4"/>
    <n v="98"/>
    <x v="5"/>
    <x v="0"/>
  </r>
  <r>
    <x v="894"/>
    <x v="16"/>
    <x v="3"/>
    <n v="30"/>
    <x v="0"/>
    <n v="2"/>
    <n v="59574"/>
    <n v="12"/>
    <n v="37"/>
    <n v="3"/>
    <n v="96"/>
    <x v="2"/>
    <x v="0"/>
  </r>
  <r>
    <x v="895"/>
    <x v="11"/>
    <x v="1"/>
    <n v="40"/>
    <x v="1"/>
    <n v="9"/>
    <n v="73738"/>
    <n v="6"/>
    <n v="47"/>
    <n v="4"/>
    <n v="99"/>
    <x v="0"/>
    <x v="0"/>
  </r>
  <r>
    <x v="896"/>
    <x v="10"/>
    <x v="2"/>
    <n v="31"/>
    <x v="0"/>
    <n v="12"/>
    <n v="73872"/>
    <n v="3"/>
    <n v="41"/>
    <n v="1"/>
    <n v="87"/>
    <x v="1"/>
    <x v="1"/>
  </r>
  <r>
    <x v="897"/>
    <x v="12"/>
    <x v="0"/>
    <n v="30"/>
    <x v="1"/>
    <n v="10"/>
    <n v="73986"/>
    <n v="11"/>
    <n v="49"/>
    <n v="5"/>
    <n v="97"/>
    <x v="0"/>
    <x v="0"/>
  </r>
  <r>
    <x v="898"/>
    <x v="14"/>
    <x v="3"/>
    <n v="32"/>
    <x v="0"/>
    <n v="10"/>
    <n v="74010"/>
    <n v="9"/>
    <n v="41"/>
    <n v="5"/>
    <n v="88"/>
    <x v="3"/>
    <x v="1"/>
  </r>
  <r>
    <x v="899"/>
    <x v="5"/>
    <x v="0"/>
    <n v="33"/>
    <x v="0"/>
    <n v="9"/>
    <n v="74134"/>
    <n v="4"/>
    <n v="47"/>
    <n v="5"/>
    <n v="90"/>
    <x v="1"/>
    <x v="0"/>
  </r>
  <r>
    <x v="900"/>
    <x v="2"/>
    <x v="0"/>
    <n v="38"/>
    <x v="1"/>
    <n v="5"/>
    <n v="74614"/>
    <n v="13"/>
    <n v="40"/>
    <n v="5"/>
    <n v="85"/>
    <x v="5"/>
    <x v="1"/>
  </r>
  <r>
    <x v="901"/>
    <x v="9"/>
    <x v="1"/>
    <n v="27"/>
    <x v="1"/>
    <n v="10"/>
    <n v="74627"/>
    <n v="13"/>
    <n v="48"/>
    <n v="5"/>
    <n v="94"/>
    <x v="3"/>
    <x v="0"/>
  </r>
  <r>
    <x v="902"/>
    <x v="8"/>
    <x v="1"/>
    <n v="30"/>
    <x v="0"/>
    <n v="5"/>
    <n v="74664"/>
    <n v="4"/>
    <n v="46"/>
    <n v="1"/>
    <n v="99"/>
    <x v="3"/>
    <x v="0"/>
  </r>
  <r>
    <x v="903"/>
    <x v="9"/>
    <x v="1"/>
    <n v="23"/>
    <x v="1"/>
    <n v="13"/>
    <n v="74819"/>
    <n v="13"/>
    <n v="43"/>
    <n v="2"/>
    <n v="94"/>
    <x v="0"/>
    <x v="0"/>
  </r>
  <r>
    <x v="904"/>
    <x v="19"/>
    <x v="3"/>
    <n v="39"/>
    <x v="1"/>
    <n v="9"/>
    <n v="74855"/>
    <n v="15"/>
    <n v="42"/>
    <n v="2"/>
    <n v="91"/>
    <x v="5"/>
    <x v="0"/>
  </r>
  <r>
    <x v="905"/>
    <x v="3"/>
    <x v="1"/>
    <n v="29"/>
    <x v="0"/>
    <n v="11"/>
    <n v="74878"/>
    <n v="3"/>
    <n v="49"/>
    <n v="4"/>
    <n v="87"/>
    <x v="4"/>
    <x v="1"/>
  </r>
  <r>
    <x v="906"/>
    <x v="9"/>
    <x v="2"/>
    <n v="39"/>
    <x v="1"/>
    <n v="5"/>
    <n v="74914"/>
    <n v="13"/>
    <n v="38"/>
    <n v="2"/>
    <n v="94"/>
    <x v="3"/>
    <x v="0"/>
  </r>
  <r>
    <x v="907"/>
    <x v="14"/>
    <x v="0"/>
    <n v="32"/>
    <x v="1"/>
    <n v="14"/>
    <n v="74934"/>
    <n v="11"/>
    <n v="40"/>
    <n v="5"/>
    <n v="98"/>
    <x v="5"/>
    <x v="0"/>
  </r>
  <r>
    <x v="908"/>
    <x v="14"/>
    <x v="0"/>
    <n v="35"/>
    <x v="0"/>
    <n v="5"/>
    <n v="75063"/>
    <n v="5"/>
    <n v="35"/>
    <n v="5"/>
    <n v="99"/>
    <x v="5"/>
    <x v="0"/>
  </r>
  <r>
    <x v="909"/>
    <x v="12"/>
    <x v="2"/>
    <n v="39"/>
    <x v="1"/>
    <n v="1"/>
    <n v="30478"/>
    <n v="15"/>
    <n v="49"/>
    <n v="3"/>
    <n v="86"/>
    <x v="5"/>
    <x v="1"/>
  </r>
  <r>
    <x v="910"/>
    <x v="16"/>
    <x v="0"/>
    <n v="27"/>
    <x v="0"/>
    <n v="1"/>
    <n v="71524"/>
    <n v="7"/>
    <n v="35"/>
    <n v="1"/>
    <n v="92"/>
    <x v="0"/>
    <x v="0"/>
  </r>
  <r>
    <x v="911"/>
    <x v="16"/>
    <x v="3"/>
    <n v="22"/>
    <x v="0"/>
    <n v="3"/>
    <n v="75077"/>
    <n v="14"/>
    <n v="39"/>
    <n v="1"/>
    <n v="97"/>
    <x v="2"/>
    <x v="0"/>
  </r>
  <r>
    <x v="912"/>
    <x v="16"/>
    <x v="0"/>
    <n v="37"/>
    <x v="0"/>
    <n v="13"/>
    <n v="75113"/>
    <n v="6"/>
    <n v="43"/>
    <n v="4"/>
    <n v="97"/>
    <x v="1"/>
    <x v="0"/>
  </r>
  <r>
    <x v="913"/>
    <x v="3"/>
    <x v="3"/>
    <n v="23"/>
    <x v="1"/>
    <n v="12"/>
    <n v="75326"/>
    <n v="6"/>
    <n v="37"/>
    <n v="5"/>
    <n v="90"/>
    <x v="1"/>
    <x v="0"/>
  </r>
  <r>
    <x v="914"/>
    <x v="14"/>
    <x v="0"/>
    <n v="34"/>
    <x v="1"/>
    <n v="14"/>
    <n v="75484"/>
    <n v="12"/>
    <n v="40"/>
    <n v="1"/>
    <n v="86"/>
    <x v="0"/>
    <x v="1"/>
  </r>
  <r>
    <x v="915"/>
    <x v="14"/>
    <x v="3"/>
    <n v="26"/>
    <x v="1"/>
    <n v="9"/>
    <n v="75620"/>
    <n v="12"/>
    <n v="45"/>
    <n v="5"/>
    <n v="90"/>
    <x v="0"/>
    <x v="0"/>
  </r>
  <r>
    <x v="916"/>
    <x v="3"/>
    <x v="0"/>
    <n v="28"/>
    <x v="0"/>
    <n v="11"/>
    <n v="75650"/>
    <n v="9"/>
    <n v="50"/>
    <n v="3"/>
    <n v="98"/>
    <x v="1"/>
    <x v="0"/>
  </r>
  <r>
    <x v="917"/>
    <x v="1"/>
    <x v="0"/>
    <n v="23"/>
    <x v="1"/>
    <n v="1"/>
    <n v="36249"/>
    <n v="7"/>
    <n v="37"/>
    <n v="4"/>
    <n v="87"/>
    <x v="1"/>
    <x v="1"/>
  </r>
  <r>
    <x v="918"/>
    <x v="16"/>
    <x v="2"/>
    <n v="38"/>
    <x v="0"/>
    <n v="11"/>
    <n v="75787"/>
    <n v="6"/>
    <n v="38"/>
    <n v="4"/>
    <n v="88"/>
    <x v="0"/>
    <x v="1"/>
  </r>
  <r>
    <x v="919"/>
    <x v="11"/>
    <x v="2"/>
    <n v="38"/>
    <x v="0"/>
    <n v="2"/>
    <n v="48337"/>
    <n v="9"/>
    <n v="41"/>
    <n v="2"/>
    <n v="97"/>
    <x v="5"/>
    <x v="0"/>
  </r>
  <r>
    <x v="920"/>
    <x v="1"/>
    <x v="3"/>
    <n v="33"/>
    <x v="1"/>
    <n v="7"/>
    <n v="75863"/>
    <n v="3"/>
    <n v="41"/>
    <n v="4"/>
    <n v="85"/>
    <x v="1"/>
    <x v="1"/>
  </r>
  <r>
    <x v="921"/>
    <x v="5"/>
    <x v="0"/>
    <n v="30"/>
    <x v="1"/>
    <n v="2"/>
    <n v="56311"/>
    <n v="15"/>
    <n v="43"/>
    <n v="2"/>
    <n v="91"/>
    <x v="0"/>
    <x v="0"/>
  </r>
  <r>
    <x v="922"/>
    <x v="1"/>
    <x v="3"/>
    <n v="28"/>
    <x v="1"/>
    <n v="3"/>
    <n v="25039"/>
    <n v="11"/>
    <n v="45"/>
    <n v="3"/>
    <n v="95"/>
    <x v="2"/>
    <x v="0"/>
  </r>
  <r>
    <x v="923"/>
    <x v="17"/>
    <x v="3"/>
    <n v="40"/>
    <x v="0"/>
    <n v="9"/>
    <n v="75874"/>
    <n v="13"/>
    <n v="35"/>
    <n v="4"/>
    <n v="97"/>
    <x v="1"/>
    <x v="0"/>
  </r>
  <r>
    <x v="924"/>
    <x v="4"/>
    <x v="2"/>
    <n v="22"/>
    <x v="1"/>
    <n v="8"/>
    <n v="76243"/>
    <n v="9"/>
    <n v="35"/>
    <n v="1"/>
    <n v="95"/>
    <x v="0"/>
    <x v="0"/>
  </r>
  <r>
    <x v="925"/>
    <x v="16"/>
    <x v="0"/>
    <n v="26"/>
    <x v="0"/>
    <n v="6"/>
    <n v="76256"/>
    <n v="7"/>
    <n v="35"/>
    <n v="1"/>
    <n v="96"/>
    <x v="0"/>
    <x v="0"/>
  </r>
  <r>
    <x v="926"/>
    <x v="11"/>
    <x v="3"/>
    <n v="37"/>
    <x v="0"/>
    <n v="6"/>
    <n v="76342"/>
    <n v="11"/>
    <n v="43"/>
    <n v="3"/>
    <n v="91"/>
    <x v="1"/>
    <x v="0"/>
  </r>
  <r>
    <x v="927"/>
    <x v="17"/>
    <x v="2"/>
    <n v="31"/>
    <x v="0"/>
    <n v="15"/>
    <n v="76389"/>
    <n v="6"/>
    <n v="36"/>
    <n v="2"/>
    <n v="95"/>
    <x v="2"/>
    <x v="0"/>
  </r>
  <r>
    <x v="928"/>
    <x v="7"/>
    <x v="2"/>
    <n v="37"/>
    <x v="0"/>
    <n v="11"/>
    <n v="76423"/>
    <n v="15"/>
    <n v="35"/>
    <n v="5"/>
    <n v="94"/>
    <x v="3"/>
    <x v="0"/>
  </r>
  <r>
    <x v="929"/>
    <x v="17"/>
    <x v="2"/>
    <n v="40"/>
    <x v="0"/>
    <n v="5"/>
    <n v="76499"/>
    <n v="10"/>
    <n v="41"/>
    <n v="2"/>
    <n v="92"/>
    <x v="4"/>
    <x v="0"/>
  </r>
  <r>
    <x v="930"/>
    <x v="5"/>
    <x v="2"/>
    <n v="37"/>
    <x v="0"/>
    <n v="10"/>
    <n v="76531"/>
    <n v="12"/>
    <n v="43"/>
    <n v="5"/>
    <n v="98"/>
    <x v="4"/>
    <x v="0"/>
  </r>
  <r>
    <x v="931"/>
    <x v="14"/>
    <x v="3"/>
    <n v="23"/>
    <x v="0"/>
    <n v="1"/>
    <n v="44696"/>
    <n v="12"/>
    <n v="50"/>
    <n v="3"/>
    <n v="87"/>
    <x v="5"/>
    <x v="1"/>
  </r>
  <r>
    <x v="932"/>
    <x v="10"/>
    <x v="0"/>
    <n v="30"/>
    <x v="0"/>
    <n v="4"/>
    <n v="26403"/>
    <n v="4"/>
    <n v="42"/>
    <n v="2"/>
    <n v="95"/>
    <x v="4"/>
    <x v="0"/>
  </r>
  <r>
    <x v="933"/>
    <x v="14"/>
    <x v="2"/>
    <n v="28"/>
    <x v="0"/>
    <n v="7"/>
    <n v="76533"/>
    <n v="3"/>
    <n v="44"/>
    <n v="5"/>
    <n v="93"/>
    <x v="1"/>
    <x v="0"/>
  </r>
  <r>
    <x v="934"/>
    <x v="8"/>
    <x v="1"/>
    <n v="36"/>
    <x v="0"/>
    <n v="7"/>
    <n v="76702"/>
    <n v="9"/>
    <n v="50"/>
    <n v="4"/>
    <n v="88"/>
    <x v="5"/>
    <x v="1"/>
  </r>
  <r>
    <x v="935"/>
    <x v="2"/>
    <x v="1"/>
    <n v="27"/>
    <x v="0"/>
    <n v="6"/>
    <n v="76824"/>
    <n v="6"/>
    <n v="42"/>
    <n v="5"/>
    <n v="85"/>
    <x v="5"/>
    <x v="1"/>
  </r>
  <r>
    <x v="936"/>
    <x v="7"/>
    <x v="1"/>
    <n v="25"/>
    <x v="0"/>
    <n v="14"/>
    <n v="76866"/>
    <n v="8"/>
    <n v="41"/>
    <n v="3"/>
    <n v="90"/>
    <x v="2"/>
    <x v="0"/>
  </r>
  <r>
    <x v="937"/>
    <x v="5"/>
    <x v="2"/>
    <n v="33"/>
    <x v="0"/>
    <n v="12"/>
    <n v="76956"/>
    <n v="7"/>
    <n v="46"/>
    <n v="3"/>
    <n v="90"/>
    <x v="4"/>
    <x v="0"/>
  </r>
  <r>
    <x v="938"/>
    <x v="10"/>
    <x v="1"/>
    <n v="34"/>
    <x v="0"/>
    <n v="9"/>
    <n v="76959"/>
    <n v="4"/>
    <n v="47"/>
    <n v="4"/>
    <n v="96"/>
    <x v="1"/>
    <x v="0"/>
  </r>
  <r>
    <x v="939"/>
    <x v="1"/>
    <x v="3"/>
    <n v="29"/>
    <x v="0"/>
    <n v="2"/>
    <n v="31566"/>
    <n v="9"/>
    <n v="48"/>
    <n v="4"/>
    <n v="100"/>
    <x v="3"/>
    <x v="0"/>
  </r>
  <r>
    <x v="940"/>
    <x v="12"/>
    <x v="3"/>
    <n v="38"/>
    <x v="0"/>
    <n v="9"/>
    <n v="77051"/>
    <n v="10"/>
    <n v="45"/>
    <n v="2"/>
    <n v="93"/>
    <x v="4"/>
    <x v="0"/>
  </r>
  <r>
    <x v="941"/>
    <x v="17"/>
    <x v="2"/>
    <n v="33"/>
    <x v="0"/>
    <n v="6"/>
    <n v="77495"/>
    <n v="14"/>
    <n v="42"/>
    <n v="5"/>
    <n v="87"/>
    <x v="1"/>
    <x v="1"/>
  </r>
  <r>
    <x v="942"/>
    <x v="11"/>
    <x v="1"/>
    <n v="29"/>
    <x v="1"/>
    <n v="10"/>
    <n v="77522"/>
    <n v="4"/>
    <n v="48"/>
    <n v="5"/>
    <n v="99"/>
    <x v="4"/>
    <x v="0"/>
  </r>
  <r>
    <x v="943"/>
    <x v="7"/>
    <x v="2"/>
    <n v="24"/>
    <x v="1"/>
    <n v="12"/>
    <n v="77647"/>
    <n v="9"/>
    <n v="40"/>
    <n v="4"/>
    <n v="98"/>
    <x v="2"/>
    <x v="0"/>
  </r>
  <r>
    <x v="944"/>
    <x v="8"/>
    <x v="1"/>
    <n v="22"/>
    <x v="1"/>
    <n v="1"/>
    <n v="38608"/>
    <n v="15"/>
    <n v="38"/>
    <n v="4"/>
    <n v="96"/>
    <x v="0"/>
    <x v="0"/>
  </r>
  <r>
    <x v="945"/>
    <x v="18"/>
    <x v="2"/>
    <n v="31"/>
    <x v="1"/>
    <n v="1"/>
    <n v="49205"/>
    <n v="7"/>
    <n v="48"/>
    <n v="2"/>
    <n v="93"/>
    <x v="3"/>
    <x v="0"/>
  </r>
  <r>
    <x v="946"/>
    <x v="16"/>
    <x v="1"/>
    <n v="26"/>
    <x v="1"/>
    <n v="10"/>
    <n v="77673"/>
    <n v="12"/>
    <n v="44"/>
    <n v="4"/>
    <n v="96"/>
    <x v="4"/>
    <x v="0"/>
  </r>
  <r>
    <x v="947"/>
    <x v="6"/>
    <x v="2"/>
    <n v="35"/>
    <x v="1"/>
    <n v="12"/>
    <n v="77734"/>
    <n v="8"/>
    <n v="44"/>
    <n v="1"/>
    <n v="86"/>
    <x v="1"/>
    <x v="1"/>
  </r>
  <r>
    <x v="948"/>
    <x v="11"/>
    <x v="0"/>
    <n v="24"/>
    <x v="0"/>
    <n v="10"/>
    <n v="77737"/>
    <n v="11"/>
    <n v="46"/>
    <n v="1"/>
    <n v="88"/>
    <x v="3"/>
    <x v="1"/>
  </r>
  <r>
    <x v="949"/>
    <x v="19"/>
    <x v="2"/>
    <n v="27"/>
    <x v="1"/>
    <n v="4"/>
    <n v="58350"/>
    <n v="15"/>
    <n v="46"/>
    <n v="4"/>
    <n v="88"/>
    <x v="5"/>
    <x v="1"/>
  </r>
  <r>
    <x v="950"/>
    <x v="8"/>
    <x v="1"/>
    <n v="26"/>
    <x v="0"/>
    <n v="5"/>
    <n v="77979"/>
    <n v="7"/>
    <n v="44"/>
    <n v="2"/>
    <n v="91"/>
    <x v="4"/>
    <x v="0"/>
  </r>
  <r>
    <x v="951"/>
    <x v="2"/>
    <x v="0"/>
    <n v="28"/>
    <x v="0"/>
    <n v="2"/>
    <n v="59803"/>
    <n v="4"/>
    <n v="40"/>
    <n v="2"/>
    <n v="89"/>
    <x v="0"/>
    <x v="1"/>
  </r>
  <r>
    <x v="952"/>
    <x v="19"/>
    <x v="1"/>
    <n v="36"/>
    <x v="1"/>
    <n v="14"/>
    <n v="77981"/>
    <n v="3"/>
    <n v="43"/>
    <n v="3"/>
    <n v="90"/>
    <x v="1"/>
    <x v="0"/>
  </r>
  <r>
    <x v="953"/>
    <x v="12"/>
    <x v="1"/>
    <n v="24"/>
    <x v="0"/>
    <n v="13"/>
    <n v="77990"/>
    <n v="3"/>
    <n v="40"/>
    <n v="2"/>
    <n v="93"/>
    <x v="3"/>
    <x v="0"/>
  </r>
  <r>
    <x v="954"/>
    <x v="1"/>
    <x v="2"/>
    <n v="39"/>
    <x v="0"/>
    <n v="4"/>
    <n v="52802"/>
    <n v="7"/>
    <n v="36"/>
    <n v="2"/>
    <n v="86"/>
    <x v="4"/>
    <x v="1"/>
  </r>
  <r>
    <x v="955"/>
    <x v="12"/>
    <x v="3"/>
    <n v="33"/>
    <x v="1"/>
    <n v="4"/>
    <n v="56514"/>
    <n v="6"/>
    <n v="41"/>
    <n v="3"/>
    <n v="90"/>
    <x v="0"/>
    <x v="0"/>
  </r>
  <r>
    <x v="956"/>
    <x v="8"/>
    <x v="1"/>
    <n v="37"/>
    <x v="0"/>
    <n v="8"/>
    <n v="78107"/>
    <n v="10"/>
    <n v="35"/>
    <n v="2"/>
    <n v="90"/>
    <x v="4"/>
    <x v="0"/>
  </r>
  <r>
    <x v="957"/>
    <x v="13"/>
    <x v="3"/>
    <n v="34"/>
    <x v="1"/>
    <n v="13"/>
    <n v="78164"/>
    <n v="11"/>
    <n v="46"/>
    <n v="5"/>
    <n v="100"/>
    <x v="1"/>
    <x v="0"/>
  </r>
  <r>
    <x v="958"/>
    <x v="2"/>
    <x v="3"/>
    <n v="38"/>
    <x v="0"/>
    <n v="6"/>
    <n v="78173"/>
    <n v="7"/>
    <n v="44"/>
    <n v="4"/>
    <n v="98"/>
    <x v="3"/>
    <x v="0"/>
  </r>
  <r>
    <x v="959"/>
    <x v="2"/>
    <x v="2"/>
    <n v="40"/>
    <x v="0"/>
    <n v="13"/>
    <n v="78385"/>
    <n v="10"/>
    <n v="44"/>
    <n v="4"/>
    <n v="85"/>
    <x v="1"/>
    <x v="1"/>
  </r>
  <r>
    <x v="960"/>
    <x v="17"/>
    <x v="2"/>
    <n v="40"/>
    <x v="1"/>
    <n v="1"/>
    <n v="67683"/>
    <n v="9"/>
    <n v="44"/>
    <n v="3"/>
    <n v="97"/>
    <x v="0"/>
    <x v="0"/>
  </r>
  <r>
    <x v="961"/>
    <x v="1"/>
    <x v="2"/>
    <n v="22"/>
    <x v="1"/>
    <n v="10"/>
    <n v="78397"/>
    <n v="5"/>
    <n v="37"/>
    <n v="5"/>
    <n v="100"/>
    <x v="5"/>
    <x v="0"/>
  </r>
  <r>
    <x v="962"/>
    <x v="8"/>
    <x v="2"/>
    <n v="37"/>
    <x v="1"/>
    <n v="1"/>
    <n v="67533"/>
    <n v="11"/>
    <n v="35"/>
    <n v="3"/>
    <n v="98"/>
    <x v="4"/>
    <x v="0"/>
  </r>
  <r>
    <x v="963"/>
    <x v="11"/>
    <x v="1"/>
    <n v="38"/>
    <x v="0"/>
    <n v="12"/>
    <n v="78427"/>
    <n v="9"/>
    <n v="47"/>
    <n v="4"/>
    <n v="86"/>
    <x v="3"/>
    <x v="1"/>
  </r>
  <r>
    <x v="964"/>
    <x v="0"/>
    <x v="0"/>
    <n v="38"/>
    <x v="1"/>
    <n v="11"/>
    <n v="78474"/>
    <n v="9"/>
    <n v="41"/>
    <n v="2"/>
    <n v="86"/>
    <x v="4"/>
    <x v="1"/>
  </r>
  <r>
    <x v="965"/>
    <x v="14"/>
    <x v="3"/>
    <n v="30"/>
    <x v="0"/>
    <n v="5"/>
    <n v="78576"/>
    <n v="9"/>
    <n v="41"/>
    <n v="4"/>
    <n v="91"/>
    <x v="4"/>
    <x v="0"/>
  </r>
  <r>
    <x v="966"/>
    <x v="0"/>
    <x v="2"/>
    <n v="22"/>
    <x v="0"/>
    <n v="6"/>
    <n v="78682"/>
    <n v="11"/>
    <n v="46"/>
    <n v="1"/>
    <n v="95"/>
    <x v="1"/>
    <x v="0"/>
  </r>
  <r>
    <x v="967"/>
    <x v="8"/>
    <x v="3"/>
    <n v="22"/>
    <x v="1"/>
    <n v="9"/>
    <n v="78748"/>
    <n v="3"/>
    <n v="39"/>
    <n v="1"/>
    <n v="91"/>
    <x v="0"/>
    <x v="0"/>
  </r>
  <r>
    <x v="968"/>
    <x v="8"/>
    <x v="1"/>
    <n v="27"/>
    <x v="1"/>
    <n v="5"/>
    <n v="78796"/>
    <n v="13"/>
    <n v="48"/>
    <n v="2"/>
    <n v="96"/>
    <x v="2"/>
    <x v="0"/>
  </r>
  <r>
    <x v="969"/>
    <x v="4"/>
    <x v="3"/>
    <n v="39"/>
    <x v="1"/>
    <n v="12"/>
    <n v="78803"/>
    <n v="12"/>
    <n v="47"/>
    <n v="5"/>
    <n v="88"/>
    <x v="1"/>
    <x v="1"/>
  </r>
  <r>
    <x v="970"/>
    <x v="7"/>
    <x v="2"/>
    <n v="34"/>
    <x v="0"/>
    <n v="3"/>
    <n v="34785"/>
    <n v="13"/>
    <n v="50"/>
    <n v="3"/>
    <n v="94"/>
    <x v="1"/>
    <x v="0"/>
  </r>
  <r>
    <x v="971"/>
    <x v="11"/>
    <x v="0"/>
    <n v="25"/>
    <x v="0"/>
    <n v="7"/>
    <n v="78916"/>
    <n v="6"/>
    <n v="35"/>
    <n v="2"/>
    <n v="88"/>
    <x v="0"/>
    <x v="1"/>
  </r>
  <r>
    <x v="972"/>
    <x v="4"/>
    <x v="2"/>
    <n v="25"/>
    <x v="0"/>
    <n v="5"/>
    <n v="78987"/>
    <n v="14"/>
    <n v="49"/>
    <n v="1"/>
    <n v="99"/>
    <x v="0"/>
    <x v="0"/>
  </r>
  <r>
    <x v="973"/>
    <x v="15"/>
    <x v="0"/>
    <n v="27"/>
    <x v="1"/>
    <n v="14"/>
    <n v="79047"/>
    <n v="6"/>
    <n v="35"/>
    <n v="4"/>
    <n v="89"/>
    <x v="5"/>
    <x v="1"/>
  </r>
  <r>
    <x v="974"/>
    <x v="9"/>
    <x v="0"/>
    <n v="40"/>
    <x v="1"/>
    <n v="6"/>
    <n v="79076"/>
    <n v="5"/>
    <n v="46"/>
    <n v="2"/>
    <n v="100"/>
    <x v="4"/>
    <x v="0"/>
  </r>
  <r>
    <x v="975"/>
    <x v="17"/>
    <x v="2"/>
    <n v="40"/>
    <x v="0"/>
    <n v="7"/>
    <n v="79077"/>
    <n v="9"/>
    <n v="50"/>
    <n v="4"/>
    <n v="94"/>
    <x v="2"/>
    <x v="0"/>
  </r>
  <r>
    <x v="976"/>
    <x v="11"/>
    <x v="2"/>
    <n v="22"/>
    <x v="0"/>
    <n v="10"/>
    <n v="79099"/>
    <n v="8"/>
    <n v="43"/>
    <n v="2"/>
    <n v="98"/>
    <x v="5"/>
    <x v="0"/>
  </r>
  <r>
    <x v="977"/>
    <x v="5"/>
    <x v="0"/>
    <n v="29"/>
    <x v="1"/>
    <n v="10"/>
    <n v="79102"/>
    <n v="13"/>
    <n v="43"/>
    <n v="1"/>
    <n v="88"/>
    <x v="1"/>
    <x v="1"/>
  </r>
  <r>
    <x v="978"/>
    <x v="1"/>
    <x v="3"/>
    <n v="37"/>
    <x v="0"/>
    <n v="8"/>
    <n v="79175"/>
    <n v="14"/>
    <n v="43"/>
    <n v="3"/>
    <n v="90"/>
    <x v="0"/>
    <x v="0"/>
  </r>
  <r>
    <x v="979"/>
    <x v="12"/>
    <x v="3"/>
    <n v="35"/>
    <x v="1"/>
    <n v="11"/>
    <n v="79196"/>
    <n v="7"/>
    <n v="46"/>
    <n v="3"/>
    <n v="97"/>
    <x v="2"/>
    <x v="0"/>
  </r>
  <r>
    <x v="980"/>
    <x v="15"/>
    <x v="2"/>
    <n v="28"/>
    <x v="1"/>
    <n v="13"/>
    <n v="79263"/>
    <n v="10"/>
    <n v="46"/>
    <n v="4"/>
    <n v="87"/>
    <x v="2"/>
    <x v="1"/>
  </r>
  <r>
    <x v="981"/>
    <x v="6"/>
    <x v="0"/>
    <n v="38"/>
    <x v="1"/>
    <n v="11"/>
    <n v="79357"/>
    <n v="14"/>
    <n v="46"/>
    <n v="1"/>
    <n v="94"/>
    <x v="2"/>
    <x v="0"/>
  </r>
  <r>
    <x v="982"/>
    <x v="13"/>
    <x v="3"/>
    <n v="33"/>
    <x v="1"/>
    <n v="11"/>
    <n v="79450"/>
    <n v="9"/>
    <n v="50"/>
    <n v="3"/>
    <n v="93"/>
    <x v="0"/>
    <x v="0"/>
  </r>
  <r>
    <x v="983"/>
    <x v="10"/>
    <x v="1"/>
    <n v="28"/>
    <x v="1"/>
    <n v="1"/>
    <n v="35419"/>
    <n v="11"/>
    <n v="40"/>
    <n v="3"/>
    <n v="85"/>
    <x v="5"/>
    <x v="1"/>
  </r>
  <r>
    <x v="984"/>
    <x v="19"/>
    <x v="2"/>
    <n v="39"/>
    <x v="1"/>
    <n v="8"/>
    <n v="79461"/>
    <n v="15"/>
    <n v="37"/>
    <n v="5"/>
    <n v="93"/>
    <x v="1"/>
    <x v="0"/>
  </r>
  <r>
    <x v="985"/>
    <x v="17"/>
    <x v="3"/>
    <n v="34"/>
    <x v="1"/>
    <n v="2"/>
    <n v="63879"/>
    <n v="15"/>
    <n v="40"/>
    <n v="3"/>
    <n v="95"/>
    <x v="4"/>
    <x v="0"/>
  </r>
  <r>
    <x v="986"/>
    <x v="1"/>
    <x v="0"/>
    <n v="26"/>
    <x v="1"/>
    <n v="4"/>
    <n v="76713"/>
    <n v="8"/>
    <n v="46"/>
    <n v="1"/>
    <n v="90"/>
    <x v="4"/>
    <x v="0"/>
  </r>
  <r>
    <x v="987"/>
    <x v="1"/>
    <x v="2"/>
    <n v="23"/>
    <x v="1"/>
    <n v="4"/>
    <n v="68718"/>
    <n v="7"/>
    <n v="36"/>
    <n v="4"/>
    <n v="86"/>
    <x v="5"/>
    <x v="1"/>
  </r>
  <r>
    <x v="988"/>
    <x v="7"/>
    <x v="3"/>
    <n v="32"/>
    <x v="0"/>
    <n v="6"/>
    <n v="79551"/>
    <n v="7"/>
    <n v="38"/>
    <n v="5"/>
    <n v="87"/>
    <x v="4"/>
    <x v="1"/>
  </r>
  <r>
    <x v="989"/>
    <x v="4"/>
    <x v="1"/>
    <n v="37"/>
    <x v="1"/>
    <n v="4"/>
    <n v="67468"/>
    <n v="15"/>
    <n v="36"/>
    <n v="3"/>
    <n v="95"/>
    <x v="1"/>
    <x v="0"/>
  </r>
  <r>
    <x v="990"/>
    <x v="12"/>
    <x v="0"/>
    <n v="25"/>
    <x v="0"/>
    <n v="7"/>
    <n v="79600"/>
    <n v="12"/>
    <n v="42"/>
    <n v="5"/>
    <n v="91"/>
    <x v="0"/>
    <x v="0"/>
  </r>
  <r>
    <x v="991"/>
    <x v="13"/>
    <x v="1"/>
    <n v="40"/>
    <x v="1"/>
    <n v="4"/>
    <n v="32525"/>
    <n v="11"/>
    <n v="46"/>
    <n v="4"/>
    <n v="93"/>
    <x v="0"/>
    <x v="0"/>
  </r>
  <r>
    <x v="992"/>
    <x v="0"/>
    <x v="1"/>
    <n v="25"/>
    <x v="1"/>
    <n v="11"/>
    <n v="79604"/>
    <n v="7"/>
    <n v="37"/>
    <n v="4"/>
    <n v="100"/>
    <x v="3"/>
    <x v="0"/>
  </r>
  <r>
    <x v="993"/>
    <x v="17"/>
    <x v="1"/>
    <n v="26"/>
    <x v="0"/>
    <n v="1"/>
    <n v="43849"/>
    <n v="15"/>
    <n v="50"/>
    <n v="4"/>
    <n v="94"/>
    <x v="0"/>
    <x v="0"/>
  </r>
  <r>
    <x v="994"/>
    <x v="4"/>
    <x v="2"/>
    <n v="36"/>
    <x v="0"/>
    <n v="7"/>
    <n v="79687"/>
    <n v="6"/>
    <n v="49"/>
    <n v="5"/>
    <n v="86"/>
    <x v="1"/>
    <x v="1"/>
  </r>
  <r>
    <x v="995"/>
    <x v="6"/>
    <x v="1"/>
    <n v="26"/>
    <x v="1"/>
    <n v="13"/>
    <n v="79834"/>
    <n v="4"/>
    <n v="37"/>
    <n v="1"/>
    <n v="87"/>
    <x v="4"/>
    <x v="1"/>
  </r>
  <r>
    <x v="996"/>
    <x v="10"/>
    <x v="0"/>
    <n v="33"/>
    <x v="0"/>
    <n v="13"/>
    <n v="79884"/>
    <n v="12"/>
    <n v="46"/>
    <n v="2"/>
    <n v="91"/>
    <x v="2"/>
    <x v="0"/>
  </r>
  <r>
    <x v="997"/>
    <x v="14"/>
    <x v="2"/>
    <n v="35"/>
    <x v="1"/>
    <n v="14"/>
    <n v="79906"/>
    <n v="9"/>
    <n v="49"/>
    <n v="2"/>
    <n v="85"/>
    <x v="0"/>
    <x v="1"/>
  </r>
  <r>
    <x v="998"/>
    <x v="5"/>
    <x v="2"/>
    <n v="22"/>
    <x v="0"/>
    <n v="4"/>
    <n v="36799"/>
    <n v="13"/>
    <n v="46"/>
    <n v="2"/>
    <n v="88"/>
    <x v="2"/>
    <x v="1"/>
  </r>
  <r>
    <x v="999"/>
    <x v="11"/>
    <x v="0"/>
    <n v="25"/>
    <x v="0"/>
    <n v="1"/>
    <n v="71460"/>
    <n v="7"/>
    <n v="49"/>
    <n v="1"/>
    <n v="99"/>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555A03-4082-400E-B297-9699C1F1B4F2}"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C37" firstHeaderRow="1" firstDataRow="1" firstDataCol="2"/>
  <pivotFields count="13">
    <pivotField compact="0" outline="0" showAll="0"/>
    <pivotField axis="axisRow" compact="0" outline="0" showAll="0">
      <items count="22">
        <item x="14"/>
        <item x="17"/>
        <item x="9"/>
        <item x="19"/>
        <item x="3"/>
        <item x="6"/>
        <item x="12"/>
        <item x="11"/>
        <item x="15"/>
        <item x="8"/>
        <item x="7"/>
        <item h="1" x="2"/>
        <item h="1" x="1"/>
        <item h="1" x="10"/>
        <item h="1" x="4"/>
        <item h="1" x="5"/>
        <item h="1" x="0"/>
        <item h="1" x="16"/>
        <item h="1" x="18"/>
        <item h="1" x="13"/>
        <item h="1" x="20"/>
        <item t="default"/>
      </items>
    </pivotField>
    <pivotField axis="axisRow" compact="0" outline="0" showAll="0">
      <items count="6">
        <item x="2"/>
        <item x="1"/>
        <item h="1" x="0"/>
        <item h="1" x="3"/>
        <item h="1" x="4"/>
        <item t="default"/>
      </items>
    </pivotField>
    <pivotField compact="0" outline="0" showAll="0"/>
    <pivotField compact="0" outline="0" showAll="0">
      <items count="4">
        <item x="1"/>
        <item x="0"/>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s>
  <rowFields count="2">
    <field x="1"/>
    <field x="2"/>
  </rowFields>
  <rowItems count="34">
    <i>
      <x/>
      <x/>
    </i>
    <i r="1">
      <x v="1"/>
    </i>
    <i t="default">
      <x/>
    </i>
    <i>
      <x v="1"/>
      <x/>
    </i>
    <i r="1">
      <x v="1"/>
    </i>
    <i t="default">
      <x v="1"/>
    </i>
    <i>
      <x v="2"/>
      <x/>
    </i>
    <i r="1">
      <x v="1"/>
    </i>
    <i t="default">
      <x v="2"/>
    </i>
    <i>
      <x v="3"/>
      <x/>
    </i>
    <i r="1">
      <x v="1"/>
    </i>
    <i t="default">
      <x v="3"/>
    </i>
    <i>
      <x v="4"/>
      <x/>
    </i>
    <i r="1">
      <x v="1"/>
    </i>
    <i t="default">
      <x v="4"/>
    </i>
    <i>
      <x v="5"/>
      <x/>
    </i>
    <i r="1">
      <x v="1"/>
    </i>
    <i t="default">
      <x v="5"/>
    </i>
    <i>
      <x v="6"/>
      <x/>
    </i>
    <i r="1">
      <x v="1"/>
    </i>
    <i t="default">
      <x v="6"/>
    </i>
    <i>
      <x v="7"/>
      <x/>
    </i>
    <i r="1">
      <x v="1"/>
    </i>
    <i t="default">
      <x v="7"/>
    </i>
    <i>
      <x v="8"/>
      <x/>
    </i>
    <i r="1">
      <x v="1"/>
    </i>
    <i t="default">
      <x v="8"/>
    </i>
    <i>
      <x v="9"/>
      <x/>
    </i>
    <i r="1">
      <x v="1"/>
    </i>
    <i t="default">
      <x v="9"/>
    </i>
    <i>
      <x v="10"/>
      <x/>
    </i>
    <i r="1">
      <x v="1"/>
    </i>
    <i t="default">
      <x v="10"/>
    </i>
    <i t="grand">
      <x/>
    </i>
  </rowItems>
  <colItems count="1">
    <i/>
  </colItems>
  <dataFields count="1">
    <dataField name="Sum of Salary" fld="6" baseField="0" baseItem="0"/>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C31A0D-06FD-473A-8C19-F65D4DC87D7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C9" firstHeaderRow="0" firstDataRow="1" firstDataCol="1"/>
  <pivotFields count="13">
    <pivotField compact="0" outline="0" showAll="0">
      <items count="1002">
        <item x="434"/>
        <item x="904"/>
        <item x="2"/>
        <item x="550"/>
        <item x="123"/>
        <item x="5"/>
        <item x="844"/>
        <item x="532"/>
        <item x="360"/>
        <item x="929"/>
        <item h="1" x="10"/>
        <item h="1" x="938"/>
        <item h="1" x="57"/>
        <item h="1" x="396"/>
        <item h="1" x="14"/>
        <item h="1" x="15"/>
        <item h="1" x="275"/>
        <item h="1" x="17"/>
        <item h="1" x="18"/>
        <item h="1" x="867"/>
        <item h="1" x="877"/>
        <item h="1" x="21"/>
        <item h="1" x="127"/>
        <item h="1" x="23"/>
        <item h="1" x="24"/>
        <item h="1" x="935"/>
        <item h="1" x="357"/>
        <item h="1" x="209"/>
        <item h="1" x="274"/>
        <item h="1" x="705"/>
        <item h="1" x="30"/>
        <item h="1" x="31"/>
        <item h="1" x="300"/>
        <item h="1" x="33"/>
        <item h="1" x="783"/>
        <item h="1" x="35"/>
        <item h="1" x="273"/>
        <item h="1" x="850"/>
        <item h="1" x="912"/>
        <item h="1" x="923"/>
        <item h="1" x="375"/>
        <item h="1" x="41"/>
        <item h="1" x="49"/>
        <item h="1" x="166"/>
        <item h="1" x="580"/>
        <item h="1" x="995"/>
        <item h="1" x="46"/>
        <item h="1" x="578"/>
        <item h="1" x="519"/>
        <item h="1" x="287"/>
        <item h="1" x="667"/>
        <item h="1" x="457"/>
        <item h="1" x="52"/>
        <item h="1" x="53"/>
        <item h="1" x="846"/>
        <item h="1" x="546"/>
        <item h="1" x="58"/>
        <item h="1" x="992"/>
        <item h="1" x="85"/>
        <item h="1" x="59"/>
        <item h="1" x="60"/>
        <item h="1" x="605"/>
        <item h="1" x="62"/>
        <item h="1" x="63"/>
        <item h="1" x="64"/>
        <item h="1" x="65"/>
        <item h="1" x="66"/>
        <item h="1" x="67"/>
        <item h="1" x="190"/>
        <item h="1" x="112"/>
        <item h="1" x="184"/>
        <item h="1" x="703"/>
        <item h="1" x="72"/>
        <item h="1" x="726"/>
        <item h="1" x="168"/>
        <item h="1" x="436"/>
        <item h="1" x="76"/>
        <item h="1" x="355"/>
        <item h="1" x="135"/>
        <item h="1" x="1"/>
        <item h="1" x="305"/>
        <item h="1" x="897"/>
        <item h="1" x="82"/>
        <item h="1" x="83"/>
        <item h="1" x="205"/>
        <item h="1" x="898"/>
        <item h="1" x="86"/>
        <item h="1" x="87"/>
        <item h="1" x="164"/>
        <item h="1" x="286"/>
        <item h="1" x="90"/>
        <item h="1" x="75"/>
        <item h="1" x="92"/>
        <item h="1" x="759"/>
        <item h="1" x="294"/>
        <item h="1" x="781"/>
        <item h="1" x="221"/>
        <item h="1" x="641"/>
        <item h="1" x="115"/>
        <item h="1" x="99"/>
        <item h="1" x="100"/>
        <item h="1" x="630"/>
        <item h="1" x="183"/>
        <item h="1" x="494"/>
        <item h="1" x="800"/>
        <item h="1" x="105"/>
        <item h="1" x="695"/>
        <item h="1" x="69"/>
        <item h="1" x="621"/>
        <item h="1" x="469"/>
        <item h="1" x="565"/>
        <item h="1" x="93"/>
        <item h="1" x="400"/>
        <item h="1" x="113"/>
        <item h="1" x="114"/>
        <item h="1" x="722"/>
        <item h="1" x="958"/>
        <item h="1" x="117"/>
        <item h="1" x="118"/>
        <item h="1" x="947"/>
        <item h="1" x="120"/>
        <item h="1" x="121"/>
        <item h="1" x="859"/>
        <item h="1" x="281"/>
        <item h="1" x="753"/>
        <item h="1" x="760"/>
        <item h="1" x="126"/>
        <item h="1" x="463"/>
        <item h="1" x="543"/>
        <item h="1" x="797"/>
        <item h="1" x="130"/>
        <item h="1" x="662"/>
        <item h="1" x="132"/>
        <item h="1" x="91"/>
        <item h="1" x="692"/>
        <item h="1" x="11"/>
        <item h="1" x="235"/>
        <item h="1" x="414"/>
        <item h="1" x="557"/>
        <item h="1" x="142"/>
        <item h="1" x="344"/>
        <item h="1" x="603"/>
        <item h="1" x="16"/>
        <item h="1" x="254"/>
        <item h="1" x="144"/>
        <item h="1" x="563"/>
        <item h="1" x="146"/>
        <item h="1" x="260"/>
        <item h="1" x="77"/>
        <item h="1" x="482"/>
        <item h="1" x="43"/>
        <item h="1" x="514"/>
        <item h="1" x="152"/>
        <item h="1" x="153"/>
        <item h="1" x="154"/>
        <item h="1" x="278"/>
        <item h="1" x="836"/>
        <item h="1" x="20"/>
        <item h="1" x="158"/>
        <item h="1" x="178"/>
        <item h="1" x="160"/>
        <item h="1" x="313"/>
        <item h="1" x="425"/>
        <item h="1" x="252"/>
        <item h="1" x="878"/>
        <item h="1" x="524"/>
        <item h="1" x="570"/>
        <item h="1" x="345"/>
        <item h="1" x="174"/>
        <item h="1" x="94"/>
        <item h="1" x="170"/>
        <item h="1" x="340"/>
        <item h="1" x="847"/>
        <item h="1" x="264"/>
        <item h="1" x="622"/>
        <item h="1" x="887"/>
        <item h="1" x="685"/>
        <item h="1" x="745"/>
        <item h="1" x="872"/>
        <item h="1" x="815"/>
        <item h="1" x="180"/>
        <item h="1" x="827"/>
        <item h="1" x="556"/>
        <item h="1" x="718"/>
        <item h="1" x="950"/>
        <item h="1" x="19"/>
        <item h="1" x="953"/>
        <item h="1" x="495"/>
        <item h="1" x="976"/>
        <item h="1" x="421"/>
        <item h="1" x="576"/>
        <item h="1" x="191"/>
        <item h="1" x="839"/>
        <item h="1" x="936"/>
        <item h="1" x="194"/>
        <item h="1" x="195"/>
        <item h="1" x="196"/>
        <item h="1" x="837"/>
        <item h="1" x="363"/>
        <item h="1" x="456"/>
        <item h="1" x="119"/>
        <item h="1" x="297"/>
        <item h="1" x="202"/>
        <item h="1" x="395"/>
        <item h="1" x="12"/>
        <item h="1" x="552"/>
        <item h="1" x="206"/>
        <item h="1" x="207"/>
        <item h="1" x="208"/>
        <item h="1" x="652"/>
        <item h="1" x="443"/>
        <item h="1" x="216"/>
        <item h="1" x="952"/>
        <item h="1" x="215"/>
        <item h="1" x="214"/>
        <item h="1" x="392"/>
        <item h="1" x="377"/>
        <item h="1" x="122"/>
        <item h="1" x="201"/>
        <item h="1" x="883"/>
        <item h="1" x="380"/>
        <item h="1" x="721"/>
        <item h="1" x="222"/>
        <item h="1" x="587"/>
        <item h="1" x="554"/>
        <item h="1" x="654"/>
        <item h="1" x="226"/>
        <item h="1" x="956"/>
        <item h="1" x="125"/>
        <item h="1" x="291"/>
        <item h="1" x="230"/>
        <item h="1" x="231"/>
        <item h="1" x="930"/>
        <item h="1" x="619"/>
        <item h="1" x="116"/>
        <item h="1" x="906"/>
        <item h="1" x="811"/>
        <item h="1" x="212"/>
        <item h="1" x="741"/>
        <item h="1" x="239"/>
        <item h="1" x="892"/>
        <item h="1" x="631"/>
        <item h="1" x="242"/>
        <item h="1" x="792"/>
        <item h="1" x="326"/>
        <item h="1" x="854"/>
        <item h="1" x="612"/>
        <item h="1" x="933"/>
        <item h="1" x="388"/>
        <item h="1" x="249"/>
        <item h="1" x="250"/>
        <item h="1" x="285"/>
        <item h="1" x="352"/>
        <item h="1" x="253"/>
        <item h="1" x="95"/>
        <item h="1" x="255"/>
        <item h="1" x="256"/>
        <item h="1" x="257"/>
        <item h="1" x="232"/>
        <item h="1" x="259"/>
        <item h="1" x="973"/>
        <item h="1" x="261"/>
        <item h="1" x="506"/>
        <item h="1" x="263"/>
        <item h="1" x="245"/>
        <item h="1" x="706"/>
        <item h="1" x="266"/>
        <item h="1" x="572"/>
        <item h="1" x="988"/>
        <item h="1" x="794"/>
        <item h="1" x="782"/>
        <item h="1" x="438"/>
        <item h="1" x="292"/>
        <item h="1" x="742"/>
        <item h="1" x="327"/>
        <item h="1" x="889"/>
        <item h="1" x="981"/>
        <item h="1" x="277"/>
        <item h="1" x="881"/>
        <item h="1" x="279"/>
        <item h="1" x="280"/>
        <item h="1" x="920"/>
        <item h="1" x="799"/>
        <item h="1" x="107"/>
        <item h="1" x="6"/>
        <item h="1" x="323"/>
        <item h="1" x="525"/>
        <item h="1" x="607"/>
        <item h="1" x="293"/>
        <item h="1" x="289"/>
        <item h="1" x="512"/>
        <item h="1" x="738"/>
        <item h="1" x="927"/>
        <item h="1" x="223"/>
        <item h="1" x="481"/>
        <item h="1" x="295"/>
        <item h="1" x="296"/>
        <item h="1" x="818"/>
        <item h="1" x="573"/>
        <item h="1" x="129"/>
        <item h="1" x="247"/>
        <item h="1" x="439"/>
        <item h="1" x="496"/>
        <item h="1" x="581"/>
        <item h="1" x="304"/>
        <item h="1" x="370"/>
        <item h="1" x="306"/>
        <item h="1" x="307"/>
        <item h="1" x="615"/>
        <item h="1" x="309"/>
        <item h="1" x="959"/>
        <item h="1" x="311"/>
        <item h="1" x="312"/>
        <item h="1" x="835"/>
        <item h="1" x="314"/>
        <item h="1" x="315"/>
        <item h="1" x="316"/>
        <item h="1" x="321"/>
        <item h="1" x="318"/>
        <item h="1" x="229"/>
        <item h="1" x="566"/>
        <item h="1" x="88"/>
        <item h="1" x="322"/>
        <item h="1" x="555"/>
        <item h="1" x="626"/>
        <item h="1" x="325"/>
        <item h="1" x="124"/>
        <item h="1" x="538"/>
        <item h="1" x="942"/>
        <item h="1" x="498"/>
        <item h="1" x="330"/>
        <item h="1" x="331"/>
        <item h="1" x="332"/>
        <item h="1" x="333"/>
        <item h="1" x="156"/>
        <item h="1" x="335"/>
        <item h="1" x="163"/>
        <item h="1" x="739"/>
        <item h="1" x="866"/>
        <item h="1" x="339"/>
        <item h="1" x="701"/>
        <item h="1" x="636"/>
        <item h="1" x="284"/>
        <item h="1" x="128"/>
        <item h="1" x="389"/>
        <item h="1" x="691"/>
        <item h="1" x="288"/>
        <item h="1" x="338"/>
        <item h="1" x="348"/>
        <item h="1" x="789"/>
        <item h="1" x="629"/>
        <item h="1" x="283"/>
        <item h="1" x="244"/>
        <item h="1" x="353"/>
        <item h="1" x="182"/>
        <item h="1" x="769"/>
        <item h="1" x="356"/>
        <item h="1" x="585"/>
        <item h="1" x="358"/>
        <item h="1" x="359"/>
        <item h="1" x="599"/>
        <item h="1" x="361"/>
        <item h="1" x="925"/>
        <item h="1" x="478"/>
        <item h="1" x="364"/>
        <item h="1" x="89"/>
        <item h="1" x="265"/>
        <item h="1" x="71"/>
        <item h="1" x="368"/>
        <item h="1" x="369"/>
        <item h="1" x="397"/>
        <item h="1" x="864"/>
        <item h="1" x="179"/>
        <item h="1" x="664"/>
        <item h="1" x="450"/>
        <item h="1" x="131"/>
        <item h="1" x="28"/>
        <item h="1" x="974"/>
        <item h="1" x="378"/>
        <item h="1" x="379"/>
        <item h="1" x="269"/>
        <item h="1" x="483"/>
        <item h="1" x="997"/>
        <item h="1" x="302"/>
        <item h="1" x="37"/>
        <item h="1" x="477"/>
        <item h="1" x="462"/>
        <item h="1" x="547"/>
        <item h="1" x="185"/>
        <item h="1" x="977"/>
        <item h="1" x="390"/>
        <item h="1" x="391"/>
        <item h="1" x="779"/>
        <item h="1" x="393"/>
        <item h="1" x="394"/>
        <item h="1" x="272"/>
        <item h="1" x="447"/>
        <item h="1" x="70"/>
        <item h="1" x="177"/>
        <item h="1" x="399"/>
        <item h="1" x="633"/>
        <item h="1" x="567"/>
        <item h="1" x="402"/>
        <item h="1" x="403"/>
        <item h="1" x="651"/>
        <item h="1" x="187"/>
        <item h="1" x="771"/>
        <item h="1" x="218"/>
        <item h="1" x="596"/>
        <item h="1" x="409"/>
        <item h="1" x="412"/>
        <item h="1" x="365"/>
        <item h="1" x="802"/>
        <item h="1" x="413"/>
        <item h="1" x="36"/>
        <item h="1" x="548"/>
        <item h="1" x="730"/>
        <item h="1" x="417"/>
        <item h="1" x="38"/>
        <item h="1" x="155"/>
        <item h="1" x="420"/>
        <item h="1" x="241"/>
        <item h="1" x="422"/>
        <item h="1" x="9"/>
        <item h="1" x="210"/>
        <item h="1" x="857"/>
        <item h="1" x="586"/>
        <item h="1" x="899"/>
        <item h="1" x="428"/>
        <item h="1" x="429"/>
        <item h="1" x="430"/>
        <item h="1" x="262"/>
        <item h="1" x="440"/>
        <item h="1" x="26"/>
        <item h="1" x="150"/>
        <item h="1" x="435"/>
        <item h="1" x="282"/>
        <item h="1" x="870"/>
        <item h="1" x="990"/>
        <item h="1" x="635"/>
        <item h="1" x="159"/>
        <item h="1" x="468"/>
        <item h="1" x="746"/>
        <item h="1" x="914"/>
        <item h="1" x="444"/>
        <item h="1" x="376"/>
        <item h="1" x="446"/>
        <item h="1" x="106"/>
        <item h="1" x="98"/>
        <item h="1" x="220"/>
        <item h="1" x="713"/>
        <item h="1" x="451"/>
        <item h="1" x="452"/>
        <item h="1" x="674"/>
        <item h="1" x="454"/>
        <item h="1" x="709"/>
        <item h="1" x="711"/>
        <item h="1" x="418"/>
        <item h="1" x="458"/>
        <item h="1" x="149"/>
        <item h="1" x="697"/>
        <item h="1" x="461"/>
        <item h="1" x="613"/>
        <item h="1" x="507"/>
        <item h="1" x="499"/>
        <item h="1" x="606"/>
        <item h="1" x="268"/>
        <item h="1" x="320"/>
        <item h="1" x="768"/>
        <item h="1" x="809"/>
        <item h="1" x="470"/>
        <item h="1" x="78"/>
        <item h="1" x="472"/>
        <item h="1" x="473"/>
        <item h="1" x="751"/>
        <item h="1" x="471"/>
        <item h="1" x="516"/>
        <item h="1" x="559"/>
        <item h="1" x="248"/>
        <item h="1" x="108"/>
        <item h="1" x="972"/>
        <item h="1" x="764"/>
        <item h="1" x="79"/>
        <item h="1" x="433"/>
        <item h="1" x="301"/>
        <item h="1" x="485"/>
        <item h="1" x="486"/>
        <item h="1" x="707"/>
        <item h="1" x="488"/>
        <item h="1" x="489"/>
        <item h="1" x="136"/>
        <item h="1" x="791"/>
        <item h="1" x="492"/>
        <item h="1" x="493"/>
        <item h="1" x="455"/>
        <item h="1" x="104"/>
        <item h="1" x="491"/>
        <item h="1" x="830"/>
        <item h="1" x="233"/>
        <item h="1" x="490"/>
        <item h="1" x="704"/>
        <item h="1" x="484"/>
        <item h="1" x="765"/>
        <item h="1" x="467"/>
        <item h="1" x="780"/>
        <item h="1" x="465"/>
        <item h="1" x="197"/>
        <item h="1" x="737"/>
        <item h="1" x="537"/>
        <item h="1" x="731"/>
        <item h="1" x="510"/>
        <item h="1" x="948"/>
        <item h="1" x="886"/>
        <item h="1" x="513"/>
        <item h="1" x="162"/>
        <item h="1" x="143"/>
        <item h="1" x="224"/>
        <item h="1" x="219"/>
        <item h="1" x="978"/>
        <item h="1" x="535"/>
        <item h="1" x="172"/>
        <item h="1" x="608"/>
        <item h="1" x="522"/>
        <item h="1" x="523"/>
        <item h="1" x="616"/>
        <item h="1" x="686"/>
        <item h="1" x="964"/>
        <item h="1" x="647"/>
        <item h="1" x="528"/>
        <item h="1" x="529"/>
        <item h="1" x="530"/>
        <item h="1" x="699"/>
        <item h="1" x="521"/>
        <item h="1" x="895"/>
        <item h="1" x="534"/>
        <item h="1" x="32"/>
        <item h="1" x="536"/>
        <item h="1" x="173"/>
        <item h="1" x="752"/>
        <item h="1" x="916"/>
        <item h="1" x="140"/>
        <item h="1" x="863"/>
        <item h="1" x="542"/>
        <item h="1" x="258"/>
        <item h="1" x="544"/>
        <item h="1" x="545"/>
        <item h="1" x="679"/>
        <item h="1" x="44"/>
        <item h="1" x="416"/>
        <item h="1" x="324"/>
        <item h="1" x="427"/>
        <item h="1" x="551"/>
        <item h="1" x="8"/>
        <item h="1" x="553"/>
        <item h="1" x="423"/>
        <item h="1" x="562"/>
        <item h="1" x="968"/>
        <item h="1" x="337"/>
        <item h="1" x="820"/>
        <item h="1" x="971"/>
        <item h="1" x="590"/>
        <item h="1" x="346"/>
        <item h="1" x="137"/>
        <item h="1" x="354"/>
        <item h="1" x="564"/>
        <item h="1" x="101"/>
        <item h="1" x="637"/>
        <item h="1" x="138"/>
        <item h="1" x="568"/>
        <item h="1" x="569"/>
        <item h="1" x="509"/>
        <item h="1" x="571"/>
        <item h="1" x="404"/>
        <item h="1" x="575"/>
        <item h="1" x="574"/>
        <item h="1" x="453"/>
        <item h="1" x="934"/>
        <item h="1" x="577"/>
        <item h="1" x="290"/>
        <item h="1" x="793"/>
        <item h="1" x="620"/>
        <item h="1" x="381"/>
        <item h="1" x="773"/>
        <item h="1" x="583"/>
        <item h="1" x="584"/>
        <item h="1" x="165"/>
        <item h="1" x="656"/>
        <item h="1" x="109"/>
        <item h="1" x="588"/>
        <item h="1" x="407"/>
        <item h="1" x="55"/>
        <item h="1" x="591"/>
        <item h="1" x="234"/>
        <item h="1" x="593"/>
        <item h="1" x="594"/>
        <item h="1" x="47"/>
        <item h="1" x="4"/>
        <item h="1" x="913"/>
        <item h="1" x="598"/>
        <item h="1" x="595"/>
        <item h="1" x="600"/>
        <item h="1" x="841"/>
        <item h="1" x="96"/>
        <item h="1" x="784"/>
        <item h="1" x="816"/>
        <item h="1" x="980"/>
        <item h="1" x="110"/>
        <item h="1" x="384"/>
        <item h="1" x="696"/>
        <item h="1" x="539"/>
        <item h="1" x="527"/>
        <item h="1" x="366"/>
        <item h="1" x="238"/>
        <item h="1" x="511"/>
        <item h="1" x="424"/>
        <item h="1" x="755"/>
        <item h="1" x="343"/>
        <item h="1" x="678"/>
        <item h="1" x="225"/>
        <item h="1" x="161"/>
        <item h="1" x="68"/>
        <item h="1" x="460"/>
        <item h="1" x="40"/>
        <item h="1" x="398"/>
        <item h="1" x="655"/>
        <item h="1" x="141"/>
        <item h="1" x="167"/>
        <item h="1" x="627"/>
        <item h="1" x="628"/>
        <item h="1" x="540"/>
        <item h="1" x="27"/>
        <item h="1" x="431"/>
        <item h="1" x="926"/>
        <item h="1" x="415"/>
        <item h="1" x="937"/>
        <item h="1" x="714"/>
        <item h="1" x="766"/>
        <item h="1" x="928"/>
        <item h="1" x="56"/>
        <item h="1" x="712"/>
        <item h="1" x="807"/>
        <item h="1" x="501"/>
        <item h="1" x="408"/>
        <item h="1" x="602"/>
        <item h="1" x="500"/>
        <item h="1" x="645"/>
        <item h="1" x="646"/>
        <item h="1" x="236"/>
        <item h="1" x="648"/>
        <item h="1" x="649"/>
        <item h="1" x="778"/>
        <item h="1" x="717"/>
        <item h="1" x="480"/>
        <item h="1" x="371"/>
        <item h="1" x="902"/>
        <item h="1" x="915"/>
        <item h="1" x="217"/>
        <item h="1" x="367"/>
        <item h="1" x="237"/>
        <item h="1" x="102"/>
        <item h="1" x="660"/>
        <item h="1" x="661"/>
        <item h="1" x="54"/>
        <item h="1" x="758"/>
        <item h="1" x="328"/>
        <item h="1" x="419"/>
        <item h="1" x="476"/>
        <item h="1" x="267"/>
        <item h="1" x="541"/>
        <item h="1" x="804"/>
        <item h="1" x="643"/>
        <item h="1" x="650"/>
        <item h="1" x="671"/>
        <item h="1" x="673"/>
        <item h="1" x="204"/>
        <item h="1" x="675"/>
        <item h="1" x="676"/>
        <item h="1" x="50"/>
        <item h="1" x="310"/>
        <item h="1" x="994"/>
        <item h="1" x="680"/>
        <item h="1" x="681"/>
        <item h="1" x="682"/>
        <item h="1" x="683"/>
        <item h="1" x="684"/>
        <item h="1" x="39"/>
        <item h="1" x="533"/>
        <item h="1" x="0"/>
        <item h="1" x="688"/>
        <item h="1" x="689"/>
        <item h="1" x="192"/>
        <item h="1" x="579"/>
        <item h="1" x="852"/>
        <item h="1" x="693"/>
        <item h="1" x="694"/>
        <item h="1" x="719"/>
        <item h="1" x="251"/>
        <item h="1" x="875"/>
        <item h="1" x="822"/>
        <item h="1" x="941"/>
        <item h="1" x="806"/>
        <item h="1" x="762"/>
        <item h="1" x="702"/>
        <item h="1" x="308"/>
        <item h="1" x="520"/>
        <item h="1" x="772"/>
        <item h="1" x="858"/>
        <item h="1" x="734"/>
        <item h="1" x="426"/>
        <item h="1" x="298"/>
        <item h="1" x="710"/>
        <item h="1" x="373"/>
        <item h="1" x="640"/>
        <item h="1" x="855"/>
        <item h="1" x="81"/>
        <item h="1" x="715"/>
        <item h="1" x="716"/>
        <item h="1" x="810"/>
        <item h="1" x="817"/>
        <item h="1" x="663"/>
        <item h="1" x="61"/>
        <item h="1" x="383"/>
        <item h="1" x="790"/>
        <item h="1" x="901"/>
        <item h="1" x="503"/>
        <item h="1" x="725"/>
        <item h="1" x="821"/>
        <item h="1" x="727"/>
        <item h="1" x="728"/>
        <item h="1" x="653"/>
        <item h="1" x="240"/>
        <item h="1" x="862"/>
        <item h="1" x="732"/>
        <item h="1" x="733"/>
        <item h="1" x="246"/>
        <item h="1" x="199"/>
        <item h="1" x="736"/>
        <item h="1" x="903"/>
        <item h="1" x="720"/>
        <item h="1" x="865"/>
        <item h="1" x="625"/>
        <item h="1" x="957"/>
        <item h="1" x="876"/>
        <item h="1" x="51"/>
        <item h="1" x="677"/>
        <item h="1" x="666"/>
        <item h="1" x="189"/>
        <item h="1" x="767"/>
        <item h="1" x="908"/>
        <item h="1" x="749"/>
        <item h="1" x="750"/>
        <item h="1" x="133"/>
        <item h="1" x="604"/>
        <item h="1" x="193"/>
        <item h="1" x="618"/>
        <item h="1" x="614"/>
        <item h="1" x="515"/>
        <item h="1" x="757"/>
        <item h="1" x="884"/>
        <item h="1" x="505"/>
        <item h="1" x="658"/>
        <item h="1" x="761"/>
        <item h="1" x="276"/>
        <item h="1" x="148"/>
        <item h="1" x="735"/>
        <item h="1" x="351"/>
        <item h="1" x="657"/>
        <item h="1" x="832"/>
        <item h="1" x="3"/>
        <item h="1" x="756"/>
        <item h="1" x="724"/>
        <item h="1" x="747"/>
        <item h="1" x="97"/>
        <item h="1" x="748"/>
        <item h="1" x="774"/>
        <item h="1" x="80"/>
        <item h="1" x="776"/>
        <item h="1" x="777"/>
        <item h="1" x="410"/>
        <item h="1" x="474"/>
        <item h="1" x="385"/>
        <item h="1" x="336"/>
        <item h="1" x="609"/>
        <item h="1" x="770"/>
        <item h="1" x="342"/>
        <item h="1" x="145"/>
        <item h="1" x="786"/>
        <item h="1" x="787"/>
        <item h="1" x="198"/>
        <item h="1" x="946"/>
        <item h="1" x="34"/>
        <item h="1" x="464"/>
        <item h="1" x="856"/>
        <item h="1" x="592"/>
        <item h="1" x="151"/>
        <item h="1" x="795"/>
        <item h="1" x="796"/>
        <item h="1" x="638"/>
        <item h="1" x="798"/>
        <item h="1" x="497"/>
        <item h="1" x="729"/>
        <item h="1" x="723"/>
        <item h="1" x="642"/>
        <item h="1" x="803"/>
        <item h="1" x="669"/>
        <item h="1" x="805"/>
        <item h="1" x="531"/>
        <item h="1" x="611"/>
        <item h="1" x="582"/>
        <item h="1" x="445"/>
        <item h="1" x="362"/>
        <item h="1" x="829"/>
        <item h="1" x="812"/>
        <item h="1" x="966"/>
        <item h="1" x="814"/>
        <item h="1" x="589"/>
        <item h="1" x="211"/>
        <item h="1" x="740"/>
        <item h="1" x="29"/>
        <item h="1" x="744"/>
        <item h="1" x="965"/>
        <item h="1" x="969"/>
        <item h="1" x="517"/>
        <item h="1" x="823"/>
        <item h="1" x="824"/>
        <item h="1" x="317"/>
        <item h="1" x="826"/>
        <item h="1" x="632"/>
        <item h="1" x="828"/>
        <item h="1" x="448"/>
        <item h="1" x="967"/>
        <item h="1" x="831"/>
        <item h="1" x="227"/>
        <item h="1" x="743"/>
        <item h="1" x="834"/>
        <item h="1" x="479"/>
        <item h="1" x="801"/>
        <item h="1" x="918"/>
        <item h="1" x="838"/>
        <item h="1" x="754"/>
        <item h="1" x="840"/>
        <item h="1" x="405"/>
        <item h="1" x="502"/>
        <item h="1" x="843"/>
        <item h="1" x="73"/>
        <item h="1" x="561"/>
        <item h="1" x="203"/>
        <item h="1" x="111"/>
        <item h="1" x="848"/>
        <item h="1" x="459"/>
        <item h="1" x="432"/>
        <item h="1" x="851"/>
        <item h="1" x="13"/>
        <item h="1" x="853"/>
        <item h="1" x="623"/>
        <item h="1" x="813"/>
        <item h="1" x="134"/>
        <item h="1" x="200"/>
        <item h="1" x="329"/>
        <item h="1" x="175"/>
        <item h="1" x="860"/>
        <item h="1" x="861"/>
        <item h="1" x="157"/>
        <item h="1" x="213"/>
        <item h="1" x="905"/>
        <item h="1" x="961"/>
        <item h="1" x="644"/>
        <item h="1" x="449"/>
        <item h="1" x="868"/>
        <item h="1" x="869"/>
        <item h="1" x="526"/>
        <item h="1" x="871"/>
        <item h="1" x="893"/>
        <item h="1" x="406"/>
        <item h="1" x="874"/>
        <item h="1" x="48"/>
        <item h="1" x="601"/>
        <item h="1" x="775"/>
        <item h="1" x="996"/>
        <item h="1" x="879"/>
        <item h="1" x="880"/>
        <item h="1" x="984"/>
        <item h="1" x="882"/>
        <item h="1" x="42"/>
        <item h="1" x="982"/>
        <item h="1" x="885"/>
        <item h="1" x="303"/>
        <item h="1" x="7"/>
        <item h="1" x="387"/>
        <item h="1" x="624"/>
        <item h="1" x="890"/>
        <item h="1" x="891"/>
        <item h="1" x="319"/>
        <item h="1" x="176"/>
        <item h="1" x="894"/>
        <item h="1" x="350"/>
        <item h="1" x="186"/>
        <item h="1" x="181"/>
        <item h="1" x="169"/>
        <item h="1" x="103"/>
        <item h="1" x="963"/>
        <item h="1" x="670"/>
        <item h="1" x="659"/>
        <item h="1" x="139"/>
        <item h="1" x="487"/>
        <item h="1" x="25"/>
        <item h="1" x="907"/>
        <item h="1" x="975"/>
        <item h="1" x="708"/>
        <item h="1" x="909"/>
        <item h="1" x="910"/>
        <item h="1" x="911"/>
        <item h="1" x="22"/>
        <item h="1" x="341"/>
        <item h="1" x="386"/>
        <item h="1" x="228"/>
        <item h="1" x="842"/>
        <item h="1" x="917"/>
        <item h="1" x="788"/>
        <item h="1" x="919"/>
        <item h="1" x="888"/>
        <item h="1" x="921"/>
        <item h="1" x="922"/>
        <item h="1" x="441"/>
        <item h="1" x="808"/>
        <item h="1" x="924"/>
        <item h="1" x="508"/>
        <item h="1" x="382"/>
        <item h="1" x="504"/>
        <item h="1" x="347"/>
        <item h="1" x="610"/>
        <item h="1" x="931"/>
        <item h="1" x="932"/>
        <item h="1" x="979"/>
        <item h="1" x="372"/>
        <item h="1" x="700"/>
        <item h="1" x="668"/>
        <item h="1" x="900"/>
        <item h="1" x="849"/>
        <item h="1" x="939"/>
        <item h="1" x="270"/>
        <item h="1" x="634"/>
        <item h="1" x="518"/>
        <item h="1" x="698"/>
        <item h="1" x="944"/>
        <item h="1" x="945"/>
        <item h="1" x="690"/>
        <item h="1" x="943"/>
        <item h="1" x="442"/>
        <item h="1" x="949"/>
        <item h="1" x="825"/>
        <item h="1" x="951"/>
        <item h="1" x="833"/>
        <item h="1" x="374"/>
        <item h="1" x="954"/>
        <item h="1" x="955"/>
        <item h="1" x="299"/>
        <item h="1" x="639"/>
        <item h="1" x="243"/>
        <item h="1" x="466"/>
        <item h="1" x="960"/>
        <item h="1" x="45"/>
        <item h="1" x="962"/>
        <item h="1" x="672"/>
        <item h="1" x="558"/>
        <item h="1" x="74"/>
        <item h="1" x="334"/>
        <item h="1" x="171"/>
        <item h="1" x="617"/>
        <item h="1" x="188"/>
        <item h="1" x="970"/>
        <item h="1" x="147"/>
        <item h="1" x="665"/>
        <item h="1" x="271"/>
        <item h="1" x="549"/>
        <item h="1" x="401"/>
        <item h="1" x="475"/>
        <item h="1" x="437"/>
        <item h="1" x="845"/>
        <item h="1" x="763"/>
        <item h="1" x="873"/>
        <item h="1" x="597"/>
        <item h="1" x="349"/>
        <item h="1" x="983"/>
        <item h="1" x="819"/>
        <item h="1" x="985"/>
        <item h="1" x="986"/>
        <item h="1" x="987"/>
        <item h="1" x="411"/>
        <item h="1" x="989"/>
        <item h="1" x="560"/>
        <item h="1" x="991"/>
        <item h="1" x="896"/>
        <item h="1" x="993"/>
        <item h="1" x="84"/>
        <item h="1" x="785"/>
        <item h="1" x="940"/>
        <item h="1" x="687"/>
        <item h="1" x="998"/>
        <item h="1" x="999"/>
        <item h="1" x="1000"/>
        <item t="default"/>
      </items>
    </pivotField>
    <pivotField axis="axisRow" compact="0" outline="0" showAll="0">
      <items count="22">
        <item x="14"/>
        <item x="17"/>
        <item x="9"/>
        <item x="19"/>
        <item x="3"/>
        <item h="1" x="6"/>
        <item h="1" x="12"/>
        <item h="1" x="11"/>
        <item h="1" x="15"/>
        <item h="1" x="8"/>
        <item h="1" x="7"/>
        <item h="1" x="2"/>
        <item h="1" x="1"/>
        <item h="1" x="10"/>
        <item h="1" x="4"/>
        <item h="1" x="5"/>
        <item h="1" x="0"/>
        <item h="1" x="16"/>
        <item h="1" x="18"/>
        <item h="1" x="13"/>
        <item h="1" x="20"/>
        <item t="default"/>
      </items>
    </pivotField>
    <pivotField compact="0" outline="0" showAll="0">
      <items count="6">
        <item x="2"/>
        <item h="1" x="1"/>
        <item x="0"/>
        <item h="1" x="3"/>
        <item h="1" x="4"/>
        <item t="default"/>
      </items>
    </pivotField>
    <pivotField compact="0" outline="0" showAll="0"/>
    <pivotField compact="0" outline="0" showAll="0">
      <items count="4">
        <item x="1"/>
        <item x="0"/>
        <item x="2"/>
        <item t="default"/>
      </items>
    </pivotField>
    <pivotField dataField="1" compact="0" outline="0" showAll="0"/>
    <pivotField compact="0" outline="0" showAll="0"/>
    <pivotField compact="0" outline="0" showAll="0"/>
    <pivotField compact="0" outline="0" showAll="0">
      <items count="18">
        <item h="1" x="9"/>
        <item h="1" x="5"/>
        <item h="1" x="8"/>
        <item h="1" x="4"/>
        <item x="2"/>
        <item h="1" x="7"/>
        <item h="1" x="13"/>
        <item h="1" x="11"/>
        <item h="1" x="15"/>
        <item h="1" x="14"/>
        <item h="1" x="1"/>
        <item h="1" x="6"/>
        <item h="1" x="12"/>
        <item h="1" x="0"/>
        <item h="1" x="3"/>
        <item h="1" x="10"/>
        <item h="1" x="16"/>
        <item t="default"/>
      </items>
    </pivotField>
    <pivotField dataField="1" compact="0" outline="0" showAll="0"/>
    <pivotField compact="0" outline="0" showAll="0"/>
    <pivotField compact="0" outline="0" showAll="0"/>
    <pivotField compact="0" outline="0" showAll="0">
      <items count="4">
        <item x="0"/>
        <item x="1"/>
        <item x="2"/>
        <item t="default"/>
      </items>
    </pivotField>
  </pivotFields>
  <rowFields count="1">
    <field x="1"/>
  </rowFields>
  <rowItems count="6">
    <i>
      <x/>
    </i>
    <i>
      <x v="1"/>
    </i>
    <i>
      <x v="2"/>
    </i>
    <i>
      <x v="3"/>
    </i>
    <i>
      <x v="4"/>
    </i>
    <i t="grand">
      <x/>
    </i>
  </rowItems>
  <colFields count="1">
    <field x="-2"/>
  </colFields>
  <colItems count="2">
    <i>
      <x/>
    </i>
    <i i="1">
      <x v="1"/>
    </i>
  </colItems>
  <dataFields count="2">
    <dataField name="Sum of Experience" fld="5" baseField="0" baseItem="0"/>
    <dataField name="Sum of Performance_Rating" fld="9"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5C8185-D339-4582-951E-E9ACB42DC9B1}"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B16" firstHeaderRow="1" firstDataRow="1" firstDataCol="1"/>
  <pivotFields count="13">
    <pivotField compact="0" outline="0" showAll="0"/>
    <pivotField axis="axisRow" compact="0" outline="0" showAll="0">
      <items count="21">
        <item h="1" x="14"/>
        <item h="1" x="17"/>
        <item h="1" x="9"/>
        <item x="19"/>
        <item x="3"/>
        <item x="6"/>
        <item x="12"/>
        <item h="1" x="11"/>
        <item x="15"/>
        <item h="1" x="8"/>
        <item x="7"/>
        <item h="1" x="2"/>
        <item h="1" x="1"/>
        <item h="1" x="10"/>
        <item x="4"/>
        <item x="5"/>
        <item x="0"/>
        <item x="16"/>
        <item x="18"/>
        <item x="13"/>
        <item t="default"/>
      </items>
    </pivotField>
    <pivotField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7">
        <item x="5"/>
        <item x="0"/>
        <item x="2"/>
        <item x="4"/>
        <item x="1"/>
        <item x="3"/>
        <item t="default"/>
      </items>
    </pivotField>
    <pivotField compact="0" outline="0" showAll="0">
      <items count="3">
        <item x="0"/>
        <item x="1"/>
        <item t="default"/>
      </items>
    </pivotField>
  </pivotFields>
  <rowFields count="1">
    <field x="1"/>
  </rowFields>
  <rowItems count="13">
    <i>
      <x v="3"/>
    </i>
    <i>
      <x v="4"/>
    </i>
    <i>
      <x v="5"/>
    </i>
    <i>
      <x v="6"/>
    </i>
    <i>
      <x v="8"/>
    </i>
    <i>
      <x v="10"/>
    </i>
    <i>
      <x v="14"/>
    </i>
    <i>
      <x v="15"/>
    </i>
    <i>
      <x v="16"/>
    </i>
    <i>
      <x v="17"/>
    </i>
    <i>
      <x v="18"/>
    </i>
    <i>
      <x v="19"/>
    </i>
    <i t="grand">
      <x/>
    </i>
  </rowItems>
  <colItems count="1">
    <i/>
  </colItems>
  <dataFields count="1">
    <dataField name="Sum of Working_Hours" fld="8" baseField="0" baseItem="0"/>
  </dataField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4"/>
          </reference>
        </references>
      </pivotArea>
    </chartFormat>
    <chartFormat chart="0" format="3">
      <pivotArea type="data" outline="0" fieldPosition="0">
        <references count="2">
          <reference field="4294967294" count="1" selected="0">
            <x v="0"/>
          </reference>
          <reference field="1" count="1" selected="0">
            <x v="5"/>
          </reference>
        </references>
      </pivotArea>
    </chartFormat>
    <chartFormat chart="0" format="4">
      <pivotArea type="data" outline="0" fieldPosition="0">
        <references count="2">
          <reference field="4294967294" count="1" selected="0">
            <x v="0"/>
          </reference>
          <reference field="1" count="1" selected="0">
            <x v="6"/>
          </reference>
        </references>
      </pivotArea>
    </chartFormat>
    <chartFormat chart="0" format="5">
      <pivotArea type="data" outline="0" fieldPosition="0">
        <references count="2">
          <reference field="4294967294" count="1" selected="0">
            <x v="0"/>
          </reference>
          <reference field="1" count="1" selected="0">
            <x v="8"/>
          </reference>
        </references>
      </pivotArea>
    </chartFormat>
    <chartFormat chart="0" format="6">
      <pivotArea type="data" outline="0" fieldPosition="0">
        <references count="2">
          <reference field="4294967294" count="1" selected="0">
            <x v="0"/>
          </reference>
          <reference field="1" count="1" selected="0">
            <x v="10"/>
          </reference>
        </references>
      </pivotArea>
    </chartFormat>
    <chartFormat chart="0" format="7">
      <pivotArea type="data" outline="0" fieldPosition="0">
        <references count="2">
          <reference field="4294967294" count="1" selected="0">
            <x v="0"/>
          </reference>
          <reference field="1" count="1" selected="0">
            <x v="14"/>
          </reference>
        </references>
      </pivotArea>
    </chartFormat>
    <chartFormat chart="0" format="8">
      <pivotArea type="data" outline="0" fieldPosition="0">
        <references count="2">
          <reference field="4294967294" count="1" selected="0">
            <x v="0"/>
          </reference>
          <reference field="1" count="1" selected="0">
            <x v="15"/>
          </reference>
        </references>
      </pivotArea>
    </chartFormat>
    <chartFormat chart="0" format="9">
      <pivotArea type="data" outline="0" fieldPosition="0">
        <references count="2">
          <reference field="4294967294" count="1" selected="0">
            <x v="0"/>
          </reference>
          <reference field="1" count="1" selected="0">
            <x v="16"/>
          </reference>
        </references>
      </pivotArea>
    </chartFormat>
    <chartFormat chart="0" format="10">
      <pivotArea type="data" outline="0" fieldPosition="0">
        <references count="2">
          <reference field="4294967294" count="1" selected="0">
            <x v="0"/>
          </reference>
          <reference field="1" count="1" selected="0">
            <x v="17"/>
          </reference>
        </references>
      </pivotArea>
    </chartFormat>
    <chartFormat chart="0" format="11">
      <pivotArea type="data" outline="0" fieldPosition="0">
        <references count="2">
          <reference field="4294967294" count="1" selected="0">
            <x v="0"/>
          </reference>
          <reference field="1" count="1" selected="0">
            <x v="18"/>
          </reference>
        </references>
      </pivotArea>
    </chartFormat>
    <chartFormat chart="0" format="12">
      <pivotArea type="data" outline="0" fieldPosition="0">
        <references count="2">
          <reference field="4294967294" count="1" selected="0">
            <x v="0"/>
          </reference>
          <reference field="1" count="1" selected="0">
            <x v="19"/>
          </reference>
        </references>
      </pivotArea>
    </chartFormat>
    <chartFormat chart="2" format="26"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1" count="1" selected="0">
            <x v="3"/>
          </reference>
        </references>
      </pivotArea>
    </chartFormat>
    <chartFormat chart="2" format="28">
      <pivotArea type="data" outline="0" fieldPosition="0">
        <references count="2">
          <reference field="4294967294" count="1" selected="0">
            <x v="0"/>
          </reference>
          <reference field="1" count="1" selected="0">
            <x v="4"/>
          </reference>
        </references>
      </pivotArea>
    </chartFormat>
    <chartFormat chart="2" format="29">
      <pivotArea type="data" outline="0" fieldPosition="0">
        <references count="2">
          <reference field="4294967294" count="1" selected="0">
            <x v="0"/>
          </reference>
          <reference field="1" count="1" selected="0">
            <x v="5"/>
          </reference>
        </references>
      </pivotArea>
    </chartFormat>
    <chartFormat chart="2" format="30">
      <pivotArea type="data" outline="0" fieldPosition="0">
        <references count="2">
          <reference field="4294967294" count="1" selected="0">
            <x v="0"/>
          </reference>
          <reference field="1" count="1" selected="0">
            <x v="6"/>
          </reference>
        </references>
      </pivotArea>
    </chartFormat>
    <chartFormat chart="2" format="31">
      <pivotArea type="data" outline="0" fieldPosition="0">
        <references count="2">
          <reference field="4294967294" count="1" selected="0">
            <x v="0"/>
          </reference>
          <reference field="1" count="1" selected="0">
            <x v="8"/>
          </reference>
        </references>
      </pivotArea>
    </chartFormat>
    <chartFormat chart="2" format="32">
      <pivotArea type="data" outline="0" fieldPosition="0">
        <references count="2">
          <reference field="4294967294" count="1" selected="0">
            <x v="0"/>
          </reference>
          <reference field="1" count="1" selected="0">
            <x v="10"/>
          </reference>
        </references>
      </pivotArea>
    </chartFormat>
    <chartFormat chart="2" format="33">
      <pivotArea type="data" outline="0" fieldPosition="0">
        <references count="2">
          <reference field="4294967294" count="1" selected="0">
            <x v="0"/>
          </reference>
          <reference field="1" count="1" selected="0">
            <x v="14"/>
          </reference>
        </references>
      </pivotArea>
    </chartFormat>
    <chartFormat chart="2" format="34">
      <pivotArea type="data" outline="0" fieldPosition="0">
        <references count="2">
          <reference field="4294967294" count="1" selected="0">
            <x v="0"/>
          </reference>
          <reference field="1" count="1" selected="0">
            <x v="15"/>
          </reference>
        </references>
      </pivotArea>
    </chartFormat>
    <chartFormat chart="2" format="35">
      <pivotArea type="data" outline="0" fieldPosition="0">
        <references count="2">
          <reference field="4294967294" count="1" selected="0">
            <x v="0"/>
          </reference>
          <reference field="1" count="1" selected="0">
            <x v="16"/>
          </reference>
        </references>
      </pivotArea>
    </chartFormat>
    <chartFormat chart="2" format="36">
      <pivotArea type="data" outline="0" fieldPosition="0">
        <references count="2">
          <reference field="4294967294" count="1" selected="0">
            <x v="0"/>
          </reference>
          <reference field="1" count="1" selected="0">
            <x v="17"/>
          </reference>
        </references>
      </pivotArea>
    </chartFormat>
    <chartFormat chart="2" format="37">
      <pivotArea type="data" outline="0" fieldPosition="0">
        <references count="2">
          <reference field="4294967294" count="1" selected="0">
            <x v="0"/>
          </reference>
          <reference field="1" count="1" selected="0">
            <x v="18"/>
          </reference>
        </references>
      </pivotArea>
    </chartFormat>
    <chartFormat chart="2" format="38">
      <pivotArea type="data" outline="0" fieldPosition="0">
        <references count="2">
          <reference field="4294967294" count="1" selected="0">
            <x v="0"/>
          </reference>
          <reference field="1"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57D301-B380-47F7-A1F1-85F1E5F6607C}"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C14" firstHeaderRow="0" firstDataRow="1" firstDataCol="1"/>
  <pivotFields count="13">
    <pivotField axis="axisRow" compact="0" outline="0" showAll="0">
      <items count="1001">
        <item x="434"/>
        <item x="904"/>
        <item x="2"/>
        <item x="550"/>
        <item x="123"/>
        <item x="5"/>
        <item x="844"/>
        <item x="532"/>
        <item x="360"/>
        <item x="929"/>
        <item h="1" x="10"/>
        <item h="1" x="938"/>
        <item h="1" x="57"/>
        <item h="1" x="396"/>
        <item h="1" x="14"/>
        <item h="1" x="15"/>
        <item h="1" x="275"/>
        <item h="1" x="17"/>
        <item h="1" x="18"/>
        <item h="1" x="867"/>
        <item h="1" x="877"/>
        <item h="1" x="21"/>
        <item h="1" x="127"/>
        <item h="1" x="23"/>
        <item h="1" x="24"/>
        <item h="1" x="935"/>
        <item h="1" x="357"/>
        <item h="1" x="209"/>
        <item h="1" x="274"/>
        <item h="1" x="705"/>
        <item h="1" x="30"/>
        <item h="1" x="31"/>
        <item h="1" x="300"/>
        <item h="1" x="33"/>
        <item h="1" x="783"/>
        <item h="1" x="35"/>
        <item h="1" x="273"/>
        <item h="1" x="850"/>
        <item h="1" x="912"/>
        <item h="1" x="923"/>
        <item h="1" x="375"/>
        <item h="1" x="41"/>
        <item h="1" x="49"/>
        <item h="1" x="166"/>
        <item h="1" x="580"/>
        <item h="1" x="995"/>
        <item h="1" x="46"/>
        <item h="1" x="578"/>
        <item h="1" x="519"/>
        <item h="1" x="287"/>
        <item h="1" x="667"/>
        <item h="1" x="457"/>
        <item h="1" x="52"/>
        <item h="1" x="53"/>
        <item h="1" x="846"/>
        <item h="1" x="546"/>
        <item h="1" x="58"/>
        <item h="1" x="992"/>
        <item h="1" x="85"/>
        <item h="1" x="59"/>
        <item h="1" x="60"/>
        <item h="1" x="605"/>
        <item h="1" x="62"/>
        <item h="1" x="63"/>
        <item h="1" x="64"/>
        <item h="1" x="65"/>
        <item h="1" x="66"/>
        <item h="1" x="67"/>
        <item h="1" x="190"/>
        <item h="1" x="112"/>
        <item h="1" x="184"/>
        <item h="1" x="703"/>
        <item h="1" x="72"/>
        <item h="1" x="726"/>
        <item h="1" x="168"/>
        <item h="1" x="436"/>
        <item h="1" x="76"/>
        <item h="1" x="355"/>
        <item h="1" x="135"/>
        <item h="1" x="1"/>
        <item h="1" x="305"/>
        <item h="1" x="897"/>
        <item h="1" x="82"/>
        <item h="1" x="83"/>
        <item h="1" x="205"/>
        <item h="1" x="898"/>
        <item h="1" x="86"/>
        <item h="1" x="87"/>
        <item h="1" x="164"/>
        <item h="1" x="286"/>
        <item h="1" x="90"/>
        <item h="1" x="75"/>
        <item h="1" x="92"/>
        <item h="1" x="759"/>
        <item h="1" x="294"/>
        <item h="1" x="781"/>
        <item h="1" x="221"/>
        <item h="1" x="641"/>
        <item h="1" x="115"/>
        <item h="1" x="99"/>
        <item h="1" x="100"/>
        <item h="1" x="630"/>
        <item h="1" x="183"/>
        <item h="1" x="494"/>
        <item h="1" x="800"/>
        <item h="1" x="105"/>
        <item h="1" x="695"/>
        <item h="1" x="69"/>
        <item h="1" x="621"/>
        <item h="1" x="469"/>
        <item h="1" x="565"/>
        <item h="1" x="93"/>
        <item h="1" x="400"/>
        <item h="1" x="113"/>
        <item h="1" x="114"/>
        <item h="1" x="722"/>
        <item h="1" x="958"/>
        <item h="1" x="117"/>
        <item h="1" x="118"/>
        <item h="1" x="947"/>
        <item h="1" x="120"/>
        <item h="1" x="121"/>
        <item h="1" x="859"/>
        <item h="1" x="281"/>
        <item h="1" x="753"/>
        <item h="1" x="760"/>
        <item h="1" x="126"/>
        <item h="1" x="463"/>
        <item h="1" x="543"/>
        <item h="1" x="797"/>
        <item h="1" x="130"/>
        <item h="1" x="662"/>
        <item h="1" x="132"/>
        <item h="1" x="91"/>
        <item h="1" x="692"/>
        <item h="1" x="11"/>
        <item h="1" x="235"/>
        <item h="1" x="414"/>
        <item h="1" x="557"/>
        <item h="1" x="142"/>
        <item h="1" x="344"/>
        <item h="1" x="603"/>
        <item h="1" x="16"/>
        <item h="1" x="254"/>
        <item h="1" x="144"/>
        <item h="1" x="563"/>
        <item h="1" x="146"/>
        <item h="1" x="260"/>
        <item h="1" x="77"/>
        <item h="1" x="482"/>
        <item h="1" x="43"/>
        <item h="1" x="514"/>
        <item h="1" x="152"/>
        <item h="1" x="153"/>
        <item h="1" x="154"/>
        <item h="1" x="278"/>
        <item h="1" x="836"/>
        <item h="1" x="20"/>
        <item h="1" x="158"/>
        <item h="1" x="178"/>
        <item h="1" x="160"/>
        <item h="1" x="313"/>
        <item h="1" x="425"/>
        <item h="1" x="252"/>
        <item h="1" x="878"/>
        <item h="1" x="524"/>
        <item h="1" x="570"/>
        <item h="1" x="345"/>
        <item h="1" x="174"/>
        <item h="1" x="94"/>
        <item h="1" x="170"/>
        <item h="1" x="340"/>
        <item h="1" x="847"/>
        <item h="1" x="264"/>
        <item h="1" x="622"/>
        <item h="1" x="887"/>
        <item h="1" x="685"/>
        <item h="1" x="745"/>
        <item h="1" x="872"/>
        <item h="1" x="815"/>
        <item h="1" x="180"/>
        <item h="1" x="827"/>
        <item h="1" x="556"/>
        <item h="1" x="718"/>
        <item h="1" x="950"/>
        <item h="1" x="19"/>
        <item h="1" x="953"/>
        <item h="1" x="495"/>
        <item h="1" x="976"/>
        <item h="1" x="421"/>
        <item h="1" x="576"/>
        <item h="1" x="191"/>
        <item h="1" x="839"/>
        <item h="1" x="936"/>
        <item h="1" x="194"/>
        <item h="1" x="195"/>
        <item h="1" x="196"/>
        <item h="1" x="837"/>
        <item h="1" x="363"/>
        <item h="1" x="456"/>
        <item h="1" x="119"/>
        <item h="1" x="297"/>
        <item h="1" x="202"/>
        <item h="1" x="395"/>
        <item h="1" x="12"/>
        <item h="1" x="552"/>
        <item h="1" x="206"/>
        <item h="1" x="207"/>
        <item h="1" x="208"/>
        <item h="1" x="652"/>
        <item h="1" x="443"/>
        <item h="1" x="216"/>
        <item h="1" x="952"/>
        <item h="1" x="215"/>
        <item h="1" x="214"/>
        <item h="1" x="392"/>
        <item h="1" x="377"/>
        <item h="1" x="122"/>
        <item h="1" x="201"/>
        <item h="1" x="883"/>
        <item h="1" x="380"/>
        <item h="1" x="721"/>
        <item h="1" x="222"/>
        <item h="1" x="587"/>
        <item h="1" x="554"/>
        <item h="1" x="654"/>
        <item h="1" x="226"/>
        <item h="1" x="956"/>
        <item h="1" x="125"/>
        <item h="1" x="291"/>
        <item h="1" x="230"/>
        <item h="1" x="231"/>
        <item h="1" x="930"/>
        <item h="1" x="619"/>
        <item h="1" x="116"/>
        <item h="1" x="906"/>
        <item h="1" x="811"/>
        <item h="1" x="212"/>
        <item h="1" x="741"/>
        <item h="1" x="239"/>
        <item h="1" x="892"/>
        <item h="1" x="631"/>
        <item h="1" x="242"/>
        <item h="1" x="792"/>
        <item h="1" x="326"/>
        <item h="1" x="854"/>
        <item h="1" x="612"/>
        <item h="1" x="933"/>
        <item h="1" x="388"/>
        <item h="1" x="249"/>
        <item h="1" x="250"/>
        <item h="1" x="285"/>
        <item h="1" x="352"/>
        <item h="1" x="253"/>
        <item h="1" x="95"/>
        <item h="1" x="255"/>
        <item h="1" x="256"/>
        <item h="1" x="257"/>
        <item h="1" x="232"/>
        <item h="1" x="259"/>
        <item h="1" x="973"/>
        <item h="1" x="261"/>
        <item h="1" x="506"/>
        <item h="1" x="263"/>
        <item h="1" x="245"/>
        <item h="1" x="706"/>
        <item h="1" x="266"/>
        <item h="1" x="572"/>
        <item h="1" x="988"/>
        <item h="1" x="794"/>
        <item h="1" x="782"/>
        <item h="1" x="438"/>
        <item h="1" x="292"/>
        <item h="1" x="742"/>
        <item h="1" x="327"/>
        <item h="1" x="889"/>
        <item h="1" x="981"/>
        <item h="1" x="277"/>
        <item h="1" x="881"/>
        <item h="1" x="279"/>
        <item h="1" x="280"/>
        <item h="1" x="920"/>
        <item h="1" x="799"/>
        <item h="1" x="107"/>
        <item h="1" x="6"/>
        <item h="1" x="323"/>
        <item h="1" x="525"/>
        <item h="1" x="607"/>
        <item h="1" x="293"/>
        <item h="1" x="289"/>
        <item h="1" x="512"/>
        <item h="1" x="738"/>
        <item h="1" x="927"/>
        <item h="1" x="223"/>
        <item h="1" x="481"/>
        <item h="1" x="295"/>
        <item h="1" x="296"/>
        <item h="1" x="818"/>
        <item h="1" x="573"/>
        <item h="1" x="129"/>
        <item h="1" x="247"/>
        <item h="1" x="439"/>
        <item h="1" x="496"/>
        <item h="1" x="581"/>
        <item h="1" x="304"/>
        <item h="1" x="370"/>
        <item h="1" x="306"/>
        <item h="1" x="307"/>
        <item h="1" x="615"/>
        <item h="1" x="309"/>
        <item h="1" x="959"/>
        <item h="1" x="311"/>
        <item h="1" x="312"/>
        <item h="1" x="835"/>
        <item h="1" x="314"/>
        <item h="1" x="315"/>
        <item h="1" x="316"/>
        <item h="1" x="321"/>
        <item h="1" x="318"/>
        <item h="1" x="229"/>
        <item h="1" x="566"/>
        <item h="1" x="88"/>
        <item h="1" x="322"/>
        <item h="1" x="555"/>
        <item h="1" x="626"/>
        <item h="1" x="325"/>
        <item h="1" x="124"/>
        <item h="1" x="538"/>
        <item h="1" x="942"/>
        <item h="1" x="498"/>
        <item h="1" x="330"/>
        <item h="1" x="331"/>
        <item h="1" x="332"/>
        <item h="1" x="333"/>
        <item h="1" x="156"/>
        <item h="1" x="335"/>
        <item h="1" x="163"/>
        <item h="1" x="739"/>
        <item h="1" x="866"/>
        <item h="1" x="339"/>
        <item h="1" x="701"/>
        <item h="1" x="636"/>
        <item h="1" x="284"/>
        <item h="1" x="128"/>
        <item h="1" x="389"/>
        <item h="1" x="691"/>
        <item h="1" x="288"/>
        <item h="1" x="338"/>
        <item h="1" x="348"/>
        <item h="1" x="789"/>
        <item h="1" x="629"/>
        <item h="1" x="283"/>
        <item h="1" x="244"/>
        <item h="1" x="353"/>
        <item h="1" x="182"/>
        <item h="1" x="769"/>
        <item h="1" x="356"/>
        <item h="1" x="585"/>
        <item h="1" x="358"/>
        <item h="1" x="359"/>
        <item h="1" x="599"/>
        <item h="1" x="361"/>
        <item h="1" x="925"/>
        <item h="1" x="478"/>
        <item h="1" x="364"/>
        <item h="1" x="89"/>
        <item h="1" x="265"/>
        <item h="1" x="71"/>
        <item h="1" x="368"/>
        <item h="1" x="369"/>
        <item h="1" x="397"/>
        <item h="1" x="864"/>
        <item h="1" x="179"/>
        <item h="1" x="664"/>
        <item h="1" x="450"/>
        <item h="1" x="131"/>
        <item h="1" x="28"/>
        <item h="1" x="974"/>
        <item h="1" x="378"/>
        <item h="1" x="379"/>
        <item h="1" x="269"/>
        <item h="1" x="483"/>
        <item h="1" x="997"/>
        <item h="1" x="302"/>
        <item h="1" x="37"/>
        <item h="1" x="477"/>
        <item h="1" x="462"/>
        <item h="1" x="547"/>
        <item h="1" x="185"/>
        <item h="1" x="977"/>
        <item h="1" x="390"/>
        <item h="1" x="391"/>
        <item h="1" x="779"/>
        <item h="1" x="393"/>
        <item h="1" x="394"/>
        <item h="1" x="272"/>
        <item h="1" x="447"/>
        <item h="1" x="70"/>
        <item h="1" x="177"/>
        <item h="1" x="399"/>
        <item h="1" x="633"/>
        <item h="1" x="567"/>
        <item h="1" x="402"/>
        <item h="1" x="403"/>
        <item h="1" x="651"/>
        <item h="1" x="187"/>
        <item h="1" x="771"/>
        <item h="1" x="218"/>
        <item h="1" x="596"/>
        <item h="1" x="409"/>
        <item h="1" x="412"/>
        <item h="1" x="365"/>
        <item h="1" x="802"/>
        <item h="1" x="413"/>
        <item h="1" x="36"/>
        <item h="1" x="548"/>
        <item h="1" x="730"/>
        <item h="1" x="417"/>
        <item h="1" x="38"/>
        <item h="1" x="155"/>
        <item h="1" x="420"/>
        <item h="1" x="241"/>
        <item h="1" x="422"/>
        <item h="1" x="9"/>
        <item h="1" x="210"/>
        <item h="1" x="857"/>
        <item h="1" x="586"/>
        <item h="1" x="899"/>
        <item h="1" x="428"/>
        <item h="1" x="429"/>
        <item h="1" x="430"/>
        <item h="1" x="262"/>
        <item h="1" x="440"/>
        <item h="1" x="26"/>
        <item h="1" x="150"/>
        <item h="1" x="435"/>
        <item h="1" x="282"/>
        <item h="1" x="870"/>
        <item h="1" x="990"/>
        <item h="1" x="635"/>
        <item h="1" x="159"/>
        <item h="1" x="468"/>
        <item h="1" x="746"/>
        <item h="1" x="914"/>
        <item h="1" x="444"/>
        <item h="1" x="376"/>
        <item h="1" x="446"/>
        <item h="1" x="106"/>
        <item h="1" x="98"/>
        <item h="1" x="220"/>
        <item h="1" x="713"/>
        <item h="1" x="451"/>
        <item h="1" x="452"/>
        <item h="1" x="674"/>
        <item h="1" x="454"/>
        <item h="1" x="709"/>
        <item h="1" x="711"/>
        <item h="1" x="418"/>
        <item h="1" x="458"/>
        <item h="1" x="149"/>
        <item h="1" x="697"/>
        <item h="1" x="461"/>
        <item h="1" x="613"/>
        <item h="1" x="507"/>
        <item h="1" x="499"/>
        <item h="1" x="606"/>
        <item h="1" x="268"/>
        <item h="1" x="320"/>
        <item h="1" x="768"/>
        <item h="1" x="809"/>
        <item h="1" x="470"/>
        <item h="1" x="78"/>
        <item h="1" x="472"/>
        <item h="1" x="473"/>
        <item h="1" x="751"/>
        <item h="1" x="471"/>
        <item h="1" x="516"/>
        <item h="1" x="559"/>
        <item h="1" x="248"/>
        <item h="1" x="108"/>
        <item h="1" x="972"/>
        <item h="1" x="764"/>
        <item h="1" x="79"/>
        <item h="1" x="433"/>
        <item h="1" x="301"/>
        <item h="1" x="485"/>
        <item h="1" x="486"/>
        <item h="1" x="707"/>
        <item h="1" x="488"/>
        <item h="1" x="489"/>
        <item h="1" x="136"/>
        <item h="1" x="791"/>
        <item h="1" x="492"/>
        <item h="1" x="493"/>
        <item h="1" x="455"/>
        <item h="1" x="104"/>
        <item h="1" x="491"/>
        <item h="1" x="830"/>
        <item h="1" x="233"/>
        <item h="1" x="490"/>
        <item h="1" x="704"/>
        <item h="1" x="484"/>
        <item h="1" x="765"/>
        <item h="1" x="467"/>
        <item h="1" x="780"/>
        <item h="1" x="465"/>
        <item h="1" x="197"/>
        <item h="1" x="737"/>
        <item h="1" x="537"/>
        <item h="1" x="731"/>
        <item h="1" x="510"/>
        <item h="1" x="948"/>
        <item h="1" x="886"/>
        <item h="1" x="513"/>
        <item h="1" x="162"/>
        <item h="1" x="143"/>
        <item h="1" x="224"/>
        <item h="1" x="219"/>
        <item h="1" x="978"/>
        <item h="1" x="535"/>
        <item h="1" x="172"/>
        <item h="1" x="608"/>
        <item h="1" x="522"/>
        <item h="1" x="523"/>
        <item h="1" x="616"/>
        <item h="1" x="686"/>
        <item h="1" x="964"/>
        <item h="1" x="647"/>
        <item h="1" x="528"/>
        <item h="1" x="529"/>
        <item h="1" x="530"/>
        <item h="1" x="699"/>
        <item h="1" x="521"/>
        <item h="1" x="895"/>
        <item h="1" x="534"/>
        <item h="1" x="32"/>
        <item h="1" x="536"/>
        <item h="1" x="173"/>
        <item h="1" x="752"/>
        <item h="1" x="916"/>
        <item h="1" x="140"/>
        <item h="1" x="863"/>
        <item h="1" x="542"/>
        <item h="1" x="258"/>
        <item h="1" x="544"/>
        <item h="1" x="545"/>
        <item h="1" x="679"/>
        <item h="1" x="44"/>
        <item h="1" x="416"/>
        <item h="1" x="324"/>
        <item h="1" x="427"/>
        <item h="1" x="551"/>
        <item h="1" x="8"/>
        <item h="1" x="553"/>
        <item h="1" x="423"/>
        <item h="1" x="562"/>
        <item h="1" x="968"/>
        <item h="1" x="337"/>
        <item h="1" x="820"/>
        <item h="1" x="971"/>
        <item h="1" x="590"/>
        <item h="1" x="346"/>
        <item h="1" x="137"/>
        <item h="1" x="354"/>
        <item h="1" x="564"/>
        <item h="1" x="101"/>
        <item h="1" x="637"/>
        <item h="1" x="138"/>
        <item h="1" x="568"/>
        <item h="1" x="569"/>
        <item h="1" x="509"/>
        <item h="1" x="571"/>
        <item h="1" x="404"/>
        <item h="1" x="575"/>
        <item h="1" x="574"/>
        <item h="1" x="453"/>
        <item h="1" x="934"/>
        <item h="1" x="577"/>
        <item h="1" x="290"/>
        <item h="1" x="793"/>
        <item h="1" x="620"/>
        <item h="1" x="381"/>
        <item h="1" x="773"/>
        <item h="1" x="583"/>
        <item h="1" x="584"/>
        <item h="1" x="165"/>
        <item h="1" x="656"/>
        <item h="1" x="109"/>
        <item h="1" x="588"/>
        <item h="1" x="407"/>
        <item h="1" x="55"/>
        <item h="1" x="591"/>
        <item h="1" x="234"/>
        <item h="1" x="593"/>
        <item h="1" x="594"/>
        <item h="1" x="47"/>
        <item h="1" x="4"/>
        <item h="1" x="913"/>
        <item h="1" x="598"/>
        <item h="1" x="595"/>
        <item h="1" x="600"/>
        <item h="1" x="841"/>
        <item h="1" x="96"/>
        <item h="1" x="784"/>
        <item h="1" x="816"/>
        <item h="1" x="980"/>
        <item h="1" x="110"/>
        <item h="1" x="384"/>
        <item h="1" x="696"/>
        <item h="1" x="539"/>
        <item h="1" x="527"/>
        <item h="1" x="366"/>
        <item h="1" x="238"/>
        <item h="1" x="511"/>
        <item h="1" x="424"/>
        <item h="1" x="755"/>
        <item h="1" x="343"/>
        <item h="1" x="678"/>
        <item h="1" x="225"/>
        <item h="1" x="161"/>
        <item h="1" x="68"/>
        <item h="1" x="460"/>
        <item h="1" x="40"/>
        <item h="1" x="398"/>
        <item h="1" x="655"/>
        <item h="1" x="141"/>
        <item h="1" x="167"/>
        <item h="1" x="627"/>
        <item h="1" x="628"/>
        <item h="1" x="540"/>
        <item h="1" x="27"/>
        <item h="1" x="431"/>
        <item h="1" x="926"/>
        <item h="1" x="415"/>
        <item h="1" x="937"/>
        <item h="1" x="714"/>
        <item h="1" x="766"/>
        <item h="1" x="928"/>
        <item h="1" x="56"/>
        <item h="1" x="712"/>
        <item h="1" x="807"/>
        <item h="1" x="501"/>
        <item h="1" x="408"/>
        <item h="1" x="602"/>
        <item h="1" x="500"/>
        <item h="1" x="645"/>
        <item h="1" x="646"/>
        <item h="1" x="236"/>
        <item h="1" x="648"/>
        <item h="1" x="649"/>
        <item h="1" x="778"/>
        <item h="1" x="717"/>
        <item h="1" x="480"/>
        <item h="1" x="371"/>
        <item h="1" x="902"/>
        <item h="1" x="915"/>
        <item h="1" x="217"/>
        <item h="1" x="367"/>
        <item h="1" x="237"/>
        <item h="1" x="102"/>
        <item h="1" x="660"/>
        <item h="1" x="661"/>
        <item h="1" x="54"/>
        <item h="1" x="758"/>
        <item h="1" x="328"/>
        <item h="1" x="419"/>
        <item h="1" x="476"/>
        <item h="1" x="267"/>
        <item h="1" x="541"/>
        <item h="1" x="804"/>
        <item h="1" x="643"/>
        <item h="1" x="650"/>
        <item h="1" x="671"/>
        <item h="1" x="673"/>
        <item h="1" x="204"/>
        <item h="1" x="675"/>
        <item h="1" x="676"/>
        <item h="1" x="50"/>
        <item h="1" x="310"/>
        <item h="1" x="994"/>
        <item h="1" x="680"/>
        <item h="1" x="681"/>
        <item h="1" x="682"/>
        <item h="1" x="683"/>
        <item h="1" x="684"/>
        <item h="1" x="39"/>
        <item h="1" x="533"/>
        <item h="1" x="0"/>
        <item h="1" x="688"/>
        <item h="1" x="689"/>
        <item h="1" x="192"/>
        <item h="1" x="579"/>
        <item h="1" x="852"/>
        <item h="1" x="693"/>
        <item h="1" x="694"/>
        <item h="1" x="719"/>
        <item h="1" x="251"/>
        <item h="1" x="875"/>
        <item h="1" x="822"/>
        <item h="1" x="941"/>
        <item h="1" x="806"/>
        <item h="1" x="762"/>
        <item h="1" x="702"/>
        <item h="1" x="308"/>
        <item h="1" x="520"/>
        <item h="1" x="772"/>
        <item h="1" x="858"/>
        <item h="1" x="734"/>
        <item h="1" x="426"/>
        <item h="1" x="298"/>
        <item h="1" x="710"/>
        <item h="1" x="373"/>
        <item h="1" x="640"/>
        <item h="1" x="855"/>
        <item h="1" x="81"/>
        <item h="1" x="715"/>
        <item h="1" x="716"/>
        <item h="1" x="810"/>
        <item h="1" x="817"/>
        <item h="1" x="663"/>
        <item h="1" x="61"/>
        <item h="1" x="383"/>
        <item h="1" x="790"/>
        <item h="1" x="901"/>
        <item h="1" x="503"/>
        <item h="1" x="725"/>
        <item h="1" x="821"/>
        <item h="1" x="727"/>
        <item h="1" x="728"/>
        <item h="1" x="653"/>
        <item h="1" x="240"/>
        <item h="1" x="862"/>
        <item h="1" x="732"/>
        <item h="1" x="733"/>
        <item h="1" x="246"/>
        <item h="1" x="199"/>
        <item h="1" x="736"/>
        <item h="1" x="903"/>
        <item h="1" x="720"/>
        <item h="1" x="865"/>
        <item h="1" x="625"/>
        <item h="1" x="957"/>
        <item h="1" x="876"/>
        <item h="1" x="51"/>
        <item h="1" x="677"/>
        <item h="1" x="666"/>
        <item h="1" x="189"/>
        <item h="1" x="767"/>
        <item h="1" x="908"/>
        <item h="1" x="749"/>
        <item h="1" x="750"/>
        <item h="1" x="133"/>
        <item h="1" x="604"/>
        <item h="1" x="193"/>
        <item h="1" x="618"/>
        <item h="1" x="614"/>
        <item h="1" x="515"/>
        <item h="1" x="757"/>
        <item h="1" x="884"/>
        <item h="1" x="505"/>
        <item h="1" x="658"/>
        <item h="1" x="761"/>
        <item h="1" x="276"/>
        <item h="1" x="148"/>
        <item h="1" x="735"/>
        <item h="1" x="351"/>
        <item h="1" x="657"/>
        <item h="1" x="832"/>
        <item h="1" x="3"/>
        <item h="1" x="756"/>
        <item h="1" x="724"/>
        <item h="1" x="747"/>
        <item h="1" x="97"/>
        <item h="1" x="748"/>
        <item h="1" x="774"/>
        <item h="1" x="80"/>
        <item h="1" x="776"/>
        <item h="1" x="777"/>
        <item h="1" x="410"/>
        <item h="1" x="474"/>
        <item h="1" x="385"/>
        <item h="1" x="336"/>
        <item h="1" x="609"/>
        <item h="1" x="770"/>
        <item h="1" x="342"/>
        <item h="1" x="145"/>
        <item h="1" x="786"/>
        <item h="1" x="787"/>
        <item h="1" x="198"/>
        <item h="1" x="946"/>
        <item h="1" x="34"/>
        <item h="1" x="464"/>
        <item h="1" x="856"/>
        <item h="1" x="592"/>
        <item h="1" x="151"/>
        <item h="1" x="795"/>
        <item h="1" x="796"/>
        <item h="1" x="638"/>
        <item h="1" x="798"/>
        <item h="1" x="497"/>
        <item h="1" x="729"/>
        <item h="1" x="723"/>
        <item h="1" x="642"/>
        <item h="1" x="803"/>
        <item h="1" x="669"/>
        <item h="1" x="805"/>
        <item h="1" x="531"/>
        <item h="1" x="611"/>
        <item h="1" x="582"/>
        <item h="1" x="445"/>
        <item h="1" x="362"/>
        <item h="1" x="829"/>
        <item h="1" x="812"/>
        <item h="1" x="966"/>
        <item h="1" x="814"/>
        <item h="1" x="589"/>
        <item h="1" x="211"/>
        <item h="1" x="740"/>
        <item h="1" x="29"/>
        <item h="1" x="744"/>
        <item h="1" x="965"/>
        <item h="1" x="969"/>
        <item h="1" x="517"/>
        <item h="1" x="823"/>
        <item h="1" x="824"/>
        <item h="1" x="317"/>
        <item h="1" x="826"/>
        <item h="1" x="632"/>
        <item h="1" x="828"/>
        <item h="1" x="448"/>
        <item h="1" x="967"/>
        <item h="1" x="831"/>
        <item h="1" x="227"/>
        <item h="1" x="743"/>
        <item h="1" x="834"/>
        <item h="1" x="479"/>
        <item h="1" x="801"/>
        <item h="1" x="918"/>
        <item h="1" x="838"/>
        <item h="1" x="754"/>
        <item h="1" x="840"/>
        <item h="1" x="405"/>
        <item h="1" x="502"/>
        <item h="1" x="843"/>
        <item h="1" x="73"/>
        <item h="1" x="561"/>
        <item h="1" x="203"/>
        <item h="1" x="111"/>
        <item h="1" x="848"/>
        <item h="1" x="459"/>
        <item h="1" x="432"/>
        <item h="1" x="851"/>
        <item h="1" x="13"/>
        <item h="1" x="853"/>
        <item h="1" x="623"/>
        <item h="1" x="813"/>
        <item h="1" x="134"/>
        <item h="1" x="200"/>
        <item h="1" x="329"/>
        <item h="1" x="175"/>
        <item h="1" x="860"/>
        <item h="1" x="861"/>
        <item h="1" x="157"/>
        <item h="1" x="213"/>
        <item h="1" x="905"/>
        <item h="1" x="961"/>
        <item h="1" x="644"/>
        <item h="1" x="449"/>
        <item h="1" x="868"/>
        <item h="1" x="869"/>
        <item h="1" x="526"/>
        <item h="1" x="871"/>
        <item h="1" x="893"/>
        <item h="1" x="406"/>
        <item h="1" x="874"/>
        <item h="1" x="48"/>
        <item h="1" x="601"/>
        <item h="1" x="775"/>
        <item h="1" x="996"/>
        <item h="1" x="879"/>
        <item h="1" x="880"/>
        <item h="1" x="984"/>
        <item h="1" x="882"/>
        <item h="1" x="42"/>
        <item h="1" x="982"/>
        <item h="1" x="885"/>
        <item h="1" x="303"/>
        <item h="1" x="7"/>
        <item h="1" x="387"/>
        <item h="1" x="624"/>
        <item h="1" x="890"/>
        <item h="1" x="891"/>
        <item h="1" x="319"/>
        <item h="1" x="176"/>
        <item h="1" x="894"/>
        <item h="1" x="350"/>
        <item h="1" x="186"/>
        <item h="1" x="181"/>
        <item h="1" x="169"/>
        <item h="1" x="103"/>
        <item h="1" x="963"/>
        <item h="1" x="670"/>
        <item h="1" x="659"/>
        <item h="1" x="139"/>
        <item h="1" x="487"/>
        <item h="1" x="25"/>
        <item h="1" x="907"/>
        <item h="1" x="975"/>
        <item h="1" x="708"/>
        <item h="1" x="909"/>
        <item h="1" x="910"/>
        <item h="1" x="911"/>
        <item h="1" x="22"/>
        <item h="1" x="341"/>
        <item h="1" x="386"/>
        <item h="1" x="228"/>
        <item h="1" x="842"/>
        <item h="1" x="917"/>
        <item h="1" x="788"/>
        <item h="1" x="919"/>
        <item h="1" x="888"/>
        <item h="1" x="921"/>
        <item h="1" x="922"/>
        <item h="1" x="441"/>
        <item h="1" x="808"/>
        <item h="1" x="924"/>
        <item h="1" x="508"/>
        <item h="1" x="382"/>
        <item h="1" x="504"/>
        <item h="1" x="347"/>
        <item h="1" x="610"/>
        <item h="1" x="931"/>
        <item h="1" x="932"/>
        <item h="1" x="979"/>
        <item h="1" x="372"/>
        <item h="1" x="700"/>
        <item h="1" x="668"/>
        <item h="1" x="900"/>
        <item h="1" x="849"/>
        <item h="1" x="939"/>
        <item h="1" x="270"/>
        <item h="1" x="634"/>
        <item h="1" x="518"/>
        <item h="1" x="698"/>
        <item h="1" x="944"/>
        <item h="1" x="945"/>
        <item h="1" x="690"/>
        <item h="1" x="943"/>
        <item h="1" x="442"/>
        <item h="1" x="949"/>
        <item h="1" x="825"/>
        <item h="1" x="951"/>
        <item h="1" x="833"/>
        <item h="1" x="374"/>
        <item h="1" x="954"/>
        <item h="1" x="955"/>
        <item h="1" x="299"/>
        <item h="1" x="639"/>
        <item h="1" x="243"/>
        <item h="1" x="466"/>
        <item h="1" x="960"/>
        <item h="1" x="45"/>
        <item h="1" x="962"/>
        <item h="1" x="672"/>
        <item h="1" x="558"/>
        <item h="1" x="74"/>
        <item h="1" x="334"/>
        <item h="1" x="171"/>
        <item h="1" x="617"/>
        <item h="1" x="188"/>
        <item h="1" x="970"/>
        <item h="1" x="147"/>
        <item h="1" x="665"/>
        <item h="1" x="271"/>
        <item h="1" x="549"/>
        <item h="1" x="401"/>
        <item h="1" x="475"/>
        <item h="1" x="437"/>
        <item h="1" x="845"/>
        <item h="1" x="763"/>
        <item h="1" x="873"/>
        <item h="1" x="597"/>
        <item h="1" x="349"/>
        <item h="1" x="983"/>
        <item h="1" x="819"/>
        <item h="1" x="985"/>
        <item h="1" x="986"/>
        <item h="1" x="987"/>
        <item h="1" x="411"/>
        <item h="1" x="989"/>
        <item h="1" x="560"/>
        <item h="1" x="991"/>
        <item h="1" x="896"/>
        <item h="1" x="993"/>
        <item h="1" x="84"/>
        <item h="1" x="785"/>
        <item h="1" x="940"/>
        <item h="1" x="687"/>
        <item h="1" x="998"/>
        <item h="1" x="999"/>
        <item t="default"/>
      </items>
    </pivotField>
    <pivotField compact="0" outline="0" showAll="0"/>
    <pivotField compact="0" outline="0" showAll="0">
      <items count="5">
        <item x="2"/>
        <item x="1"/>
        <item x="0"/>
        <item x="3"/>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items count="7">
        <item x="5"/>
        <item x="0"/>
        <item x="2"/>
        <item x="4"/>
        <item x="1"/>
        <item x="3"/>
        <item t="default"/>
      </items>
    </pivotField>
    <pivotField compact="0" outline="0" showAll="0">
      <items count="3">
        <item x="0"/>
        <item x="1"/>
        <item t="default"/>
      </items>
    </pivotField>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Projects_Completed" fld="7" baseField="0" baseItem="0"/>
    <dataField name="Sum of Attendance"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1C9C82-7AF7-49E6-B46F-9FFD1DC84752}"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C14" firstHeaderRow="0" firstDataRow="1" firstDataCol="1"/>
  <pivotFields count="13">
    <pivotField compact="0" outline="0" showAll="0"/>
    <pivotField axis="axisRow" compact="0" outline="0" showAll="0">
      <items count="21">
        <item h="1" x="14"/>
        <item h="1" x="17"/>
        <item x="9"/>
        <item x="19"/>
        <item h="1" x="3"/>
        <item h="1" x="6"/>
        <item h="1" x="12"/>
        <item x="11"/>
        <item x="15"/>
        <item h="1" x="8"/>
        <item h="1" x="7"/>
        <item x="2"/>
        <item x="1"/>
        <item h="1" x="10"/>
        <item h="1" x="4"/>
        <item x="5"/>
        <item x="0"/>
        <item h="1" x="16"/>
        <item x="18"/>
        <item x="13"/>
        <item t="default"/>
      </items>
    </pivotField>
    <pivotField compact="0" outline="0" showAll="0">
      <items count="5">
        <item x="2"/>
        <item x="1"/>
        <item x="0"/>
        <item x="3"/>
        <item t="default"/>
      </items>
    </pivotField>
    <pivotField compact="0" outline="0" showAll="0"/>
    <pivotField compact="0" outline="0" showAll="0">
      <items count="3">
        <item x="1"/>
        <item x="0"/>
        <item t="default"/>
      </items>
    </pivotField>
    <pivotField compact="0" outline="0" showAll="0"/>
    <pivotField dataField="1" compact="0" outline="0" showAll="0"/>
    <pivotField compact="0" outline="0" showAll="0"/>
    <pivotField dataField="1" compact="0" outline="0" showAll="0"/>
    <pivotField compact="0" outline="0" showAll="0"/>
    <pivotField compact="0" outline="0" showAll="0"/>
    <pivotField compact="0" outline="0" showAll="0">
      <items count="7">
        <item x="5"/>
        <item x="0"/>
        <item x="2"/>
        <item x="4"/>
        <item x="1"/>
        <item x="3"/>
        <item t="default"/>
      </items>
    </pivotField>
    <pivotField compact="0" outline="0" showAll="0"/>
  </pivotFields>
  <rowFields count="1">
    <field x="1"/>
  </rowFields>
  <rowItems count="11">
    <i>
      <x v="2"/>
    </i>
    <i>
      <x v="3"/>
    </i>
    <i>
      <x v="7"/>
    </i>
    <i>
      <x v="8"/>
    </i>
    <i>
      <x v="11"/>
    </i>
    <i>
      <x v="12"/>
    </i>
    <i>
      <x v="15"/>
    </i>
    <i>
      <x v="16"/>
    </i>
    <i>
      <x v="18"/>
    </i>
    <i>
      <x v="19"/>
    </i>
    <i t="grand">
      <x/>
    </i>
  </rowItems>
  <colFields count="1">
    <field x="-2"/>
  </colFields>
  <colItems count="2">
    <i>
      <x/>
    </i>
    <i i="1">
      <x v="1"/>
    </i>
  </colItems>
  <dataFields count="2">
    <dataField name="Sum of Salary" fld="6" baseField="0" baseItem="0"/>
    <dataField name="Sum of Working_Hours"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C8711A-98CC-4893-918B-E2768ED461B3}"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3:D24" firstHeaderRow="0" firstDataRow="1" firstDataCol="1"/>
  <pivotFields count="13">
    <pivotField compact="0" outline="0" showAll="0">
      <items count="1001">
        <item x="434"/>
        <item x="904"/>
        <item x="2"/>
        <item x="550"/>
        <item x="123"/>
        <item x="5"/>
        <item x="844"/>
        <item x="532"/>
        <item x="360"/>
        <item x="929"/>
        <item x="10"/>
        <item x="938"/>
        <item x="57"/>
        <item x="396"/>
        <item x="14"/>
        <item x="15"/>
        <item x="275"/>
        <item x="17"/>
        <item x="18"/>
        <item x="867"/>
        <item x="877"/>
        <item x="21"/>
        <item x="127"/>
        <item x="23"/>
        <item x="24"/>
        <item x="935"/>
        <item x="357"/>
        <item x="209"/>
        <item x="274"/>
        <item x="705"/>
        <item x="30"/>
        <item x="31"/>
        <item x="300"/>
        <item x="33"/>
        <item x="783"/>
        <item x="35"/>
        <item x="273"/>
        <item x="850"/>
        <item x="912"/>
        <item x="923"/>
        <item x="375"/>
        <item x="41"/>
        <item x="49"/>
        <item x="166"/>
        <item x="580"/>
        <item x="995"/>
        <item x="46"/>
        <item x="578"/>
        <item x="519"/>
        <item x="287"/>
        <item x="667"/>
        <item x="457"/>
        <item x="52"/>
        <item x="53"/>
        <item x="846"/>
        <item x="546"/>
        <item x="58"/>
        <item x="992"/>
        <item x="85"/>
        <item x="59"/>
        <item x="60"/>
        <item x="605"/>
        <item x="62"/>
        <item x="63"/>
        <item x="64"/>
        <item x="65"/>
        <item x="66"/>
        <item x="67"/>
        <item x="190"/>
        <item x="112"/>
        <item x="184"/>
        <item x="703"/>
        <item x="72"/>
        <item x="726"/>
        <item x="168"/>
        <item x="436"/>
        <item x="76"/>
        <item x="355"/>
        <item x="135"/>
        <item x="1"/>
        <item x="305"/>
        <item x="897"/>
        <item x="82"/>
        <item x="83"/>
        <item x="205"/>
        <item x="898"/>
        <item x="86"/>
        <item x="87"/>
        <item x="164"/>
        <item x="286"/>
        <item x="90"/>
        <item x="75"/>
        <item x="92"/>
        <item x="759"/>
        <item x="294"/>
        <item x="781"/>
        <item x="221"/>
        <item x="641"/>
        <item x="115"/>
        <item x="99"/>
        <item x="100"/>
        <item x="630"/>
        <item x="183"/>
        <item x="494"/>
        <item x="800"/>
        <item x="105"/>
        <item x="695"/>
        <item x="69"/>
        <item x="621"/>
        <item x="469"/>
        <item x="565"/>
        <item x="93"/>
        <item x="400"/>
        <item x="113"/>
        <item x="114"/>
        <item x="722"/>
        <item x="958"/>
        <item x="117"/>
        <item x="118"/>
        <item x="947"/>
        <item x="120"/>
        <item x="121"/>
        <item x="859"/>
        <item x="281"/>
        <item x="753"/>
        <item x="760"/>
        <item x="126"/>
        <item x="463"/>
        <item x="543"/>
        <item x="797"/>
        <item x="130"/>
        <item x="662"/>
        <item x="132"/>
        <item x="91"/>
        <item x="692"/>
        <item x="11"/>
        <item x="235"/>
        <item x="414"/>
        <item x="557"/>
        <item x="142"/>
        <item x="344"/>
        <item x="603"/>
        <item x="16"/>
        <item x="254"/>
        <item x="144"/>
        <item x="563"/>
        <item x="146"/>
        <item x="260"/>
        <item x="77"/>
        <item x="482"/>
        <item x="43"/>
        <item x="514"/>
        <item x="152"/>
        <item x="153"/>
        <item x="154"/>
        <item x="278"/>
        <item x="836"/>
        <item x="20"/>
        <item x="158"/>
        <item x="178"/>
        <item x="160"/>
        <item x="313"/>
        <item x="425"/>
        <item x="252"/>
        <item x="878"/>
        <item x="524"/>
        <item x="570"/>
        <item x="345"/>
        <item x="174"/>
        <item x="94"/>
        <item x="170"/>
        <item x="340"/>
        <item x="847"/>
        <item x="264"/>
        <item x="622"/>
        <item x="887"/>
        <item x="685"/>
        <item x="745"/>
        <item x="872"/>
        <item x="815"/>
        <item x="180"/>
        <item x="827"/>
        <item x="556"/>
        <item x="718"/>
        <item x="950"/>
        <item x="19"/>
        <item x="953"/>
        <item x="495"/>
        <item x="976"/>
        <item x="421"/>
        <item x="576"/>
        <item x="191"/>
        <item x="839"/>
        <item x="936"/>
        <item x="194"/>
        <item x="195"/>
        <item x="196"/>
        <item x="837"/>
        <item x="363"/>
        <item x="456"/>
        <item x="119"/>
        <item x="297"/>
        <item x="202"/>
        <item x="395"/>
        <item x="12"/>
        <item x="552"/>
        <item x="206"/>
        <item x="207"/>
        <item x="208"/>
        <item x="652"/>
        <item x="443"/>
        <item x="216"/>
        <item x="952"/>
        <item x="215"/>
        <item x="214"/>
        <item x="392"/>
        <item x="377"/>
        <item x="122"/>
        <item x="201"/>
        <item x="883"/>
        <item x="380"/>
        <item x="721"/>
        <item x="222"/>
        <item x="587"/>
        <item x="554"/>
        <item x="654"/>
        <item x="226"/>
        <item x="956"/>
        <item x="125"/>
        <item x="291"/>
        <item x="230"/>
        <item x="231"/>
        <item x="930"/>
        <item x="619"/>
        <item x="116"/>
        <item x="906"/>
        <item x="811"/>
        <item x="212"/>
        <item x="741"/>
        <item x="239"/>
        <item x="892"/>
        <item x="631"/>
        <item x="242"/>
        <item x="792"/>
        <item x="326"/>
        <item x="854"/>
        <item x="612"/>
        <item x="933"/>
        <item x="388"/>
        <item x="249"/>
        <item x="250"/>
        <item x="285"/>
        <item x="352"/>
        <item x="253"/>
        <item x="95"/>
        <item x="255"/>
        <item x="256"/>
        <item x="257"/>
        <item x="232"/>
        <item x="259"/>
        <item x="973"/>
        <item x="261"/>
        <item x="506"/>
        <item x="263"/>
        <item x="245"/>
        <item x="706"/>
        <item x="266"/>
        <item x="572"/>
        <item x="988"/>
        <item x="794"/>
        <item x="782"/>
        <item x="438"/>
        <item x="292"/>
        <item x="742"/>
        <item x="327"/>
        <item x="889"/>
        <item x="981"/>
        <item x="277"/>
        <item x="881"/>
        <item x="279"/>
        <item x="280"/>
        <item x="920"/>
        <item x="799"/>
        <item x="107"/>
        <item x="6"/>
        <item x="323"/>
        <item x="525"/>
        <item x="607"/>
        <item x="293"/>
        <item x="289"/>
        <item x="512"/>
        <item x="738"/>
        <item x="927"/>
        <item x="223"/>
        <item x="481"/>
        <item x="295"/>
        <item x="296"/>
        <item x="818"/>
        <item x="573"/>
        <item x="129"/>
        <item x="247"/>
        <item x="439"/>
        <item x="496"/>
        <item x="581"/>
        <item x="304"/>
        <item x="370"/>
        <item x="306"/>
        <item x="307"/>
        <item x="615"/>
        <item x="309"/>
        <item x="959"/>
        <item x="311"/>
        <item x="312"/>
        <item x="835"/>
        <item x="314"/>
        <item x="315"/>
        <item x="316"/>
        <item x="321"/>
        <item x="318"/>
        <item x="229"/>
        <item x="566"/>
        <item x="88"/>
        <item x="322"/>
        <item x="555"/>
        <item x="626"/>
        <item x="325"/>
        <item x="124"/>
        <item x="538"/>
        <item x="942"/>
        <item x="498"/>
        <item x="330"/>
        <item x="331"/>
        <item x="332"/>
        <item x="333"/>
        <item x="156"/>
        <item x="335"/>
        <item x="163"/>
        <item x="739"/>
        <item x="866"/>
        <item x="339"/>
        <item x="701"/>
        <item x="636"/>
        <item x="284"/>
        <item x="128"/>
        <item x="389"/>
        <item x="691"/>
        <item x="288"/>
        <item x="338"/>
        <item x="348"/>
        <item x="789"/>
        <item x="629"/>
        <item x="283"/>
        <item x="244"/>
        <item x="353"/>
        <item x="182"/>
        <item x="769"/>
        <item x="356"/>
        <item x="585"/>
        <item x="358"/>
        <item x="359"/>
        <item x="599"/>
        <item x="361"/>
        <item x="925"/>
        <item x="478"/>
        <item x="364"/>
        <item x="89"/>
        <item x="265"/>
        <item x="71"/>
        <item x="368"/>
        <item x="369"/>
        <item x="397"/>
        <item x="864"/>
        <item x="179"/>
        <item x="664"/>
        <item x="450"/>
        <item x="131"/>
        <item x="28"/>
        <item x="974"/>
        <item x="378"/>
        <item x="379"/>
        <item x="269"/>
        <item x="483"/>
        <item x="997"/>
        <item x="302"/>
        <item x="37"/>
        <item x="477"/>
        <item x="462"/>
        <item x="547"/>
        <item x="185"/>
        <item x="977"/>
        <item x="390"/>
        <item x="391"/>
        <item x="779"/>
        <item x="393"/>
        <item x="394"/>
        <item x="272"/>
        <item x="447"/>
        <item x="70"/>
        <item x="177"/>
        <item x="399"/>
        <item x="633"/>
        <item x="567"/>
        <item x="402"/>
        <item x="403"/>
        <item x="651"/>
        <item x="187"/>
        <item x="771"/>
        <item x="218"/>
        <item x="596"/>
        <item x="409"/>
        <item x="412"/>
        <item x="365"/>
        <item x="802"/>
        <item x="413"/>
        <item x="36"/>
        <item x="548"/>
        <item x="730"/>
        <item x="417"/>
        <item x="38"/>
        <item x="155"/>
        <item x="420"/>
        <item x="241"/>
        <item x="422"/>
        <item x="9"/>
        <item x="210"/>
        <item x="857"/>
        <item x="586"/>
        <item x="899"/>
        <item x="428"/>
        <item x="429"/>
        <item x="430"/>
        <item x="262"/>
        <item x="440"/>
        <item x="26"/>
        <item x="150"/>
        <item x="435"/>
        <item x="282"/>
        <item x="870"/>
        <item x="990"/>
        <item x="635"/>
        <item x="159"/>
        <item x="468"/>
        <item x="746"/>
        <item x="914"/>
        <item x="444"/>
        <item x="376"/>
        <item x="446"/>
        <item x="106"/>
        <item x="98"/>
        <item x="220"/>
        <item x="713"/>
        <item x="451"/>
        <item x="452"/>
        <item x="674"/>
        <item x="454"/>
        <item x="709"/>
        <item x="711"/>
        <item x="418"/>
        <item x="458"/>
        <item x="149"/>
        <item x="697"/>
        <item x="461"/>
        <item x="613"/>
        <item x="507"/>
        <item x="499"/>
        <item x="606"/>
        <item x="268"/>
        <item x="320"/>
        <item x="768"/>
        <item x="809"/>
        <item x="470"/>
        <item x="78"/>
        <item x="472"/>
        <item x="473"/>
        <item x="751"/>
        <item x="471"/>
        <item x="516"/>
        <item x="559"/>
        <item x="248"/>
        <item x="108"/>
        <item x="972"/>
        <item x="764"/>
        <item x="79"/>
        <item x="433"/>
        <item x="301"/>
        <item x="485"/>
        <item x="486"/>
        <item x="707"/>
        <item x="488"/>
        <item x="489"/>
        <item x="136"/>
        <item x="791"/>
        <item x="492"/>
        <item x="493"/>
        <item x="455"/>
        <item x="104"/>
        <item x="491"/>
        <item x="830"/>
        <item x="233"/>
        <item x="490"/>
        <item x="704"/>
        <item x="484"/>
        <item x="765"/>
        <item x="467"/>
        <item x="780"/>
        <item x="465"/>
        <item x="197"/>
        <item x="737"/>
        <item x="537"/>
        <item x="731"/>
        <item x="510"/>
        <item x="948"/>
        <item x="886"/>
        <item x="513"/>
        <item x="162"/>
        <item x="143"/>
        <item x="224"/>
        <item x="219"/>
        <item x="978"/>
        <item x="535"/>
        <item x="172"/>
        <item x="608"/>
        <item x="522"/>
        <item x="523"/>
        <item x="616"/>
        <item x="686"/>
        <item x="964"/>
        <item x="647"/>
        <item x="528"/>
        <item x="529"/>
        <item x="530"/>
        <item x="699"/>
        <item x="521"/>
        <item x="895"/>
        <item x="534"/>
        <item x="32"/>
        <item x="536"/>
        <item x="173"/>
        <item x="752"/>
        <item x="916"/>
        <item x="140"/>
        <item x="863"/>
        <item x="542"/>
        <item x="258"/>
        <item x="544"/>
        <item x="545"/>
        <item x="679"/>
        <item x="44"/>
        <item x="416"/>
        <item x="324"/>
        <item x="427"/>
        <item x="551"/>
        <item x="8"/>
        <item x="553"/>
        <item x="423"/>
        <item x="562"/>
        <item x="968"/>
        <item x="337"/>
        <item x="820"/>
        <item x="971"/>
        <item x="590"/>
        <item x="346"/>
        <item x="137"/>
        <item x="354"/>
        <item x="564"/>
        <item x="101"/>
        <item x="637"/>
        <item x="138"/>
        <item x="568"/>
        <item x="569"/>
        <item x="509"/>
        <item x="571"/>
        <item x="404"/>
        <item x="575"/>
        <item x="574"/>
        <item x="453"/>
        <item x="934"/>
        <item x="577"/>
        <item x="290"/>
        <item x="793"/>
        <item x="620"/>
        <item x="381"/>
        <item x="773"/>
        <item x="583"/>
        <item x="584"/>
        <item x="165"/>
        <item x="656"/>
        <item x="109"/>
        <item x="588"/>
        <item x="407"/>
        <item x="55"/>
        <item x="591"/>
        <item x="234"/>
        <item x="593"/>
        <item x="594"/>
        <item x="47"/>
        <item x="4"/>
        <item x="913"/>
        <item x="598"/>
        <item x="595"/>
        <item x="600"/>
        <item x="841"/>
        <item x="96"/>
        <item x="784"/>
        <item x="816"/>
        <item x="980"/>
        <item x="110"/>
        <item x="384"/>
        <item x="696"/>
        <item x="539"/>
        <item x="527"/>
        <item x="366"/>
        <item x="238"/>
        <item x="511"/>
        <item x="424"/>
        <item x="755"/>
        <item x="343"/>
        <item x="678"/>
        <item x="225"/>
        <item x="161"/>
        <item x="68"/>
        <item x="460"/>
        <item x="40"/>
        <item x="398"/>
        <item x="655"/>
        <item x="141"/>
        <item x="167"/>
        <item x="627"/>
        <item x="628"/>
        <item x="540"/>
        <item x="27"/>
        <item x="431"/>
        <item x="926"/>
        <item x="415"/>
        <item x="937"/>
        <item x="714"/>
        <item x="766"/>
        <item x="928"/>
        <item x="56"/>
        <item x="712"/>
        <item x="807"/>
        <item x="501"/>
        <item x="408"/>
        <item x="602"/>
        <item x="500"/>
        <item x="645"/>
        <item x="646"/>
        <item x="236"/>
        <item x="648"/>
        <item x="649"/>
        <item x="778"/>
        <item x="717"/>
        <item x="480"/>
        <item x="371"/>
        <item x="902"/>
        <item x="915"/>
        <item x="217"/>
        <item x="367"/>
        <item x="237"/>
        <item x="102"/>
        <item x="660"/>
        <item x="661"/>
        <item x="54"/>
        <item x="758"/>
        <item x="328"/>
        <item x="419"/>
        <item x="476"/>
        <item x="267"/>
        <item x="541"/>
        <item x="804"/>
        <item x="643"/>
        <item x="650"/>
        <item x="671"/>
        <item x="673"/>
        <item x="204"/>
        <item x="675"/>
        <item x="676"/>
        <item x="50"/>
        <item x="310"/>
        <item x="994"/>
        <item x="680"/>
        <item x="681"/>
        <item x="682"/>
        <item x="683"/>
        <item x="684"/>
        <item x="39"/>
        <item x="533"/>
        <item x="0"/>
        <item x="688"/>
        <item x="689"/>
        <item x="192"/>
        <item x="579"/>
        <item x="852"/>
        <item x="693"/>
        <item x="694"/>
        <item x="719"/>
        <item x="251"/>
        <item x="875"/>
        <item x="822"/>
        <item x="941"/>
        <item x="806"/>
        <item x="762"/>
        <item x="702"/>
        <item x="308"/>
        <item x="520"/>
        <item x="772"/>
        <item x="858"/>
        <item x="734"/>
        <item x="426"/>
        <item x="298"/>
        <item x="710"/>
        <item x="373"/>
        <item x="640"/>
        <item x="855"/>
        <item x="81"/>
        <item x="715"/>
        <item x="716"/>
        <item x="810"/>
        <item x="817"/>
        <item x="663"/>
        <item x="61"/>
        <item x="383"/>
        <item x="790"/>
        <item x="901"/>
        <item x="503"/>
        <item x="725"/>
        <item x="821"/>
        <item x="727"/>
        <item x="728"/>
        <item x="653"/>
        <item x="240"/>
        <item x="862"/>
        <item x="732"/>
        <item x="733"/>
        <item x="246"/>
        <item x="199"/>
        <item x="736"/>
        <item x="903"/>
        <item x="720"/>
        <item x="865"/>
        <item x="625"/>
        <item x="957"/>
        <item x="876"/>
        <item x="51"/>
        <item x="677"/>
        <item x="666"/>
        <item x="189"/>
        <item x="767"/>
        <item x="908"/>
        <item x="749"/>
        <item x="750"/>
        <item x="133"/>
        <item x="604"/>
        <item x="193"/>
        <item x="618"/>
        <item x="614"/>
        <item x="515"/>
        <item x="757"/>
        <item x="884"/>
        <item x="505"/>
        <item x="658"/>
        <item x="761"/>
        <item x="276"/>
        <item x="148"/>
        <item x="735"/>
        <item x="351"/>
        <item x="657"/>
        <item x="832"/>
        <item x="3"/>
        <item x="756"/>
        <item x="724"/>
        <item x="747"/>
        <item x="97"/>
        <item x="748"/>
        <item x="774"/>
        <item x="80"/>
        <item x="776"/>
        <item x="777"/>
        <item x="410"/>
        <item x="474"/>
        <item x="385"/>
        <item x="336"/>
        <item x="609"/>
        <item x="770"/>
        <item x="342"/>
        <item x="145"/>
        <item x="786"/>
        <item x="787"/>
        <item x="198"/>
        <item x="946"/>
        <item x="34"/>
        <item x="464"/>
        <item x="856"/>
        <item x="592"/>
        <item x="151"/>
        <item x="795"/>
        <item x="796"/>
        <item x="638"/>
        <item x="798"/>
        <item x="497"/>
        <item x="729"/>
        <item x="723"/>
        <item x="642"/>
        <item x="803"/>
        <item x="669"/>
        <item x="805"/>
        <item x="531"/>
        <item x="611"/>
        <item x="582"/>
        <item x="445"/>
        <item x="362"/>
        <item x="829"/>
        <item x="812"/>
        <item x="966"/>
        <item x="814"/>
        <item x="589"/>
        <item x="211"/>
        <item x="740"/>
        <item x="29"/>
        <item x="744"/>
        <item x="965"/>
        <item x="969"/>
        <item x="517"/>
        <item x="823"/>
        <item x="824"/>
        <item x="317"/>
        <item x="826"/>
        <item x="632"/>
        <item x="828"/>
        <item x="448"/>
        <item x="967"/>
        <item x="831"/>
        <item x="227"/>
        <item x="743"/>
        <item x="834"/>
        <item x="479"/>
        <item x="801"/>
        <item x="918"/>
        <item x="838"/>
        <item x="754"/>
        <item x="840"/>
        <item x="405"/>
        <item x="502"/>
        <item x="843"/>
        <item x="73"/>
        <item x="561"/>
        <item x="203"/>
        <item x="111"/>
        <item x="848"/>
        <item x="459"/>
        <item x="432"/>
        <item x="851"/>
        <item x="13"/>
        <item x="853"/>
        <item x="623"/>
        <item x="813"/>
        <item x="134"/>
        <item x="200"/>
        <item x="329"/>
        <item x="175"/>
        <item x="860"/>
        <item x="861"/>
        <item x="157"/>
        <item x="213"/>
        <item x="905"/>
        <item x="961"/>
        <item x="644"/>
        <item x="449"/>
        <item x="868"/>
        <item x="869"/>
        <item x="526"/>
        <item x="871"/>
        <item x="893"/>
        <item x="406"/>
        <item x="874"/>
        <item x="48"/>
        <item x="601"/>
        <item x="775"/>
        <item x="996"/>
        <item x="879"/>
        <item x="880"/>
        <item x="984"/>
        <item x="882"/>
        <item x="42"/>
        <item x="982"/>
        <item x="885"/>
        <item x="303"/>
        <item x="7"/>
        <item x="387"/>
        <item x="624"/>
        <item x="890"/>
        <item x="891"/>
        <item x="319"/>
        <item x="176"/>
        <item x="894"/>
        <item x="350"/>
        <item x="186"/>
        <item x="181"/>
        <item x="169"/>
        <item x="103"/>
        <item x="963"/>
        <item x="670"/>
        <item x="659"/>
        <item x="139"/>
        <item x="487"/>
        <item x="25"/>
        <item x="907"/>
        <item x="975"/>
        <item x="708"/>
        <item x="909"/>
        <item x="910"/>
        <item x="911"/>
        <item x="22"/>
        <item x="341"/>
        <item x="386"/>
        <item x="228"/>
        <item x="842"/>
        <item x="917"/>
        <item x="788"/>
        <item x="919"/>
        <item x="888"/>
        <item x="921"/>
        <item x="922"/>
        <item x="441"/>
        <item x="808"/>
        <item x="924"/>
        <item x="508"/>
        <item x="382"/>
        <item x="504"/>
        <item x="347"/>
        <item x="610"/>
        <item x="931"/>
        <item x="932"/>
        <item x="979"/>
        <item x="372"/>
        <item x="700"/>
        <item x="668"/>
        <item x="900"/>
        <item x="849"/>
        <item x="939"/>
        <item x="270"/>
        <item x="634"/>
        <item x="518"/>
        <item x="698"/>
        <item x="944"/>
        <item x="945"/>
        <item x="690"/>
        <item x="943"/>
        <item x="442"/>
        <item x="949"/>
        <item x="825"/>
        <item x="951"/>
        <item x="833"/>
        <item x="374"/>
        <item x="954"/>
        <item x="955"/>
        <item x="299"/>
        <item x="639"/>
        <item x="243"/>
        <item x="466"/>
        <item x="960"/>
        <item x="45"/>
        <item x="962"/>
        <item x="672"/>
        <item x="558"/>
        <item x="74"/>
        <item x="334"/>
        <item x="171"/>
        <item x="617"/>
        <item x="188"/>
        <item x="970"/>
        <item x="147"/>
        <item x="665"/>
        <item x="271"/>
        <item x="549"/>
        <item x="401"/>
        <item x="475"/>
        <item x="437"/>
        <item x="845"/>
        <item x="763"/>
        <item x="873"/>
        <item x="597"/>
        <item x="349"/>
        <item x="983"/>
        <item x="819"/>
        <item x="985"/>
        <item x="986"/>
        <item x="987"/>
        <item x="411"/>
        <item x="989"/>
        <item x="560"/>
        <item x="991"/>
        <item x="896"/>
        <item x="993"/>
        <item x="84"/>
        <item x="785"/>
        <item x="940"/>
        <item x="687"/>
        <item x="998"/>
        <item x="999"/>
        <item t="default"/>
      </items>
    </pivotField>
    <pivotField axis="axisRow" compact="0" outline="0" showAll="0">
      <items count="21">
        <item x="14"/>
        <item x="17"/>
        <item x="9"/>
        <item x="19"/>
        <item x="3"/>
        <item x="6"/>
        <item x="12"/>
        <item x="11"/>
        <item x="15"/>
        <item x="8"/>
        <item x="7"/>
        <item x="2"/>
        <item x="1"/>
        <item x="10"/>
        <item x="4"/>
        <item x="5"/>
        <item x="0"/>
        <item x="16"/>
        <item x="18"/>
        <item x="13"/>
        <item t="default"/>
      </items>
    </pivotField>
    <pivotField compact="0" outline="0" showAll="0">
      <items count="5">
        <item x="2"/>
        <item x="1"/>
        <item x="0"/>
        <item x="3"/>
        <item t="default"/>
      </items>
    </pivotField>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dataField="1" compact="0" outline="0" showAll="0"/>
    <pivotField compact="0" outline="0" showAll="0">
      <items count="7">
        <item x="5"/>
        <item x="0"/>
        <item x="2"/>
        <item x="4"/>
        <item x="1"/>
        <item x="3"/>
        <item t="default"/>
      </items>
    </pivotField>
    <pivotField compact="0" outline="0" showAll="0">
      <items count="3">
        <item x="0"/>
        <item x="1"/>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Attendance" fld="10" baseField="0" baseItem="0"/>
    <dataField name="Sum of Working_Hours" fld="8" baseField="0" baseItem="0"/>
    <dataField name="Sum of Salary" fld="6" baseField="0" baseItem="0"/>
  </dataFields>
  <formats count="1">
    <format dxfId="32">
      <pivotArea dataOnly="0" labelOnly="1" outline="0" fieldPosition="0">
        <references count="1">
          <reference field="1" count="1">
            <x v="0"/>
          </reference>
        </references>
      </pivotArea>
    </format>
  </formats>
  <chartFormats count="198">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 count="1" selected="0">
            <x v="0"/>
          </reference>
        </references>
      </pivotArea>
    </chartFormat>
    <chartFormat chart="1" format="5">
      <pivotArea type="data" outline="0" fieldPosition="0">
        <references count="2">
          <reference field="4294967294" count="1" selected="0">
            <x v="0"/>
          </reference>
          <reference field="1" count="1" selected="0">
            <x v="1"/>
          </reference>
        </references>
      </pivotArea>
    </chartFormat>
    <chartFormat chart="1" format="6">
      <pivotArea type="data" outline="0" fieldPosition="0">
        <references count="2">
          <reference field="4294967294" count="1" selected="0">
            <x v="0"/>
          </reference>
          <reference field="1" count="1" selected="0">
            <x v="2"/>
          </reference>
        </references>
      </pivotArea>
    </chartFormat>
    <chartFormat chart="1" format="7">
      <pivotArea type="data" outline="0" fieldPosition="0">
        <references count="2">
          <reference field="4294967294" count="1" selected="0">
            <x v="0"/>
          </reference>
          <reference field="1" count="1" selected="0">
            <x v="3"/>
          </reference>
        </references>
      </pivotArea>
    </chartFormat>
    <chartFormat chart="1" format="8">
      <pivotArea type="data" outline="0" fieldPosition="0">
        <references count="2">
          <reference field="4294967294" count="1" selected="0">
            <x v="0"/>
          </reference>
          <reference field="1" count="1" selected="0">
            <x v="4"/>
          </reference>
        </references>
      </pivotArea>
    </chartFormat>
    <chartFormat chart="1" format="9">
      <pivotArea type="data" outline="0" fieldPosition="0">
        <references count="2">
          <reference field="4294967294" count="1" selected="0">
            <x v="0"/>
          </reference>
          <reference field="1" count="1" selected="0">
            <x v="5"/>
          </reference>
        </references>
      </pivotArea>
    </chartFormat>
    <chartFormat chart="1" format="10">
      <pivotArea type="data" outline="0" fieldPosition="0">
        <references count="2">
          <reference field="4294967294" count="1" selected="0">
            <x v="0"/>
          </reference>
          <reference field="1" count="1" selected="0">
            <x v="6"/>
          </reference>
        </references>
      </pivotArea>
    </chartFormat>
    <chartFormat chart="1" format="11">
      <pivotArea type="data" outline="0" fieldPosition="0">
        <references count="2">
          <reference field="4294967294" count="1" selected="0">
            <x v="0"/>
          </reference>
          <reference field="1" count="1" selected="0">
            <x v="7"/>
          </reference>
        </references>
      </pivotArea>
    </chartFormat>
    <chartFormat chart="1" format="12">
      <pivotArea type="data" outline="0" fieldPosition="0">
        <references count="2">
          <reference field="4294967294" count="1" selected="0">
            <x v="0"/>
          </reference>
          <reference field="1" count="1" selected="0">
            <x v="8"/>
          </reference>
        </references>
      </pivotArea>
    </chartFormat>
    <chartFormat chart="1" format="13">
      <pivotArea type="data" outline="0" fieldPosition="0">
        <references count="2">
          <reference field="4294967294" count="1" selected="0">
            <x v="0"/>
          </reference>
          <reference field="1" count="1" selected="0">
            <x v="9"/>
          </reference>
        </references>
      </pivotArea>
    </chartFormat>
    <chartFormat chart="1" format="14">
      <pivotArea type="data" outline="0" fieldPosition="0">
        <references count="2">
          <reference field="4294967294" count="1" selected="0">
            <x v="0"/>
          </reference>
          <reference field="1" count="1" selected="0">
            <x v="10"/>
          </reference>
        </references>
      </pivotArea>
    </chartFormat>
    <chartFormat chart="1" format="15">
      <pivotArea type="data" outline="0" fieldPosition="0">
        <references count="2">
          <reference field="4294967294" count="1" selected="0">
            <x v="0"/>
          </reference>
          <reference field="1" count="1" selected="0">
            <x v="11"/>
          </reference>
        </references>
      </pivotArea>
    </chartFormat>
    <chartFormat chart="1" format="16">
      <pivotArea type="data" outline="0" fieldPosition="0">
        <references count="2">
          <reference field="4294967294" count="1" selected="0">
            <x v="0"/>
          </reference>
          <reference field="1" count="1" selected="0">
            <x v="12"/>
          </reference>
        </references>
      </pivotArea>
    </chartFormat>
    <chartFormat chart="1" format="17">
      <pivotArea type="data" outline="0" fieldPosition="0">
        <references count="2">
          <reference field="4294967294" count="1" selected="0">
            <x v="0"/>
          </reference>
          <reference field="1" count="1" selected="0">
            <x v="13"/>
          </reference>
        </references>
      </pivotArea>
    </chartFormat>
    <chartFormat chart="1" format="18">
      <pivotArea type="data" outline="0" fieldPosition="0">
        <references count="2">
          <reference field="4294967294" count="1" selected="0">
            <x v="0"/>
          </reference>
          <reference field="1" count="1" selected="0">
            <x v="14"/>
          </reference>
        </references>
      </pivotArea>
    </chartFormat>
    <chartFormat chart="1" format="19">
      <pivotArea type="data" outline="0" fieldPosition="0">
        <references count="2">
          <reference field="4294967294" count="1" selected="0">
            <x v="0"/>
          </reference>
          <reference field="1" count="1" selected="0">
            <x v="15"/>
          </reference>
        </references>
      </pivotArea>
    </chartFormat>
    <chartFormat chart="1" format="20">
      <pivotArea type="data" outline="0" fieldPosition="0">
        <references count="2">
          <reference field="4294967294" count="1" selected="0">
            <x v="0"/>
          </reference>
          <reference field="1" count="1" selected="0">
            <x v="16"/>
          </reference>
        </references>
      </pivotArea>
    </chartFormat>
    <chartFormat chart="1" format="21">
      <pivotArea type="data" outline="0" fieldPosition="0">
        <references count="2">
          <reference field="4294967294" count="1" selected="0">
            <x v="0"/>
          </reference>
          <reference field="1" count="1" selected="0">
            <x v="17"/>
          </reference>
        </references>
      </pivotArea>
    </chartFormat>
    <chartFormat chart="1" format="22">
      <pivotArea type="data" outline="0" fieldPosition="0">
        <references count="2">
          <reference field="4294967294" count="1" selected="0">
            <x v="0"/>
          </reference>
          <reference field="1" count="1" selected="0">
            <x v="18"/>
          </reference>
        </references>
      </pivotArea>
    </chartFormat>
    <chartFormat chart="1" format="23">
      <pivotArea type="data" outline="0" fieldPosition="0">
        <references count="2">
          <reference field="4294967294" count="1" selected="0">
            <x v="0"/>
          </reference>
          <reference field="1" count="1" selected="0">
            <x v="19"/>
          </reference>
        </references>
      </pivotArea>
    </chartFormat>
    <chartFormat chart="1" format="24" series="1">
      <pivotArea type="data" outline="0" fieldPosition="0">
        <references count="1">
          <reference field="4294967294" count="1" selected="0">
            <x v="1"/>
          </reference>
        </references>
      </pivotArea>
    </chartFormat>
    <chartFormat chart="1" format="25">
      <pivotArea type="data" outline="0" fieldPosition="0">
        <references count="2">
          <reference field="4294967294" count="1" selected="0">
            <x v="1"/>
          </reference>
          <reference field="1" count="1" selected="0">
            <x v="0"/>
          </reference>
        </references>
      </pivotArea>
    </chartFormat>
    <chartFormat chart="1" format="26">
      <pivotArea type="data" outline="0" fieldPosition="0">
        <references count="2">
          <reference field="4294967294" count="1" selected="0">
            <x v="1"/>
          </reference>
          <reference field="1" count="1" selected="0">
            <x v="1"/>
          </reference>
        </references>
      </pivotArea>
    </chartFormat>
    <chartFormat chart="1" format="27">
      <pivotArea type="data" outline="0" fieldPosition="0">
        <references count="2">
          <reference field="4294967294" count="1" selected="0">
            <x v="1"/>
          </reference>
          <reference field="1" count="1" selected="0">
            <x v="2"/>
          </reference>
        </references>
      </pivotArea>
    </chartFormat>
    <chartFormat chart="1" format="28">
      <pivotArea type="data" outline="0" fieldPosition="0">
        <references count="2">
          <reference field="4294967294" count="1" selected="0">
            <x v="1"/>
          </reference>
          <reference field="1" count="1" selected="0">
            <x v="3"/>
          </reference>
        </references>
      </pivotArea>
    </chartFormat>
    <chartFormat chart="1" format="29">
      <pivotArea type="data" outline="0" fieldPosition="0">
        <references count="2">
          <reference field="4294967294" count="1" selected="0">
            <x v="1"/>
          </reference>
          <reference field="1" count="1" selected="0">
            <x v="4"/>
          </reference>
        </references>
      </pivotArea>
    </chartFormat>
    <chartFormat chart="1" format="30">
      <pivotArea type="data" outline="0" fieldPosition="0">
        <references count="2">
          <reference field="4294967294" count="1" selected="0">
            <x v="1"/>
          </reference>
          <reference field="1" count="1" selected="0">
            <x v="5"/>
          </reference>
        </references>
      </pivotArea>
    </chartFormat>
    <chartFormat chart="1" format="31">
      <pivotArea type="data" outline="0" fieldPosition="0">
        <references count="2">
          <reference field="4294967294" count="1" selected="0">
            <x v="1"/>
          </reference>
          <reference field="1" count="1" selected="0">
            <x v="6"/>
          </reference>
        </references>
      </pivotArea>
    </chartFormat>
    <chartFormat chart="1" format="32">
      <pivotArea type="data" outline="0" fieldPosition="0">
        <references count="2">
          <reference field="4294967294" count="1" selected="0">
            <x v="1"/>
          </reference>
          <reference field="1" count="1" selected="0">
            <x v="7"/>
          </reference>
        </references>
      </pivotArea>
    </chartFormat>
    <chartFormat chart="1" format="33">
      <pivotArea type="data" outline="0" fieldPosition="0">
        <references count="2">
          <reference field="4294967294" count="1" selected="0">
            <x v="1"/>
          </reference>
          <reference field="1" count="1" selected="0">
            <x v="8"/>
          </reference>
        </references>
      </pivotArea>
    </chartFormat>
    <chartFormat chart="1" format="34">
      <pivotArea type="data" outline="0" fieldPosition="0">
        <references count="2">
          <reference field="4294967294" count="1" selected="0">
            <x v="1"/>
          </reference>
          <reference field="1" count="1" selected="0">
            <x v="9"/>
          </reference>
        </references>
      </pivotArea>
    </chartFormat>
    <chartFormat chart="1" format="35">
      <pivotArea type="data" outline="0" fieldPosition="0">
        <references count="2">
          <reference field="4294967294" count="1" selected="0">
            <x v="1"/>
          </reference>
          <reference field="1" count="1" selected="0">
            <x v="10"/>
          </reference>
        </references>
      </pivotArea>
    </chartFormat>
    <chartFormat chart="1" format="36">
      <pivotArea type="data" outline="0" fieldPosition="0">
        <references count="2">
          <reference field="4294967294" count="1" selected="0">
            <x v="1"/>
          </reference>
          <reference field="1" count="1" selected="0">
            <x v="11"/>
          </reference>
        </references>
      </pivotArea>
    </chartFormat>
    <chartFormat chart="1" format="37">
      <pivotArea type="data" outline="0" fieldPosition="0">
        <references count="2">
          <reference field="4294967294" count="1" selected="0">
            <x v="1"/>
          </reference>
          <reference field="1" count="1" selected="0">
            <x v="12"/>
          </reference>
        </references>
      </pivotArea>
    </chartFormat>
    <chartFormat chart="1" format="38">
      <pivotArea type="data" outline="0" fieldPosition="0">
        <references count="2">
          <reference field="4294967294" count="1" selected="0">
            <x v="1"/>
          </reference>
          <reference field="1" count="1" selected="0">
            <x v="13"/>
          </reference>
        </references>
      </pivotArea>
    </chartFormat>
    <chartFormat chart="1" format="39">
      <pivotArea type="data" outline="0" fieldPosition="0">
        <references count="2">
          <reference field="4294967294" count="1" selected="0">
            <x v="1"/>
          </reference>
          <reference field="1" count="1" selected="0">
            <x v="14"/>
          </reference>
        </references>
      </pivotArea>
    </chartFormat>
    <chartFormat chart="1" format="40">
      <pivotArea type="data" outline="0" fieldPosition="0">
        <references count="2">
          <reference field="4294967294" count="1" selected="0">
            <x v="1"/>
          </reference>
          <reference field="1" count="1" selected="0">
            <x v="15"/>
          </reference>
        </references>
      </pivotArea>
    </chartFormat>
    <chartFormat chart="1" format="41">
      <pivotArea type="data" outline="0" fieldPosition="0">
        <references count="2">
          <reference field="4294967294" count="1" selected="0">
            <x v="1"/>
          </reference>
          <reference field="1" count="1" selected="0">
            <x v="16"/>
          </reference>
        </references>
      </pivotArea>
    </chartFormat>
    <chartFormat chart="1" format="42">
      <pivotArea type="data" outline="0" fieldPosition="0">
        <references count="2">
          <reference field="4294967294" count="1" selected="0">
            <x v="1"/>
          </reference>
          <reference field="1" count="1" selected="0">
            <x v="17"/>
          </reference>
        </references>
      </pivotArea>
    </chartFormat>
    <chartFormat chart="1" format="43">
      <pivotArea type="data" outline="0" fieldPosition="0">
        <references count="2">
          <reference field="4294967294" count="1" selected="0">
            <x v="1"/>
          </reference>
          <reference field="1" count="1" selected="0">
            <x v="18"/>
          </reference>
        </references>
      </pivotArea>
    </chartFormat>
    <chartFormat chart="1" format="44">
      <pivotArea type="data" outline="0" fieldPosition="0">
        <references count="2">
          <reference field="4294967294" count="1" selected="0">
            <x v="1"/>
          </reference>
          <reference field="1" count="1" selected="0">
            <x v="19"/>
          </reference>
        </references>
      </pivotArea>
    </chartFormat>
    <chartFormat chart="1" format="45" series="1">
      <pivotArea type="data" outline="0" fieldPosition="0">
        <references count="1">
          <reference field="4294967294" count="1" selected="0">
            <x v="2"/>
          </reference>
        </references>
      </pivotArea>
    </chartFormat>
    <chartFormat chart="1" format="46">
      <pivotArea type="data" outline="0" fieldPosition="0">
        <references count="2">
          <reference field="4294967294" count="1" selected="0">
            <x v="2"/>
          </reference>
          <reference field="1" count="1" selected="0">
            <x v="0"/>
          </reference>
        </references>
      </pivotArea>
    </chartFormat>
    <chartFormat chart="1" format="47">
      <pivotArea type="data" outline="0" fieldPosition="0">
        <references count="2">
          <reference field="4294967294" count="1" selected="0">
            <x v="2"/>
          </reference>
          <reference field="1" count="1" selected="0">
            <x v="1"/>
          </reference>
        </references>
      </pivotArea>
    </chartFormat>
    <chartFormat chart="1" format="48">
      <pivotArea type="data" outline="0" fieldPosition="0">
        <references count="2">
          <reference field="4294967294" count="1" selected="0">
            <x v="2"/>
          </reference>
          <reference field="1" count="1" selected="0">
            <x v="2"/>
          </reference>
        </references>
      </pivotArea>
    </chartFormat>
    <chartFormat chart="1" format="49">
      <pivotArea type="data" outline="0" fieldPosition="0">
        <references count="2">
          <reference field="4294967294" count="1" selected="0">
            <x v="2"/>
          </reference>
          <reference field="1" count="1" selected="0">
            <x v="3"/>
          </reference>
        </references>
      </pivotArea>
    </chartFormat>
    <chartFormat chart="1" format="50">
      <pivotArea type="data" outline="0" fieldPosition="0">
        <references count="2">
          <reference field="4294967294" count="1" selected="0">
            <x v="2"/>
          </reference>
          <reference field="1" count="1" selected="0">
            <x v="4"/>
          </reference>
        </references>
      </pivotArea>
    </chartFormat>
    <chartFormat chart="1" format="51">
      <pivotArea type="data" outline="0" fieldPosition="0">
        <references count="2">
          <reference field="4294967294" count="1" selected="0">
            <x v="2"/>
          </reference>
          <reference field="1" count="1" selected="0">
            <x v="5"/>
          </reference>
        </references>
      </pivotArea>
    </chartFormat>
    <chartFormat chart="1" format="52">
      <pivotArea type="data" outline="0" fieldPosition="0">
        <references count="2">
          <reference field="4294967294" count="1" selected="0">
            <x v="2"/>
          </reference>
          <reference field="1" count="1" selected="0">
            <x v="6"/>
          </reference>
        </references>
      </pivotArea>
    </chartFormat>
    <chartFormat chart="1" format="53">
      <pivotArea type="data" outline="0" fieldPosition="0">
        <references count="2">
          <reference field="4294967294" count="1" selected="0">
            <x v="2"/>
          </reference>
          <reference field="1" count="1" selected="0">
            <x v="7"/>
          </reference>
        </references>
      </pivotArea>
    </chartFormat>
    <chartFormat chart="1" format="54">
      <pivotArea type="data" outline="0" fieldPosition="0">
        <references count="2">
          <reference field="4294967294" count="1" selected="0">
            <x v="2"/>
          </reference>
          <reference field="1" count="1" selected="0">
            <x v="8"/>
          </reference>
        </references>
      </pivotArea>
    </chartFormat>
    <chartFormat chart="1" format="55">
      <pivotArea type="data" outline="0" fieldPosition="0">
        <references count="2">
          <reference field="4294967294" count="1" selected="0">
            <x v="2"/>
          </reference>
          <reference field="1" count="1" selected="0">
            <x v="9"/>
          </reference>
        </references>
      </pivotArea>
    </chartFormat>
    <chartFormat chart="1" format="56">
      <pivotArea type="data" outline="0" fieldPosition="0">
        <references count="2">
          <reference field="4294967294" count="1" selected="0">
            <x v="2"/>
          </reference>
          <reference field="1" count="1" selected="0">
            <x v="10"/>
          </reference>
        </references>
      </pivotArea>
    </chartFormat>
    <chartFormat chart="1" format="57">
      <pivotArea type="data" outline="0" fieldPosition="0">
        <references count="2">
          <reference field="4294967294" count="1" selected="0">
            <x v="2"/>
          </reference>
          <reference field="1" count="1" selected="0">
            <x v="11"/>
          </reference>
        </references>
      </pivotArea>
    </chartFormat>
    <chartFormat chart="1" format="58">
      <pivotArea type="data" outline="0" fieldPosition="0">
        <references count="2">
          <reference field="4294967294" count="1" selected="0">
            <x v="2"/>
          </reference>
          <reference field="1" count="1" selected="0">
            <x v="12"/>
          </reference>
        </references>
      </pivotArea>
    </chartFormat>
    <chartFormat chart="1" format="59">
      <pivotArea type="data" outline="0" fieldPosition="0">
        <references count="2">
          <reference field="4294967294" count="1" selected="0">
            <x v="2"/>
          </reference>
          <reference field="1" count="1" selected="0">
            <x v="13"/>
          </reference>
        </references>
      </pivotArea>
    </chartFormat>
    <chartFormat chart="1" format="60">
      <pivotArea type="data" outline="0" fieldPosition="0">
        <references count="2">
          <reference field="4294967294" count="1" selected="0">
            <x v="2"/>
          </reference>
          <reference field="1" count="1" selected="0">
            <x v="14"/>
          </reference>
        </references>
      </pivotArea>
    </chartFormat>
    <chartFormat chart="1" format="61">
      <pivotArea type="data" outline="0" fieldPosition="0">
        <references count="2">
          <reference field="4294967294" count="1" selected="0">
            <x v="2"/>
          </reference>
          <reference field="1" count="1" selected="0">
            <x v="15"/>
          </reference>
        </references>
      </pivotArea>
    </chartFormat>
    <chartFormat chart="1" format="62">
      <pivotArea type="data" outline="0" fieldPosition="0">
        <references count="2">
          <reference field="4294967294" count="1" selected="0">
            <x v="2"/>
          </reference>
          <reference field="1" count="1" selected="0">
            <x v="16"/>
          </reference>
        </references>
      </pivotArea>
    </chartFormat>
    <chartFormat chart="1" format="63">
      <pivotArea type="data" outline="0" fieldPosition="0">
        <references count="2">
          <reference field="4294967294" count="1" selected="0">
            <x v="2"/>
          </reference>
          <reference field="1" count="1" selected="0">
            <x v="17"/>
          </reference>
        </references>
      </pivotArea>
    </chartFormat>
    <chartFormat chart="1" format="64">
      <pivotArea type="data" outline="0" fieldPosition="0">
        <references count="2">
          <reference field="4294967294" count="1" selected="0">
            <x v="2"/>
          </reference>
          <reference field="1" count="1" selected="0">
            <x v="18"/>
          </reference>
        </references>
      </pivotArea>
    </chartFormat>
    <chartFormat chart="1" format="65">
      <pivotArea type="data" outline="0" fieldPosition="0">
        <references count="2">
          <reference field="4294967294" count="1" selected="0">
            <x v="2"/>
          </reference>
          <reference field="1" count="1" selected="0">
            <x v="19"/>
          </reference>
        </references>
      </pivotArea>
    </chartFormat>
    <chartFormat chart="2" format="66" series="1">
      <pivotArea type="data" outline="0" fieldPosition="0">
        <references count="1">
          <reference field="4294967294" count="1" selected="0">
            <x v="0"/>
          </reference>
        </references>
      </pivotArea>
    </chartFormat>
    <chartFormat chart="2" format="67">
      <pivotArea type="data" outline="0" fieldPosition="0">
        <references count="2">
          <reference field="4294967294" count="1" selected="0">
            <x v="0"/>
          </reference>
          <reference field="1" count="1" selected="0">
            <x v="0"/>
          </reference>
        </references>
      </pivotArea>
    </chartFormat>
    <chartFormat chart="2" format="68">
      <pivotArea type="data" outline="0" fieldPosition="0">
        <references count="2">
          <reference field="4294967294" count="1" selected="0">
            <x v="0"/>
          </reference>
          <reference field="1" count="1" selected="0">
            <x v="1"/>
          </reference>
        </references>
      </pivotArea>
    </chartFormat>
    <chartFormat chart="2" format="69">
      <pivotArea type="data" outline="0" fieldPosition="0">
        <references count="2">
          <reference field="4294967294" count="1" selected="0">
            <x v="0"/>
          </reference>
          <reference field="1" count="1" selected="0">
            <x v="2"/>
          </reference>
        </references>
      </pivotArea>
    </chartFormat>
    <chartFormat chart="2" format="70">
      <pivotArea type="data" outline="0" fieldPosition="0">
        <references count="2">
          <reference field="4294967294" count="1" selected="0">
            <x v="0"/>
          </reference>
          <reference field="1" count="1" selected="0">
            <x v="3"/>
          </reference>
        </references>
      </pivotArea>
    </chartFormat>
    <chartFormat chart="2" format="71">
      <pivotArea type="data" outline="0" fieldPosition="0">
        <references count="2">
          <reference field="4294967294" count="1" selected="0">
            <x v="0"/>
          </reference>
          <reference field="1" count="1" selected="0">
            <x v="4"/>
          </reference>
        </references>
      </pivotArea>
    </chartFormat>
    <chartFormat chart="2" format="72">
      <pivotArea type="data" outline="0" fieldPosition="0">
        <references count="2">
          <reference field="4294967294" count="1" selected="0">
            <x v="0"/>
          </reference>
          <reference field="1" count="1" selected="0">
            <x v="5"/>
          </reference>
        </references>
      </pivotArea>
    </chartFormat>
    <chartFormat chart="2" format="73">
      <pivotArea type="data" outline="0" fieldPosition="0">
        <references count="2">
          <reference field="4294967294" count="1" selected="0">
            <x v="0"/>
          </reference>
          <reference field="1" count="1" selected="0">
            <x v="6"/>
          </reference>
        </references>
      </pivotArea>
    </chartFormat>
    <chartFormat chart="2" format="74">
      <pivotArea type="data" outline="0" fieldPosition="0">
        <references count="2">
          <reference field="4294967294" count="1" selected="0">
            <x v="0"/>
          </reference>
          <reference field="1" count="1" selected="0">
            <x v="7"/>
          </reference>
        </references>
      </pivotArea>
    </chartFormat>
    <chartFormat chart="2" format="75">
      <pivotArea type="data" outline="0" fieldPosition="0">
        <references count="2">
          <reference field="4294967294" count="1" selected="0">
            <x v="0"/>
          </reference>
          <reference field="1" count="1" selected="0">
            <x v="8"/>
          </reference>
        </references>
      </pivotArea>
    </chartFormat>
    <chartFormat chart="2" format="76">
      <pivotArea type="data" outline="0" fieldPosition="0">
        <references count="2">
          <reference field="4294967294" count="1" selected="0">
            <x v="0"/>
          </reference>
          <reference field="1" count="1" selected="0">
            <x v="9"/>
          </reference>
        </references>
      </pivotArea>
    </chartFormat>
    <chartFormat chart="2" format="77">
      <pivotArea type="data" outline="0" fieldPosition="0">
        <references count="2">
          <reference field="4294967294" count="1" selected="0">
            <x v="0"/>
          </reference>
          <reference field="1" count="1" selected="0">
            <x v="10"/>
          </reference>
        </references>
      </pivotArea>
    </chartFormat>
    <chartFormat chart="2" format="78">
      <pivotArea type="data" outline="0" fieldPosition="0">
        <references count="2">
          <reference field="4294967294" count="1" selected="0">
            <x v="0"/>
          </reference>
          <reference field="1" count="1" selected="0">
            <x v="11"/>
          </reference>
        </references>
      </pivotArea>
    </chartFormat>
    <chartFormat chart="2" format="79">
      <pivotArea type="data" outline="0" fieldPosition="0">
        <references count="2">
          <reference field="4294967294" count="1" selected="0">
            <x v="0"/>
          </reference>
          <reference field="1" count="1" selected="0">
            <x v="12"/>
          </reference>
        </references>
      </pivotArea>
    </chartFormat>
    <chartFormat chart="2" format="80">
      <pivotArea type="data" outline="0" fieldPosition="0">
        <references count="2">
          <reference field="4294967294" count="1" selected="0">
            <x v="0"/>
          </reference>
          <reference field="1" count="1" selected="0">
            <x v="13"/>
          </reference>
        </references>
      </pivotArea>
    </chartFormat>
    <chartFormat chart="2" format="81">
      <pivotArea type="data" outline="0" fieldPosition="0">
        <references count="2">
          <reference field="4294967294" count="1" selected="0">
            <x v="0"/>
          </reference>
          <reference field="1" count="1" selected="0">
            <x v="14"/>
          </reference>
        </references>
      </pivotArea>
    </chartFormat>
    <chartFormat chart="2" format="82">
      <pivotArea type="data" outline="0" fieldPosition="0">
        <references count="2">
          <reference field="4294967294" count="1" selected="0">
            <x v="0"/>
          </reference>
          <reference field="1" count="1" selected="0">
            <x v="15"/>
          </reference>
        </references>
      </pivotArea>
    </chartFormat>
    <chartFormat chart="2" format="83">
      <pivotArea type="data" outline="0" fieldPosition="0">
        <references count="2">
          <reference field="4294967294" count="1" selected="0">
            <x v="0"/>
          </reference>
          <reference field="1" count="1" selected="0">
            <x v="16"/>
          </reference>
        </references>
      </pivotArea>
    </chartFormat>
    <chartFormat chart="2" format="84">
      <pivotArea type="data" outline="0" fieldPosition="0">
        <references count="2">
          <reference field="4294967294" count="1" selected="0">
            <x v="0"/>
          </reference>
          <reference field="1" count="1" selected="0">
            <x v="17"/>
          </reference>
        </references>
      </pivotArea>
    </chartFormat>
    <chartFormat chart="2" format="85">
      <pivotArea type="data" outline="0" fieldPosition="0">
        <references count="2">
          <reference field="4294967294" count="1" selected="0">
            <x v="0"/>
          </reference>
          <reference field="1" count="1" selected="0">
            <x v="18"/>
          </reference>
        </references>
      </pivotArea>
    </chartFormat>
    <chartFormat chart="2" format="86">
      <pivotArea type="data" outline="0" fieldPosition="0">
        <references count="2">
          <reference field="4294967294" count="1" selected="0">
            <x v="0"/>
          </reference>
          <reference field="1" count="1" selected="0">
            <x v="19"/>
          </reference>
        </references>
      </pivotArea>
    </chartFormat>
    <chartFormat chart="2" format="87" series="1">
      <pivotArea type="data" outline="0" fieldPosition="0">
        <references count="1">
          <reference field="4294967294" count="1" selected="0">
            <x v="1"/>
          </reference>
        </references>
      </pivotArea>
    </chartFormat>
    <chartFormat chart="2" format="88">
      <pivotArea type="data" outline="0" fieldPosition="0">
        <references count="2">
          <reference field="4294967294" count="1" selected="0">
            <x v="1"/>
          </reference>
          <reference field="1" count="1" selected="0">
            <x v="0"/>
          </reference>
        </references>
      </pivotArea>
    </chartFormat>
    <chartFormat chart="2" format="89">
      <pivotArea type="data" outline="0" fieldPosition="0">
        <references count="2">
          <reference field="4294967294" count="1" selected="0">
            <x v="1"/>
          </reference>
          <reference field="1" count="1" selected="0">
            <x v="1"/>
          </reference>
        </references>
      </pivotArea>
    </chartFormat>
    <chartFormat chart="2" format="90">
      <pivotArea type="data" outline="0" fieldPosition="0">
        <references count="2">
          <reference field="4294967294" count="1" selected="0">
            <x v="1"/>
          </reference>
          <reference field="1" count="1" selected="0">
            <x v="2"/>
          </reference>
        </references>
      </pivotArea>
    </chartFormat>
    <chartFormat chart="2" format="91">
      <pivotArea type="data" outline="0" fieldPosition="0">
        <references count="2">
          <reference field="4294967294" count="1" selected="0">
            <x v="1"/>
          </reference>
          <reference field="1" count="1" selected="0">
            <x v="3"/>
          </reference>
        </references>
      </pivotArea>
    </chartFormat>
    <chartFormat chart="2" format="92">
      <pivotArea type="data" outline="0" fieldPosition="0">
        <references count="2">
          <reference field="4294967294" count="1" selected="0">
            <x v="1"/>
          </reference>
          <reference field="1" count="1" selected="0">
            <x v="4"/>
          </reference>
        </references>
      </pivotArea>
    </chartFormat>
    <chartFormat chart="2" format="93">
      <pivotArea type="data" outline="0" fieldPosition="0">
        <references count="2">
          <reference field="4294967294" count="1" selected="0">
            <x v="1"/>
          </reference>
          <reference field="1" count="1" selected="0">
            <x v="5"/>
          </reference>
        </references>
      </pivotArea>
    </chartFormat>
    <chartFormat chart="2" format="94">
      <pivotArea type="data" outline="0" fieldPosition="0">
        <references count="2">
          <reference field="4294967294" count="1" selected="0">
            <x v="1"/>
          </reference>
          <reference field="1" count="1" selected="0">
            <x v="6"/>
          </reference>
        </references>
      </pivotArea>
    </chartFormat>
    <chartFormat chart="2" format="95">
      <pivotArea type="data" outline="0" fieldPosition="0">
        <references count="2">
          <reference field="4294967294" count="1" selected="0">
            <x v="1"/>
          </reference>
          <reference field="1" count="1" selected="0">
            <x v="7"/>
          </reference>
        </references>
      </pivotArea>
    </chartFormat>
    <chartFormat chart="2" format="96">
      <pivotArea type="data" outline="0" fieldPosition="0">
        <references count="2">
          <reference field="4294967294" count="1" selected="0">
            <x v="1"/>
          </reference>
          <reference field="1" count="1" selected="0">
            <x v="8"/>
          </reference>
        </references>
      </pivotArea>
    </chartFormat>
    <chartFormat chart="2" format="97">
      <pivotArea type="data" outline="0" fieldPosition="0">
        <references count="2">
          <reference field="4294967294" count="1" selected="0">
            <x v="1"/>
          </reference>
          <reference field="1" count="1" selected="0">
            <x v="9"/>
          </reference>
        </references>
      </pivotArea>
    </chartFormat>
    <chartFormat chart="2" format="98">
      <pivotArea type="data" outline="0" fieldPosition="0">
        <references count="2">
          <reference field="4294967294" count="1" selected="0">
            <x v="1"/>
          </reference>
          <reference field="1" count="1" selected="0">
            <x v="10"/>
          </reference>
        </references>
      </pivotArea>
    </chartFormat>
    <chartFormat chart="2" format="99">
      <pivotArea type="data" outline="0" fieldPosition="0">
        <references count="2">
          <reference field="4294967294" count="1" selected="0">
            <x v="1"/>
          </reference>
          <reference field="1" count="1" selected="0">
            <x v="11"/>
          </reference>
        </references>
      </pivotArea>
    </chartFormat>
    <chartFormat chart="2" format="100">
      <pivotArea type="data" outline="0" fieldPosition="0">
        <references count="2">
          <reference field="4294967294" count="1" selected="0">
            <x v="1"/>
          </reference>
          <reference field="1" count="1" selected="0">
            <x v="12"/>
          </reference>
        </references>
      </pivotArea>
    </chartFormat>
    <chartFormat chart="2" format="101">
      <pivotArea type="data" outline="0" fieldPosition="0">
        <references count="2">
          <reference field="4294967294" count="1" selected="0">
            <x v="1"/>
          </reference>
          <reference field="1" count="1" selected="0">
            <x v="13"/>
          </reference>
        </references>
      </pivotArea>
    </chartFormat>
    <chartFormat chart="2" format="102">
      <pivotArea type="data" outline="0" fieldPosition="0">
        <references count="2">
          <reference field="4294967294" count="1" selected="0">
            <x v="1"/>
          </reference>
          <reference field="1" count="1" selected="0">
            <x v="14"/>
          </reference>
        </references>
      </pivotArea>
    </chartFormat>
    <chartFormat chart="2" format="103">
      <pivotArea type="data" outline="0" fieldPosition="0">
        <references count="2">
          <reference field="4294967294" count="1" selected="0">
            <x v="1"/>
          </reference>
          <reference field="1" count="1" selected="0">
            <x v="15"/>
          </reference>
        </references>
      </pivotArea>
    </chartFormat>
    <chartFormat chart="2" format="104">
      <pivotArea type="data" outline="0" fieldPosition="0">
        <references count="2">
          <reference field="4294967294" count="1" selected="0">
            <x v="1"/>
          </reference>
          <reference field="1" count="1" selected="0">
            <x v="16"/>
          </reference>
        </references>
      </pivotArea>
    </chartFormat>
    <chartFormat chart="2" format="105">
      <pivotArea type="data" outline="0" fieldPosition="0">
        <references count="2">
          <reference field="4294967294" count="1" selected="0">
            <x v="1"/>
          </reference>
          <reference field="1" count="1" selected="0">
            <x v="17"/>
          </reference>
        </references>
      </pivotArea>
    </chartFormat>
    <chartFormat chart="2" format="106">
      <pivotArea type="data" outline="0" fieldPosition="0">
        <references count="2">
          <reference field="4294967294" count="1" selected="0">
            <x v="1"/>
          </reference>
          <reference field="1" count="1" selected="0">
            <x v="18"/>
          </reference>
        </references>
      </pivotArea>
    </chartFormat>
    <chartFormat chart="2" format="107">
      <pivotArea type="data" outline="0" fieldPosition="0">
        <references count="2">
          <reference field="4294967294" count="1" selected="0">
            <x v="1"/>
          </reference>
          <reference field="1" count="1" selected="0">
            <x v="19"/>
          </reference>
        </references>
      </pivotArea>
    </chartFormat>
    <chartFormat chart="2" format="108" series="1">
      <pivotArea type="data" outline="0" fieldPosition="0">
        <references count="1">
          <reference field="4294967294" count="1" selected="0">
            <x v="2"/>
          </reference>
        </references>
      </pivotArea>
    </chartFormat>
    <chartFormat chart="2" format="109">
      <pivotArea type="data" outline="0" fieldPosition="0">
        <references count="2">
          <reference field="4294967294" count="1" selected="0">
            <x v="2"/>
          </reference>
          <reference field="1" count="1" selected="0">
            <x v="0"/>
          </reference>
        </references>
      </pivotArea>
    </chartFormat>
    <chartFormat chart="2" format="110">
      <pivotArea type="data" outline="0" fieldPosition="0">
        <references count="2">
          <reference field="4294967294" count="1" selected="0">
            <x v="2"/>
          </reference>
          <reference field="1" count="1" selected="0">
            <x v="1"/>
          </reference>
        </references>
      </pivotArea>
    </chartFormat>
    <chartFormat chart="2" format="111">
      <pivotArea type="data" outline="0" fieldPosition="0">
        <references count="2">
          <reference field="4294967294" count="1" selected="0">
            <x v="2"/>
          </reference>
          <reference field="1" count="1" selected="0">
            <x v="2"/>
          </reference>
        </references>
      </pivotArea>
    </chartFormat>
    <chartFormat chart="2" format="112">
      <pivotArea type="data" outline="0" fieldPosition="0">
        <references count="2">
          <reference field="4294967294" count="1" selected="0">
            <x v="2"/>
          </reference>
          <reference field="1" count="1" selected="0">
            <x v="3"/>
          </reference>
        </references>
      </pivotArea>
    </chartFormat>
    <chartFormat chart="2" format="113">
      <pivotArea type="data" outline="0" fieldPosition="0">
        <references count="2">
          <reference field="4294967294" count="1" selected="0">
            <x v="2"/>
          </reference>
          <reference field="1" count="1" selected="0">
            <x v="4"/>
          </reference>
        </references>
      </pivotArea>
    </chartFormat>
    <chartFormat chart="2" format="114">
      <pivotArea type="data" outline="0" fieldPosition="0">
        <references count="2">
          <reference field="4294967294" count="1" selected="0">
            <x v="2"/>
          </reference>
          <reference field="1" count="1" selected="0">
            <x v="5"/>
          </reference>
        </references>
      </pivotArea>
    </chartFormat>
    <chartFormat chart="2" format="115">
      <pivotArea type="data" outline="0" fieldPosition="0">
        <references count="2">
          <reference field="4294967294" count="1" selected="0">
            <x v="2"/>
          </reference>
          <reference field="1" count="1" selected="0">
            <x v="6"/>
          </reference>
        </references>
      </pivotArea>
    </chartFormat>
    <chartFormat chart="2" format="116">
      <pivotArea type="data" outline="0" fieldPosition="0">
        <references count="2">
          <reference field="4294967294" count="1" selected="0">
            <x v="2"/>
          </reference>
          <reference field="1" count="1" selected="0">
            <x v="7"/>
          </reference>
        </references>
      </pivotArea>
    </chartFormat>
    <chartFormat chart="2" format="117">
      <pivotArea type="data" outline="0" fieldPosition="0">
        <references count="2">
          <reference field="4294967294" count="1" selected="0">
            <x v="2"/>
          </reference>
          <reference field="1" count="1" selected="0">
            <x v="8"/>
          </reference>
        </references>
      </pivotArea>
    </chartFormat>
    <chartFormat chart="2" format="118">
      <pivotArea type="data" outline="0" fieldPosition="0">
        <references count="2">
          <reference field="4294967294" count="1" selected="0">
            <x v="2"/>
          </reference>
          <reference field="1" count="1" selected="0">
            <x v="9"/>
          </reference>
        </references>
      </pivotArea>
    </chartFormat>
    <chartFormat chart="2" format="119">
      <pivotArea type="data" outline="0" fieldPosition="0">
        <references count="2">
          <reference field="4294967294" count="1" selected="0">
            <x v="2"/>
          </reference>
          <reference field="1" count="1" selected="0">
            <x v="10"/>
          </reference>
        </references>
      </pivotArea>
    </chartFormat>
    <chartFormat chart="2" format="120">
      <pivotArea type="data" outline="0" fieldPosition="0">
        <references count="2">
          <reference field="4294967294" count="1" selected="0">
            <x v="2"/>
          </reference>
          <reference field="1" count="1" selected="0">
            <x v="11"/>
          </reference>
        </references>
      </pivotArea>
    </chartFormat>
    <chartFormat chart="2" format="121">
      <pivotArea type="data" outline="0" fieldPosition="0">
        <references count="2">
          <reference field="4294967294" count="1" selected="0">
            <x v="2"/>
          </reference>
          <reference field="1" count="1" selected="0">
            <x v="12"/>
          </reference>
        </references>
      </pivotArea>
    </chartFormat>
    <chartFormat chart="2" format="122">
      <pivotArea type="data" outline="0" fieldPosition="0">
        <references count="2">
          <reference field="4294967294" count="1" selected="0">
            <x v="2"/>
          </reference>
          <reference field="1" count="1" selected="0">
            <x v="13"/>
          </reference>
        </references>
      </pivotArea>
    </chartFormat>
    <chartFormat chart="2" format="123">
      <pivotArea type="data" outline="0" fieldPosition="0">
        <references count="2">
          <reference field="4294967294" count="1" selected="0">
            <x v="2"/>
          </reference>
          <reference field="1" count="1" selected="0">
            <x v="14"/>
          </reference>
        </references>
      </pivotArea>
    </chartFormat>
    <chartFormat chart="2" format="124">
      <pivotArea type="data" outline="0" fieldPosition="0">
        <references count="2">
          <reference field="4294967294" count="1" selected="0">
            <x v="2"/>
          </reference>
          <reference field="1" count="1" selected="0">
            <x v="15"/>
          </reference>
        </references>
      </pivotArea>
    </chartFormat>
    <chartFormat chart="2" format="125">
      <pivotArea type="data" outline="0" fieldPosition="0">
        <references count="2">
          <reference field="4294967294" count="1" selected="0">
            <x v="2"/>
          </reference>
          <reference field="1" count="1" selected="0">
            <x v="16"/>
          </reference>
        </references>
      </pivotArea>
    </chartFormat>
    <chartFormat chart="2" format="126">
      <pivotArea type="data" outline="0" fieldPosition="0">
        <references count="2">
          <reference field="4294967294" count="1" selected="0">
            <x v="2"/>
          </reference>
          <reference field="1" count="1" selected="0">
            <x v="17"/>
          </reference>
        </references>
      </pivotArea>
    </chartFormat>
    <chartFormat chart="2" format="127">
      <pivotArea type="data" outline="0" fieldPosition="0">
        <references count="2">
          <reference field="4294967294" count="1" selected="0">
            <x v="2"/>
          </reference>
          <reference field="1" count="1" selected="0">
            <x v="18"/>
          </reference>
        </references>
      </pivotArea>
    </chartFormat>
    <chartFormat chart="2" format="128">
      <pivotArea type="data" outline="0" fieldPosition="0">
        <references count="2">
          <reference field="4294967294" count="1" selected="0">
            <x v="2"/>
          </reference>
          <reference field="1" count="1" selected="0">
            <x v="19"/>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 chart="8" format="7">
      <pivotArea type="data" outline="0" fieldPosition="0">
        <references count="2">
          <reference field="4294967294" count="1" selected="0">
            <x v="0"/>
          </reference>
          <reference field="1" count="1" selected="0">
            <x v="2"/>
          </reference>
        </references>
      </pivotArea>
    </chartFormat>
    <chartFormat chart="8" format="8">
      <pivotArea type="data" outline="0" fieldPosition="0">
        <references count="2">
          <reference field="4294967294" count="1" selected="0">
            <x v="0"/>
          </reference>
          <reference field="1" count="1" selected="0">
            <x v="3"/>
          </reference>
        </references>
      </pivotArea>
    </chartFormat>
    <chartFormat chart="8" format="9">
      <pivotArea type="data" outline="0" fieldPosition="0">
        <references count="2">
          <reference field="4294967294" count="1" selected="0">
            <x v="0"/>
          </reference>
          <reference field="1" count="1" selected="0">
            <x v="4"/>
          </reference>
        </references>
      </pivotArea>
    </chartFormat>
    <chartFormat chart="8" format="10">
      <pivotArea type="data" outline="0" fieldPosition="0">
        <references count="2">
          <reference field="4294967294" count="1" selected="0">
            <x v="0"/>
          </reference>
          <reference field="1" count="1" selected="0">
            <x v="5"/>
          </reference>
        </references>
      </pivotArea>
    </chartFormat>
    <chartFormat chart="8" format="11">
      <pivotArea type="data" outline="0" fieldPosition="0">
        <references count="2">
          <reference field="4294967294" count="1" selected="0">
            <x v="0"/>
          </reference>
          <reference field="1" count="1" selected="0">
            <x v="6"/>
          </reference>
        </references>
      </pivotArea>
    </chartFormat>
    <chartFormat chart="8" format="12">
      <pivotArea type="data" outline="0" fieldPosition="0">
        <references count="2">
          <reference field="4294967294" count="1" selected="0">
            <x v="0"/>
          </reference>
          <reference field="1" count="1" selected="0">
            <x v="7"/>
          </reference>
        </references>
      </pivotArea>
    </chartFormat>
    <chartFormat chart="8" format="13">
      <pivotArea type="data" outline="0" fieldPosition="0">
        <references count="2">
          <reference field="4294967294" count="1" selected="0">
            <x v="0"/>
          </reference>
          <reference field="1" count="1" selected="0">
            <x v="8"/>
          </reference>
        </references>
      </pivotArea>
    </chartFormat>
    <chartFormat chart="8" format="14">
      <pivotArea type="data" outline="0" fieldPosition="0">
        <references count="2">
          <reference field="4294967294" count="1" selected="0">
            <x v="0"/>
          </reference>
          <reference field="1" count="1" selected="0">
            <x v="9"/>
          </reference>
        </references>
      </pivotArea>
    </chartFormat>
    <chartFormat chart="8" format="15">
      <pivotArea type="data" outline="0" fieldPosition="0">
        <references count="2">
          <reference field="4294967294" count="1" selected="0">
            <x v="0"/>
          </reference>
          <reference field="1" count="1" selected="0">
            <x v="10"/>
          </reference>
        </references>
      </pivotArea>
    </chartFormat>
    <chartFormat chart="8" format="16">
      <pivotArea type="data" outline="0" fieldPosition="0">
        <references count="2">
          <reference field="4294967294" count="1" selected="0">
            <x v="0"/>
          </reference>
          <reference field="1" count="1" selected="0">
            <x v="11"/>
          </reference>
        </references>
      </pivotArea>
    </chartFormat>
    <chartFormat chart="8" format="17">
      <pivotArea type="data" outline="0" fieldPosition="0">
        <references count="2">
          <reference field="4294967294" count="1" selected="0">
            <x v="0"/>
          </reference>
          <reference field="1" count="1" selected="0">
            <x v="12"/>
          </reference>
        </references>
      </pivotArea>
    </chartFormat>
    <chartFormat chart="8" format="18">
      <pivotArea type="data" outline="0" fieldPosition="0">
        <references count="2">
          <reference field="4294967294" count="1" selected="0">
            <x v="0"/>
          </reference>
          <reference field="1" count="1" selected="0">
            <x v="13"/>
          </reference>
        </references>
      </pivotArea>
    </chartFormat>
    <chartFormat chart="8" format="19">
      <pivotArea type="data" outline="0" fieldPosition="0">
        <references count="2">
          <reference field="4294967294" count="1" selected="0">
            <x v="0"/>
          </reference>
          <reference field="1" count="1" selected="0">
            <x v="14"/>
          </reference>
        </references>
      </pivotArea>
    </chartFormat>
    <chartFormat chart="8" format="20">
      <pivotArea type="data" outline="0" fieldPosition="0">
        <references count="2">
          <reference field="4294967294" count="1" selected="0">
            <x v="0"/>
          </reference>
          <reference field="1" count="1" selected="0">
            <x v="15"/>
          </reference>
        </references>
      </pivotArea>
    </chartFormat>
    <chartFormat chart="8" format="21">
      <pivotArea type="data" outline="0" fieldPosition="0">
        <references count="2">
          <reference field="4294967294" count="1" selected="0">
            <x v="0"/>
          </reference>
          <reference field="1" count="1" selected="0">
            <x v="16"/>
          </reference>
        </references>
      </pivotArea>
    </chartFormat>
    <chartFormat chart="8" format="22">
      <pivotArea type="data" outline="0" fieldPosition="0">
        <references count="2">
          <reference field="4294967294" count="1" selected="0">
            <x v="0"/>
          </reference>
          <reference field="1" count="1" selected="0">
            <x v="17"/>
          </reference>
        </references>
      </pivotArea>
    </chartFormat>
    <chartFormat chart="8" format="23">
      <pivotArea type="data" outline="0" fieldPosition="0">
        <references count="2">
          <reference field="4294967294" count="1" selected="0">
            <x v="0"/>
          </reference>
          <reference field="1" count="1" selected="0">
            <x v="18"/>
          </reference>
        </references>
      </pivotArea>
    </chartFormat>
    <chartFormat chart="8" format="24">
      <pivotArea type="data" outline="0" fieldPosition="0">
        <references count="2">
          <reference field="4294967294" count="1" selected="0">
            <x v="0"/>
          </reference>
          <reference field="1" count="1" selected="0">
            <x v="19"/>
          </reference>
        </references>
      </pivotArea>
    </chartFormat>
    <chartFormat chart="8" format="25" series="1">
      <pivotArea type="data" outline="0" fieldPosition="0">
        <references count="1">
          <reference field="4294967294" count="1" selected="0">
            <x v="1"/>
          </reference>
        </references>
      </pivotArea>
    </chartFormat>
    <chartFormat chart="8" format="26">
      <pivotArea type="data" outline="0" fieldPosition="0">
        <references count="2">
          <reference field="4294967294" count="1" selected="0">
            <x v="1"/>
          </reference>
          <reference field="1" count="1" selected="0">
            <x v="0"/>
          </reference>
        </references>
      </pivotArea>
    </chartFormat>
    <chartFormat chart="8" format="27">
      <pivotArea type="data" outline="0" fieldPosition="0">
        <references count="2">
          <reference field="4294967294" count="1" selected="0">
            <x v="1"/>
          </reference>
          <reference field="1" count="1" selected="0">
            <x v="1"/>
          </reference>
        </references>
      </pivotArea>
    </chartFormat>
    <chartFormat chart="8" format="28">
      <pivotArea type="data" outline="0" fieldPosition="0">
        <references count="2">
          <reference field="4294967294" count="1" selected="0">
            <x v="1"/>
          </reference>
          <reference field="1" count="1" selected="0">
            <x v="2"/>
          </reference>
        </references>
      </pivotArea>
    </chartFormat>
    <chartFormat chart="8" format="29">
      <pivotArea type="data" outline="0" fieldPosition="0">
        <references count="2">
          <reference field="4294967294" count="1" selected="0">
            <x v="1"/>
          </reference>
          <reference field="1" count="1" selected="0">
            <x v="3"/>
          </reference>
        </references>
      </pivotArea>
    </chartFormat>
    <chartFormat chart="8" format="30">
      <pivotArea type="data" outline="0" fieldPosition="0">
        <references count="2">
          <reference field="4294967294" count="1" selected="0">
            <x v="1"/>
          </reference>
          <reference field="1" count="1" selected="0">
            <x v="4"/>
          </reference>
        </references>
      </pivotArea>
    </chartFormat>
    <chartFormat chart="8" format="31">
      <pivotArea type="data" outline="0" fieldPosition="0">
        <references count="2">
          <reference field="4294967294" count="1" selected="0">
            <x v="1"/>
          </reference>
          <reference field="1" count="1" selected="0">
            <x v="5"/>
          </reference>
        </references>
      </pivotArea>
    </chartFormat>
    <chartFormat chart="8" format="32">
      <pivotArea type="data" outline="0" fieldPosition="0">
        <references count="2">
          <reference field="4294967294" count="1" selected="0">
            <x v="1"/>
          </reference>
          <reference field="1" count="1" selected="0">
            <x v="6"/>
          </reference>
        </references>
      </pivotArea>
    </chartFormat>
    <chartFormat chart="8" format="33">
      <pivotArea type="data" outline="0" fieldPosition="0">
        <references count="2">
          <reference field="4294967294" count="1" selected="0">
            <x v="1"/>
          </reference>
          <reference field="1" count="1" selected="0">
            <x v="7"/>
          </reference>
        </references>
      </pivotArea>
    </chartFormat>
    <chartFormat chart="8" format="34">
      <pivotArea type="data" outline="0" fieldPosition="0">
        <references count="2">
          <reference field="4294967294" count="1" selected="0">
            <x v="1"/>
          </reference>
          <reference field="1" count="1" selected="0">
            <x v="8"/>
          </reference>
        </references>
      </pivotArea>
    </chartFormat>
    <chartFormat chart="8" format="35">
      <pivotArea type="data" outline="0" fieldPosition="0">
        <references count="2">
          <reference field="4294967294" count="1" selected="0">
            <x v="1"/>
          </reference>
          <reference field="1" count="1" selected="0">
            <x v="9"/>
          </reference>
        </references>
      </pivotArea>
    </chartFormat>
    <chartFormat chart="8" format="36">
      <pivotArea type="data" outline="0" fieldPosition="0">
        <references count="2">
          <reference field="4294967294" count="1" selected="0">
            <x v="1"/>
          </reference>
          <reference field="1" count="1" selected="0">
            <x v="10"/>
          </reference>
        </references>
      </pivotArea>
    </chartFormat>
    <chartFormat chart="8" format="37">
      <pivotArea type="data" outline="0" fieldPosition="0">
        <references count="2">
          <reference field="4294967294" count="1" selected="0">
            <x v="1"/>
          </reference>
          <reference field="1" count="1" selected="0">
            <x v="11"/>
          </reference>
        </references>
      </pivotArea>
    </chartFormat>
    <chartFormat chart="8" format="38">
      <pivotArea type="data" outline="0" fieldPosition="0">
        <references count="2">
          <reference field="4294967294" count="1" selected="0">
            <x v="1"/>
          </reference>
          <reference field="1" count="1" selected="0">
            <x v="12"/>
          </reference>
        </references>
      </pivotArea>
    </chartFormat>
    <chartFormat chart="8" format="39">
      <pivotArea type="data" outline="0" fieldPosition="0">
        <references count="2">
          <reference field="4294967294" count="1" selected="0">
            <x v="1"/>
          </reference>
          <reference field="1" count="1" selected="0">
            <x v="13"/>
          </reference>
        </references>
      </pivotArea>
    </chartFormat>
    <chartFormat chart="8" format="40">
      <pivotArea type="data" outline="0" fieldPosition="0">
        <references count="2">
          <reference field="4294967294" count="1" selected="0">
            <x v="1"/>
          </reference>
          <reference field="1" count="1" selected="0">
            <x v="14"/>
          </reference>
        </references>
      </pivotArea>
    </chartFormat>
    <chartFormat chart="8" format="41">
      <pivotArea type="data" outline="0" fieldPosition="0">
        <references count="2">
          <reference field="4294967294" count="1" selected="0">
            <x v="1"/>
          </reference>
          <reference field="1" count="1" selected="0">
            <x v="15"/>
          </reference>
        </references>
      </pivotArea>
    </chartFormat>
    <chartFormat chart="8" format="42">
      <pivotArea type="data" outline="0" fieldPosition="0">
        <references count="2">
          <reference field="4294967294" count="1" selected="0">
            <x v="1"/>
          </reference>
          <reference field="1" count="1" selected="0">
            <x v="16"/>
          </reference>
        </references>
      </pivotArea>
    </chartFormat>
    <chartFormat chart="8" format="43">
      <pivotArea type="data" outline="0" fieldPosition="0">
        <references count="2">
          <reference field="4294967294" count="1" selected="0">
            <x v="1"/>
          </reference>
          <reference field="1" count="1" selected="0">
            <x v="17"/>
          </reference>
        </references>
      </pivotArea>
    </chartFormat>
    <chartFormat chart="8" format="44">
      <pivotArea type="data" outline="0" fieldPosition="0">
        <references count="2">
          <reference field="4294967294" count="1" selected="0">
            <x v="1"/>
          </reference>
          <reference field="1" count="1" selected="0">
            <x v="18"/>
          </reference>
        </references>
      </pivotArea>
    </chartFormat>
    <chartFormat chart="8" format="45">
      <pivotArea type="data" outline="0" fieldPosition="0">
        <references count="2">
          <reference field="4294967294" count="1" selected="0">
            <x v="1"/>
          </reference>
          <reference field="1" count="1" selected="0">
            <x v="19"/>
          </reference>
        </references>
      </pivotArea>
    </chartFormat>
    <chartFormat chart="8" format="46" series="1">
      <pivotArea type="data" outline="0" fieldPosition="0">
        <references count="1">
          <reference field="4294967294" count="1" selected="0">
            <x v="2"/>
          </reference>
        </references>
      </pivotArea>
    </chartFormat>
    <chartFormat chart="8" format="47">
      <pivotArea type="data" outline="0" fieldPosition="0">
        <references count="2">
          <reference field="4294967294" count="1" selected="0">
            <x v="2"/>
          </reference>
          <reference field="1" count="1" selected="0">
            <x v="0"/>
          </reference>
        </references>
      </pivotArea>
    </chartFormat>
    <chartFormat chart="8" format="48">
      <pivotArea type="data" outline="0" fieldPosition="0">
        <references count="2">
          <reference field="4294967294" count="1" selected="0">
            <x v="2"/>
          </reference>
          <reference field="1" count="1" selected="0">
            <x v="1"/>
          </reference>
        </references>
      </pivotArea>
    </chartFormat>
    <chartFormat chart="8" format="49">
      <pivotArea type="data" outline="0" fieldPosition="0">
        <references count="2">
          <reference field="4294967294" count="1" selected="0">
            <x v="2"/>
          </reference>
          <reference field="1" count="1" selected="0">
            <x v="2"/>
          </reference>
        </references>
      </pivotArea>
    </chartFormat>
    <chartFormat chart="8" format="50">
      <pivotArea type="data" outline="0" fieldPosition="0">
        <references count="2">
          <reference field="4294967294" count="1" selected="0">
            <x v="2"/>
          </reference>
          <reference field="1" count="1" selected="0">
            <x v="3"/>
          </reference>
        </references>
      </pivotArea>
    </chartFormat>
    <chartFormat chart="8" format="51">
      <pivotArea type="data" outline="0" fieldPosition="0">
        <references count="2">
          <reference field="4294967294" count="1" selected="0">
            <x v="2"/>
          </reference>
          <reference field="1" count="1" selected="0">
            <x v="4"/>
          </reference>
        </references>
      </pivotArea>
    </chartFormat>
    <chartFormat chart="8" format="52">
      <pivotArea type="data" outline="0" fieldPosition="0">
        <references count="2">
          <reference field="4294967294" count="1" selected="0">
            <x v="2"/>
          </reference>
          <reference field="1" count="1" selected="0">
            <x v="5"/>
          </reference>
        </references>
      </pivotArea>
    </chartFormat>
    <chartFormat chart="8" format="53">
      <pivotArea type="data" outline="0" fieldPosition="0">
        <references count="2">
          <reference field="4294967294" count="1" selected="0">
            <x v="2"/>
          </reference>
          <reference field="1" count="1" selected="0">
            <x v="6"/>
          </reference>
        </references>
      </pivotArea>
    </chartFormat>
    <chartFormat chart="8" format="54">
      <pivotArea type="data" outline="0" fieldPosition="0">
        <references count="2">
          <reference field="4294967294" count="1" selected="0">
            <x v="2"/>
          </reference>
          <reference field="1" count="1" selected="0">
            <x v="7"/>
          </reference>
        </references>
      </pivotArea>
    </chartFormat>
    <chartFormat chart="8" format="55">
      <pivotArea type="data" outline="0" fieldPosition="0">
        <references count="2">
          <reference field="4294967294" count="1" selected="0">
            <x v="2"/>
          </reference>
          <reference field="1" count="1" selected="0">
            <x v="8"/>
          </reference>
        </references>
      </pivotArea>
    </chartFormat>
    <chartFormat chart="8" format="56">
      <pivotArea type="data" outline="0" fieldPosition="0">
        <references count="2">
          <reference field="4294967294" count="1" selected="0">
            <x v="2"/>
          </reference>
          <reference field="1" count="1" selected="0">
            <x v="9"/>
          </reference>
        </references>
      </pivotArea>
    </chartFormat>
    <chartFormat chart="8" format="57">
      <pivotArea type="data" outline="0" fieldPosition="0">
        <references count="2">
          <reference field="4294967294" count="1" selected="0">
            <x v="2"/>
          </reference>
          <reference field="1" count="1" selected="0">
            <x v="10"/>
          </reference>
        </references>
      </pivotArea>
    </chartFormat>
    <chartFormat chart="8" format="58">
      <pivotArea type="data" outline="0" fieldPosition="0">
        <references count="2">
          <reference field="4294967294" count="1" selected="0">
            <x v="2"/>
          </reference>
          <reference field="1" count="1" selected="0">
            <x v="11"/>
          </reference>
        </references>
      </pivotArea>
    </chartFormat>
    <chartFormat chart="8" format="59">
      <pivotArea type="data" outline="0" fieldPosition="0">
        <references count="2">
          <reference field="4294967294" count="1" selected="0">
            <x v="2"/>
          </reference>
          <reference field="1" count="1" selected="0">
            <x v="12"/>
          </reference>
        </references>
      </pivotArea>
    </chartFormat>
    <chartFormat chart="8" format="60">
      <pivotArea type="data" outline="0" fieldPosition="0">
        <references count="2">
          <reference field="4294967294" count="1" selected="0">
            <x v="2"/>
          </reference>
          <reference field="1" count="1" selected="0">
            <x v="13"/>
          </reference>
        </references>
      </pivotArea>
    </chartFormat>
    <chartFormat chart="8" format="61">
      <pivotArea type="data" outline="0" fieldPosition="0">
        <references count="2">
          <reference field="4294967294" count="1" selected="0">
            <x v="2"/>
          </reference>
          <reference field="1" count="1" selected="0">
            <x v="14"/>
          </reference>
        </references>
      </pivotArea>
    </chartFormat>
    <chartFormat chart="8" format="62">
      <pivotArea type="data" outline="0" fieldPosition="0">
        <references count="2">
          <reference field="4294967294" count="1" selected="0">
            <x v="2"/>
          </reference>
          <reference field="1" count="1" selected="0">
            <x v="15"/>
          </reference>
        </references>
      </pivotArea>
    </chartFormat>
    <chartFormat chart="8" format="63">
      <pivotArea type="data" outline="0" fieldPosition="0">
        <references count="2">
          <reference field="4294967294" count="1" selected="0">
            <x v="2"/>
          </reference>
          <reference field="1" count="1" selected="0">
            <x v="16"/>
          </reference>
        </references>
      </pivotArea>
    </chartFormat>
    <chartFormat chart="8" format="64">
      <pivotArea type="data" outline="0" fieldPosition="0">
        <references count="2">
          <reference field="4294967294" count="1" selected="0">
            <x v="2"/>
          </reference>
          <reference field="1" count="1" selected="0">
            <x v="17"/>
          </reference>
        </references>
      </pivotArea>
    </chartFormat>
    <chartFormat chart="8" format="65">
      <pivotArea type="data" outline="0" fieldPosition="0">
        <references count="2">
          <reference field="4294967294" count="1" selected="0">
            <x v="2"/>
          </reference>
          <reference field="1" count="1" selected="0">
            <x v="18"/>
          </reference>
        </references>
      </pivotArea>
    </chartFormat>
    <chartFormat chart="8" format="66">
      <pivotArea type="data" outline="0" fieldPosition="0">
        <references count="2">
          <reference field="4294967294" count="1" selected="0">
            <x v="2"/>
          </reference>
          <reference field="1" count="1" selected="0">
            <x v="19"/>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28D7A514-56E1-4A87-B978-AAFE4139BD02}" sourceName="Gender">
  <pivotTables>
    <pivotTable tabId="7" name="PivotTable5"/>
    <pivotTable tabId="8" name="PivotTable6"/>
  </pivotTables>
  <data>
    <tabular pivotCacheId="785302050">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Eligibility" xr10:uid="{53713629-C98A-4724-86FB-8DAA580A1919}" sourceName=" Working Eligibility">
  <pivotTables>
    <pivotTable tabId="8" name="PivotTable6"/>
    <pivotTable tabId="7" name="PivotTable5"/>
  </pivotTables>
  <data>
    <tabular pivotCacheId="785302050">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765110E-5C62-4BA3-A762-D1324B89DC7F}" sourceName="Department">
  <pivotTables>
    <pivotTable tabId="9" name="PivotTable1"/>
    <pivotTable tabId="10" name="PivotTable2"/>
    <pivotTable tabId="11" name="PivotTable3"/>
    <pivotTable tabId="12" name="PivotTable5"/>
  </pivotTables>
  <data>
    <tabular pivotCacheId="77972907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Eligibility1" xr10:uid="{D6BA6068-4278-4121-96D7-4CB4410BEB39}" sourceName=" Working Eligibility">
  <pivotTables>
    <pivotTable tabId="10" name="PivotTable2"/>
  </pivotTables>
  <data>
    <tabular pivotCacheId="77972907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528976-A239-44A2-B97F-065487730F79}" sourceName="City">
  <pivotTables>
    <pivotTable tabId="11" name="PivotTable3"/>
    <pivotTable tabId="9" name="PivotTable1"/>
    <pivotTable tabId="10" name="PivotTable2"/>
    <pivotTable tabId="12" name="PivotTable5"/>
  </pivotTables>
  <data>
    <tabular pivotCacheId="779729073">
      <items count="6">
        <i x="5" s="1"/>
        <i x="0" s="1"/>
        <i x="2" s="1"/>
        <i x="4"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Eligibility2" xr10:uid="{C3C3E9D2-D608-4E40-A6E2-CD3F1F4314CA}" sourceName=" Working Eligibility">
  <pivotTables>
    <pivotTable tabId="12" name="PivotTable5"/>
  </pivotTables>
  <data>
    <tabular pivotCacheId="7797290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A4E8690-5377-47B5-B467-514553555B11}" cache="Slicer_Gender1" caption="Gender"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orking Eligibility" xr10:uid="{7B849271-3E1E-40EE-9E54-B72A5458126A}" cache="Slicer_Working_Eligibility" caption=" Working Eligibility"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7F532CD-F2C5-4D1F-A1F1-105521B73098}" cache="Slicer_Department" caption="Department"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orking Eligibility 1" xr10:uid="{C8183DF4-49D8-4D64-BB00-C1EBEE804C21}" cache="Slicer_Working_Eligibility1" caption=" Working Eligibility"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D030653-C526-483A-A92E-98CAF37BC8C9}" cache="Slicer_City" caption="City" rowHeight="2286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Working Eligibility 2" xr10:uid="{A38E37B9-71AF-47A0-B45E-15556E64F9FB}" cache="Slicer_Working_Eligibility2" caption=" Working Eligibility" rowHeight="2286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BFA514D-0593-446B-98BF-A80DED1E9544}" cache="Slicer_Gender1" caption="Gender" rowHeight="228600"/>
  <slicer name=" Working Eligibility 3" xr10:uid="{1D0E5684-FCD3-4D54-AC0E-660363ECEC2E}" cache="Slicer_Working_Eligibility" caption=" Working Eligibility" rowHeight="228600"/>
  <slicer name="Department 1" xr10:uid="{C7A6BC07-97CC-4FEE-B140-6FC62E7BFB32}" cache="Slicer_Department" caption="Department" rowHeight="228600"/>
  <slicer name="City 1" xr10:uid="{C57350F7-5270-4083-B81D-FC962BC1E68B}" cache="Slicer_City" caption="City"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L1001" totalsRowShown="0" headerRowDxfId="63" dataDxfId="62">
  <autoFilter ref="A1:L1001" xr:uid="{00000000-0009-0000-0100-000003000000}"/>
  <tableColumns count="12">
    <tableColumn id="1" xr3:uid="{00000000-0010-0000-0000-000001000000}" name="Employee_ID" dataDxfId="61"/>
    <tableColumn id="2" xr3:uid="{00000000-0010-0000-0000-000002000000}" name="Name" dataDxfId="60"/>
    <tableColumn id="3" xr3:uid="{00000000-0010-0000-0000-000003000000}" name="Department" dataDxfId="59"/>
    <tableColumn id="4" xr3:uid="{00000000-0010-0000-0000-000004000000}" name="Age" dataDxfId="58"/>
    <tableColumn id="5" xr3:uid="{00000000-0010-0000-0000-000005000000}" name="Gender" dataDxfId="57"/>
    <tableColumn id="6" xr3:uid="{00000000-0010-0000-0000-000006000000}" name="Experience" dataDxfId="56"/>
    <tableColumn id="7" xr3:uid="{00000000-0010-0000-0000-000007000000}" name="Salary" dataDxfId="55"/>
    <tableColumn id="8" xr3:uid="{00000000-0010-0000-0000-000008000000}" name="Projects_Completed" dataDxfId="54"/>
    <tableColumn id="9" xr3:uid="{00000000-0010-0000-0000-000009000000}" name="Working_Hours" dataDxfId="53"/>
    <tableColumn id="10" xr3:uid="{00000000-0010-0000-0000-00000A000000}" name="Performance_Rating" dataDxfId="52"/>
    <tableColumn id="11" xr3:uid="{00000000-0010-0000-0000-00000B000000}" name="Attendance" dataDxfId="51"/>
    <tableColumn id="12" xr3:uid="{00000000-0010-0000-0000-00000C000000}" name="City" dataDxfId="50"/>
  </tableColumns>
  <tableStyleInfo name="TableStyleMedium2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7" displayName="Table7" ref="A1:M1001" totalsRowShown="0" headerRowDxfId="49" dataDxfId="47" headerRowBorderDxfId="48" tableBorderDxfId="46">
  <autoFilter ref="A1:M1001" xr:uid="{00000000-0009-0000-0100-000007000000}">
    <filterColumn colId="5">
      <filters>
        <filter val="10"/>
        <filter val="11"/>
        <filter val="12"/>
        <filter val="13"/>
        <filter val="14"/>
        <filter val="15"/>
        <filter val="5"/>
        <filter val="6"/>
        <filter val="7"/>
        <filter val="8"/>
        <filter val="9"/>
      </filters>
    </filterColumn>
    <filterColumn colId="7">
      <filters>
        <filter val="10"/>
        <filter val="11"/>
        <filter val="12"/>
        <filter val="13"/>
        <filter val="14"/>
        <filter val="15"/>
      </filters>
    </filterColumn>
    <filterColumn colId="10">
      <filters>
        <filter val="100"/>
        <filter val="91"/>
        <filter val="92"/>
        <filter val="93"/>
        <filter val="94"/>
        <filter val="95"/>
        <filter val="96"/>
        <filter val="97"/>
        <filter val="98"/>
        <filter val="99"/>
      </filters>
    </filterColumn>
  </autoFilter>
  <sortState xmlns:xlrd2="http://schemas.microsoft.com/office/spreadsheetml/2017/richdata2" ref="A2:M999">
    <sortCondition ref="G2"/>
  </sortState>
  <tableColumns count="13">
    <tableColumn id="1" xr3:uid="{00000000-0010-0000-0100-000001000000}" name="Employee_ID" dataDxfId="45"/>
    <tableColumn id="2" xr3:uid="{00000000-0010-0000-0100-000002000000}" name="Name" dataDxfId="44">
      <calculatedColumnFormula>VLOOKUP(A2,Table3[#All],2,FALSE)</calculatedColumnFormula>
    </tableColumn>
    <tableColumn id="3" xr3:uid="{00000000-0010-0000-0100-000003000000}" name="Department" dataDxfId="43">
      <calculatedColumnFormula>VLOOKUP(A2,Table3[#All],3,FALSE)</calculatedColumnFormula>
    </tableColumn>
    <tableColumn id="4" xr3:uid="{00000000-0010-0000-0100-000004000000}" name="Age" dataDxfId="42">
      <calculatedColumnFormula>VLOOKUP(A2,Table3[#All],4,FALSE)</calculatedColumnFormula>
    </tableColumn>
    <tableColumn id="5" xr3:uid="{00000000-0010-0000-0100-000005000000}" name="Gender" dataDxfId="41">
      <calculatedColumnFormula>VLOOKUP(A2,Table3[#All],5,FALSE)</calculatedColumnFormula>
    </tableColumn>
    <tableColumn id="6" xr3:uid="{00000000-0010-0000-0100-000006000000}" name="Experience" dataDxfId="40">
      <calculatedColumnFormula>VLOOKUP(A2,Table3[#All],6,FALSE)</calculatedColumnFormula>
    </tableColumn>
    <tableColumn id="7" xr3:uid="{00000000-0010-0000-0100-000007000000}" name="Salary" dataDxfId="39">
      <calculatedColumnFormula>VLOOKUP(A2,Table3[#All],7,FALSE)</calculatedColumnFormula>
    </tableColumn>
    <tableColumn id="8" xr3:uid="{00000000-0010-0000-0100-000008000000}" name="Projects_Completed" dataDxfId="38">
      <calculatedColumnFormula>VLOOKUP(A2,Table3[#All],8,FALSE)</calculatedColumnFormula>
    </tableColumn>
    <tableColumn id="9" xr3:uid="{00000000-0010-0000-0100-000009000000}" name="Working_Hours" dataDxfId="37">
      <calculatedColumnFormula>VLOOKUP(A2,Table3[#All],9,FALSE)</calculatedColumnFormula>
    </tableColumn>
    <tableColumn id="10" xr3:uid="{00000000-0010-0000-0100-00000A000000}" name="Performance_Rating" dataDxfId="36">
      <calculatedColumnFormula>VLOOKUP(A2,Table3[#All],10,FALSE)</calculatedColumnFormula>
    </tableColumn>
    <tableColumn id="11" xr3:uid="{00000000-0010-0000-0100-00000B000000}" name="Attendance" dataDxfId="35">
      <calculatedColumnFormula>VLOOKUP(A2,Table3[#All],11,FALSE)</calculatedColumnFormula>
    </tableColumn>
    <tableColumn id="12" xr3:uid="{00000000-0010-0000-0100-00000C000000}" name="City" dataDxfId="34">
      <calculatedColumnFormula>VLOOKUP(A2,Table3[#All],12,FALSE)</calculatedColumnFormula>
    </tableColumn>
    <tableColumn id="13" xr3:uid="{00000000-0010-0000-0100-00000D000000}" name=" Working Eligibility" dataDxfId="33">
      <calculatedColumnFormula>IF(K2&gt;=95,"Eligible","Not Eligible")</calculatedColumnFormula>
    </tableColumn>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N8" sqref="N8"/>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v>33</v>
      </c>
      <c r="E2" t="s">
        <v>15</v>
      </c>
      <c r="F2">
        <v>5</v>
      </c>
      <c r="G2">
        <v>48089</v>
      </c>
      <c r="H2">
        <v>10</v>
      </c>
      <c r="I2">
        <v>37</v>
      </c>
      <c r="J2">
        <v>4</v>
      </c>
      <c r="K2">
        <v>90</v>
      </c>
      <c r="L2" t="s">
        <v>16</v>
      </c>
    </row>
    <row r="3" spans="1:12" x14ac:dyDescent="0.25">
      <c r="A3" t="s">
        <v>17</v>
      </c>
      <c r="B3" t="s">
        <v>18</v>
      </c>
      <c r="C3" t="s">
        <v>14</v>
      </c>
      <c r="D3">
        <v>39</v>
      </c>
      <c r="E3" t="s">
        <v>19</v>
      </c>
      <c r="F3">
        <v>9</v>
      </c>
      <c r="G3">
        <v>74855</v>
      </c>
      <c r="H3">
        <v>15</v>
      </c>
      <c r="I3">
        <v>42</v>
      </c>
      <c r="J3">
        <v>2</v>
      </c>
      <c r="K3">
        <v>91</v>
      </c>
      <c r="L3" t="s">
        <v>16</v>
      </c>
    </row>
    <row r="4" spans="1:12" x14ac:dyDescent="0.25">
      <c r="A4" t="s">
        <v>20</v>
      </c>
      <c r="B4" t="s">
        <v>21</v>
      </c>
      <c r="C4" t="s">
        <v>22</v>
      </c>
      <c r="D4">
        <v>31</v>
      </c>
      <c r="E4" t="s">
        <v>19</v>
      </c>
      <c r="F4">
        <v>2</v>
      </c>
      <c r="G4">
        <v>40749</v>
      </c>
      <c r="H4">
        <v>8</v>
      </c>
      <c r="I4">
        <v>39</v>
      </c>
      <c r="J4">
        <v>3</v>
      </c>
      <c r="K4">
        <v>96</v>
      </c>
      <c r="L4" t="s">
        <v>23</v>
      </c>
    </row>
    <row r="5" spans="1:12" x14ac:dyDescent="0.25">
      <c r="A5" t="s">
        <v>24</v>
      </c>
      <c r="B5" t="s">
        <v>13</v>
      </c>
      <c r="C5" t="s">
        <v>25</v>
      </c>
      <c r="D5">
        <v>33</v>
      </c>
      <c r="E5" t="s">
        <v>15</v>
      </c>
      <c r="F5">
        <v>8</v>
      </c>
      <c r="G5">
        <v>54136</v>
      </c>
      <c r="H5">
        <v>5</v>
      </c>
      <c r="I5">
        <v>46</v>
      </c>
      <c r="J5">
        <v>1</v>
      </c>
      <c r="K5">
        <v>85</v>
      </c>
      <c r="L5" t="s">
        <v>26</v>
      </c>
    </row>
    <row r="6" spans="1:12" x14ac:dyDescent="0.25">
      <c r="A6" t="s">
        <v>27</v>
      </c>
      <c r="B6" t="s">
        <v>28</v>
      </c>
      <c r="C6" t="s">
        <v>29</v>
      </c>
      <c r="D6">
        <v>36</v>
      </c>
      <c r="E6" t="s">
        <v>19</v>
      </c>
      <c r="F6">
        <v>7</v>
      </c>
      <c r="G6">
        <v>30627</v>
      </c>
      <c r="H6">
        <v>8</v>
      </c>
      <c r="I6">
        <v>46</v>
      </c>
      <c r="J6">
        <v>4</v>
      </c>
      <c r="K6">
        <v>87</v>
      </c>
      <c r="L6" t="s">
        <v>23</v>
      </c>
    </row>
    <row r="7" spans="1:12" x14ac:dyDescent="0.25">
      <c r="A7" t="s">
        <v>30</v>
      </c>
      <c r="B7" t="s">
        <v>31</v>
      </c>
      <c r="C7" t="s">
        <v>25</v>
      </c>
      <c r="D7">
        <v>23</v>
      </c>
      <c r="E7" t="s">
        <v>15</v>
      </c>
      <c r="F7">
        <v>3</v>
      </c>
      <c r="G7">
        <v>61049</v>
      </c>
      <c r="H7">
        <v>9</v>
      </c>
      <c r="I7">
        <v>39</v>
      </c>
      <c r="J7">
        <v>5</v>
      </c>
      <c r="K7">
        <v>89</v>
      </c>
      <c r="L7" t="s">
        <v>32</v>
      </c>
    </row>
    <row r="8" spans="1:12" x14ac:dyDescent="0.25">
      <c r="A8" t="s">
        <v>33</v>
      </c>
      <c r="B8" t="s">
        <v>34</v>
      </c>
      <c r="C8" t="s">
        <v>14</v>
      </c>
      <c r="D8">
        <v>36</v>
      </c>
      <c r="E8" t="s">
        <v>19</v>
      </c>
      <c r="F8">
        <v>7</v>
      </c>
      <c r="G8">
        <v>70701</v>
      </c>
      <c r="H8">
        <v>13</v>
      </c>
      <c r="I8">
        <v>36</v>
      </c>
      <c r="J8">
        <v>2</v>
      </c>
      <c r="K8">
        <v>96</v>
      </c>
      <c r="L8" t="s">
        <v>32</v>
      </c>
    </row>
    <row r="9" spans="1:12" x14ac:dyDescent="0.25">
      <c r="A9" t="s">
        <v>35</v>
      </c>
      <c r="B9" t="s">
        <v>36</v>
      </c>
      <c r="C9" t="s">
        <v>25</v>
      </c>
      <c r="D9">
        <v>39</v>
      </c>
      <c r="E9" t="s">
        <v>15</v>
      </c>
      <c r="F9">
        <v>14</v>
      </c>
      <c r="G9">
        <v>52857</v>
      </c>
      <c r="H9">
        <v>9</v>
      </c>
      <c r="I9">
        <v>36</v>
      </c>
      <c r="J9">
        <v>5</v>
      </c>
      <c r="K9">
        <v>93</v>
      </c>
      <c r="L9" t="s">
        <v>37</v>
      </c>
    </row>
    <row r="10" spans="1:12" x14ac:dyDescent="0.25">
      <c r="A10" t="s">
        <v>38</v>
      </c>
      <c r="B10" t="s">
        <v>13</v>
      </c>
      <c r="C10" t="s">
        <v>22</v>
      </c>
      <c r="D10">
        <v>30</v>
      </c>
      <c r="E10" t="s">
        <v>19</v>
      </c>
      <c r="F10">
        <v>8</v>
      </c>
      <c r="G10">
        <v>43605</v>
      </c>
      <c r="H10">
        <v>8</v>
      </c>
      <c r="I10">
        <v>46</v>
      </c>
      <c r="J10">
        <v>3</v>
      </c>
      <c r="K10">
        <v>99</v>
      </c>
      <c r="L10" t="s">
        <v>26</v>
      </c>
    </row>
    <row r="11" spans="1:12" x14ac:dyDescent="0.25">
      <c r="A11" t="s">
        <v>39</v>
      </c>
      <c r="B11" t="s">
        <v>40</v>
      </c>
      <c r="C11" t="s">
        <v>25</v>
      </c>
      <c r="D11">
        <v>40</v>
      </c>
      <c r="E11" t="s">
        <v>15</v>
      </c>
      <c r="F11">
        <v>5</v>
      </c>
      <c r="G11">
        <v>76499</v>
      </c>
      <c r="H11">
        <v>10</v>
      </c>
      <c r="I11">
        <v>41</v>
      </c>
      <c r="J11">
        <v>2</v>
      </c>
      <c r="K11">
        <v>92</v>
      </c>
      <c r="L11" t="s">
        <v>26</v>
      </c>
    </row>
    <row r="12" spans="1:12" x14ac:dyDescent="0.25">
      <c r="A12" t="s">
        <v>41</v>
      </c>
      <c r="B12" t="s">
        <v>13</v>
      </c>
      <c r="C12" t="s">
        <v>25</v>
      </c>
      <c r="D12">
        <v>22</v>
      </c>
      <c r="E12" t="s">
        <v>15</v>
      </c>
      <c r="F12">
        <v>3</v>
      </c>
      <c r="G12">
        <v>59483</v>
      </c>
      <c r="H12">
        <v>12</v>
      </c>
      <c r="I12">
        <v>36</v>
      </c>
      <c r="J12">
        <v>4</v>
      </c>
      <c r="K12">
        <v>97</v>
      </c>
      <c r="L12" t="s">
        <v>16</v>
      </c>
    </row>
    <row r="13" spans="1:12" x14ac:dyDescent="0.25">
      <c r="A13" t="s">
        <v>42</v>
      </c>
      <c r="B13" t="s">
        <v>43</v>
      </c>
      <c r="C13" t="s">
        <v>29</v>
      </c>
      <c r="D13">
        <v>34</v>
      </c>
      <c r="E13" t="s">
        <v>15</v>
      </c>
      <c r="F13">
        <v>9</v>
      </c>
      <c r="G13">
        <v>76959</v>
      </c>
      <c r="H13">
        <v>4</v>
      </c>
      <c r="I13">
        <v>47</v>
      </c>
      <c r="J13">
        <v>4</v>
      </c>
      <c r="K13">
        <v>96</v>
      </c>
      <c r="L13" t="s">
        <v>37</v>
      </c>
    </row>
    <row r="14" spans="1:12" x14ac:dyDescent="0.25">
      <c r="A14" t="s">
        <v>44</v>
      </c>
      <c r="B14" t="s">
        <v>45</v>
      </c>
      <c r="C14" t="s">
        <v>22</v>
      </c>
      <c r="D14">
        <v>36</v>
      </c>
      <c r="E14" t="s">
        <v>19</v>
      </c>
      <c r="F14">
        <v>14</v>
      </c>
      <c r="G14">
        <v>27580</v>
      </c>
      <c r="H14">
        <v>10</v>
      </c>
      <c r="I14">
        <v>45</v>
      </c>
      <c r="J14">
        <v>3</v>
      </c>
      <c r="K14">
        <v>89</v>
      </c>
      <c r="L14" t="s">
        <v>26</v>
      </c>
    </row>
    <row r="15" spans="1:12" x14ac:dyDescent="0.25">
      <c r="A15" t="s">
        <v>46</v>
      </c>
      <c r="B15" t="s">
        <v>45</v>
      </c>
      <c r="C15" t="s">
        <v>29</v>
      </c>
      <c r="D15">
        <v>32</v>
      </c>
      <c r="E15" t="s">
        <v>15</v>
      </c>
      <c r="F15">
        <v>7</v>
      </c>
      <c r="G15">
        <v>45630</v>
      </c>
      <c r="H15">
        <v>13</v>
      </c>
      <c r="I15">
        <v>49</v>
      </c>
      <c r="J15">
        <v>5</v>
      </c>
      <c r="K15">
        <v>90</v>
      </c>
      <c r="L15" t="s">
        <v>26</v>
      </c>
    </row>
    <row r="16" spans="1:12" x14ac:dyDescent="0.25">
      <c r="A16" t="s">
        <v>47</v>
      </c>
      <c r="B16" t="s">
        <v>13</v>
      </c>
      <c r="C16" t="s">
        <v>25</v>
      </c>
      <c r="D16">
        <v>28</v>
      </c>
      <c r="E16" t="s">
        <v>19</v>
      </c>
      <c r="F16">
        <v>1</v>
      </c>
      <c r="G16">
        <v>64938</v>
      </c>
      <c r="H16">
        <v>15</v>
      </c>
      <c r="I16">
        <v>37</v>
      </c>
      <c r="J16">
        <v>2</v>
      </c>
      <c r="K16">
        <v>96</v>
      </c>
      <c r="L16" t="s">
        <v>32</v>
      </c>
    </row>
    <row r="17" spans="1:12" x14ac:dyDescent="0.25">
      <c r="A17" t="s">
        <v>48</v>
      </c>
      <c r="B17" t="s">
        <v>43</v>
      </c>
      <c r="C17" t="s">
        <v>25</v>
      </c>
      <c r="D17">
        <v>32</v>
      </c>
      <c r="E17" t="s">
        <v>19</v>
      </c>
      <c r="F17">
        <v>2</v>
      </c>
      <c r="G17">
        <v>34237</v>
      </c>
      <c r="H17">
        <v>9</v>
      </c>
      <c r="I17">
        <v>45</v>
      </c>
      <c r="J17">
        <v>4</v>
      </c>
      <c r="K17">
        <v>99</v>
      </c>
      <c r="L17" t="s">
        <v>26</v>
      </c>
    </row>
    <row r="18" spans="1:12" x14ac:dyDescent="0.25">
      <c r="A18" t="s">
        <v>49</v>
      </c>
      <c r="B18" t="s">
        <v>34</v>
      </c>
      <c r="C18" t="s">
        <v>22</v>
      </c>
      <c r="D18">
        <v>28</v>
      </c>
      <c r="E18" t="s">
        <v>15</v>
      </c>
      <c r="F18">
        <v>13</v>
      </c>
      <c r="G18">
        <v>39892</v>
      </c>
      <c r="H18">
        <v>6</v>
      </c>
      <c r="I18">
        <v>44</v>
      </c>
      <c r="J18">
        <v>3</v>
      </c>
      <c r="K18">
        <v>92</v>
      </c>
      <c r="L18" t="s">
        <v>32</v>
      </c>
    </row>
    <row r="19" spans="1:12" x14ac:dyDescent="0.25">
      <c r="A19" t="s">
        <v>50</v>
      </c>
      <c r="B19" t="s">
        <v>45</v>
      </c>
      <c r="C19" t="s">
        <v>29</v>
      </c>
      <c r="D19">
        <v>32</v>
      </c>
      <c r="E19" t="s">
        <v>15</v>
      </c>
      <c r="F19">
        <v>4</v>
      </c>
      <c r="G19">
        <v>73646</v>
      </c>
      <c r="H19">
        <v>11</v>
      </c>
      <c r="I19">
        <v>50</v>
      </c>
      <c r="J19">
        <v>2</v>
      </c>
      <c r="K19">
        <v>94</v>
      </c>
      <c r="L19" t="s">
        <v>51</v>
      </c>
    </row>
    <row r="20" spans="1:12" x14ac:dyDescent="0.25">
      <c r="A20" t="s">
        <v>52</v>
      </c>
      <c r="B20" t="s">
        <v>53</v>
      </c>
      <c r="C20" t="s">
        <v>29</v>
      </c>
      <c r="D20">
        <v>39</v>
      </c>
      <c r="E20" t="s">
        <v>15</v>
      </c>
      <c r="F20">
        <v>3</v>
      </c>
      <c r="G20">
        <v>39183</v>
      </c>
      <c r="H20">
        <v>13</v>
      </c>
      <c r="I20">
        <v>40</v>
      </c>
      <c r="J20">
        <v>1</v>
      </c>
      <c r="K20">
        <v>91</v>
      </c>
      <c r="L20" t="s">
        <v>51</v>
      </c>
    </row>
    <row r="21" spans="1:12" x14ac:dyDescent="0.25">
      <c r="A21" t="s">
        <v>54</v>
      </c>
      <c r="B21" t="s">
        <v>45</v>
      </c>
      <c r="C21" t="s">
        <v>14</v>
      </c>
      <c r="D21">
        <v>27</v>
      </c>
      <c r="E21" t="s">
        <v>15</v>
      </c>
      <c r="F21">
        <v>8</v>
      </c>
      <c r="G21">
        <v>72406</v>
      </c>
      <c r="H21">
        <v>14</v>
      </c>
      <c r="I21">
        <v>35</v>
      </c>
      <c r="J21">
        <v>5</v>
      </c>
      <c r="K21">
        <v>85</v>
      </c>
      <c r="L21" t="s">
        <v>51</v>
      </c>
    </row>
    <row r="22" spans="1:12" x14ac:dyDescent="0.25">
      <c r="A22" t="s">
        <v>55</v>
      </c>
      <c r="B22" t="s">
        <v>18</v>
      </c>
      <c r="C22" t="s">
        <v>22</v>
      </c>
      <c r="D22">
        <v>36</v>
      </c>
      <c r="E22" t="s">
        <v>15</v>
      </c>
      <c r="F22">
        <v>15</v>
      </c>
      <c r="G22">
        <v>72897</v>
      </c>
      <c r="H22">
        <v>5</v>
      </c>
      <c r="I22">
        <v>40</v>
      </c>
      <c r="J22">
        <v>3</v>
      </c>
      <c r="K22">
        <v>90</v>
      </c>
      <c r="L22" t="s">
        <v>32</v>
      </c>
    </row>
    <row r="23" spans="1:12" x14ac:dyDescent="0.25">
      <c r="A23" t="s">
        <v>56</v>
      </c>
      <c r="B23" t="s">
        <v>21</v>
      </c>
      <c r="C23" t="s">
        <v>22</v>
      </c>
      <c r="D23">
        <v>26</v>
      </c>
      <c r="E23" t="s">
        <v>19</v>
      </c>
      <c r="F23">
        <v>2</v>
      </c>
      <c r="G23">
        <v>49942</v>
      </c>
      <c r="H23">
        <v>5</v>
      </c>
      <c r="I23">
        <v>36</v>
      </c>
      <c r="J23">
        <v>3</v>
      </c>
      <c r="K23">
        <v>94</v>
      </c>
      <c r="L23" t="s">
        <v>32</v>
      </c>
    </row>
    <row r="24" spans="1:12" x14ac:dyDescent="0.25">
      <c r="A24" t="s">
        <v>57</v>
      </c>
      <c r="B24" t="s">
        <v>31</v>
      </c>
      <c r="C24" t="s">
        <v>29</v>
      </c>
      <c r="D24">
        <v>28</v>
      </c>
      <c r="E24" t="s">
        <v>19</v>
      </c>
      <c r="F24">
        <v>7</v>
      </c>
      <c r="G24">
        <v>30889</v>
      </c>
      <c r="H24">
        <v>3</v>
      </c>
      <c r="I24">
        <v>42</v>
      </c>
      <c r="J24">
        <v>3</v>
      </c>
      <c r="K24">
        <v>99</v>
      </c>
      <c r="L24" t="s">
        <v>23</v>
      </c>
    </row>
    <row r="25" spans="1:12" x14ac:dyDescent="0.25">
      <c r="A25" t="s">
        <v>58</v>
      </c>
      <c r="B25" t="s">
        <v>36</v>
      </c>
      <c r="C25" t="s">
        <v>22</v>
      </c>
      <c r="D25">
        <v>35</v>
      </c>
      <c r="E25" t="s">
        <v>15</v>
      </c>
      <c r="F25">
        <v>3</v>
      </c>
      <c r="G25">
        <v>27284</v>
      </c>
      <c r="H25">
        <v>13</v>
      </c>
      <c r="I25">
        <v>45</v>
      </c>
      <c r="J25">
        <v>3</v>
      </c>
      <c r="K25">
        <v>94</v>
      </c>
      <c r="L25" t="s">
        <v>32</v>
      </c>
    </row>
    <row r="26" spans="1:12" x14ac:dyDescent="0.25">
      <c r="A26" t="s">
        <v>59</v>
      </c>
      <c r="B26" t="s">
        <v>28</v>
      </c>
      <c r="C26" t="s">
        <v>22</v>
      </c>
      <c r="D26">
        <v>27</v>
      </c>
      <c r="E26" t="s">
        <v>19</v>
      </c>
      <c r="F26">
        <v>1</v>
      </c>
      <c r="G26">
        <v>27633</v>
      </c>
      <c r="H26">
        <v>4</v>
      </c>
      <c r="I26">
        <v>39</v>
      </c>
      <c r="J26">
        <v>3</v>
      </c>
      <c r="K26">
        <v>91</v>
      </c>
      <c r="L26" t="s">
        <v>37</v>
      </c>
    </row>
    <row r="27" spans="1:12" x14ac:dyDescent="0.25">
      <c r="A27" t="s">
        <v>60</v>
      </c>
      <c r="B27" t="s">
        <v>21</v>
      </c>
      <c r="C27" t="s">
        <v>29</v>
      </c>
      <c r="D27">
        <v>27</v>
      </c>
      <c r="E27" t="s">
        <v>15</v>
      </c>
      <c r="F27">
        <v>6</v>
      </c>
      <c r="G27">
        <v>76824</v>
      </c>
      <c r="H27">
        <v>6</v>
      </c>
      <c r="I27">
        <v>42</v>
      </c>
      <c r="J27">
        <v>5</v>
      </c>
      <c r="K27">
        <v>85</v>
      </c>
      <c r="L27" t="s">
        <v>16</v>
      </c>
    </row>
    <row r="28" spans="1:12" x14ac:dyDescent="0.25">
      <c r="A28" t="s">
        <v>61</v>
      </c>
      <c r="B28" t="s">
        <v>53</v>
      </c>
      <c r="C28" t="s">
        <v>29</v>
      </c>
      <c r="D28">
        <v>28</v>
      </c>
      <c r="E28" t="s">
        <v>19</v>
      </c>
      <c r="F28">
        <v>5</v>
      </c>
      <c r="G28">
        <v>43536</v>
      </c>
      <c r="H28">
        <v>11</v>
      </c>
      <c r="I28">
        <v>40</v>
      </c>
      <c r="J28">
        <v>1</v>
      </c>
      <c r="K28">
        <v>90</v>
      </c>
      <c r="L28" t="s">
        <v>32</v>
      </c>
    </row>
    <row r="29" spans="1:12" x14ac:dyDescent="0.25">
      <c r="A29" t="s">
        <v>62</v>
      </c>
      <c r="B29" t="s">
        <v>63</v>
      </c>
      <c r="C29" t="s">
        <v>25</v>
      </c>
      <c r="D29">
        <v>37</v>
      </c>
      <c r="E29" t="s">
        <v>19</v>
      </c>
      <c r="F29">
        <v>15</v>
      </c>
      <c r="G29">
        <v>36027</v>
      </c>
      <c r="H29">
        <v>10</v>
      </c>
      <c r="I29">
        <v>43</v>
      </c>
      <c r="J29">
        <v>3</v>
      </c>
      <c r="K29">
        <v>92</v>
      </c>
      <c r="L29" t="s">
        <v>37</v>
      </c>
    </row>
    <row r="30" spans="1:12" x14ac:dyDescent="0.25">
      <c r="A30" t="s">
        <v>64</v>
      </c>
      <c r="B30" t="s">
        <v>65</v>
      </c>
      <c r="C30" t="s">
        <v>22</v>
      </c>
      <c r="D30">
        <v>33</v>
      </c>
      <c r="E30" t="s">
        <v>19</v>
      </c>
      <c r="F30">
        <v>5</v>
      </c>
      <c r="G30">
        <v>39879</v>
      </c>
      <c r="H30">
        <v>15</v>
      </c>
      <c r="I30">
        <v>45</v>
      </c>
      <c r="J30">
        <v>4</v>
      </c>
      <c r="K30">
        <v>86</v>
      </c>
      <c r="L30" t="s">
        <v>51</v>
      </c>
    </row>
    <row r="31" spans="1:12" x14ac:dyDescent="0.25">
      <c r="A31" t="s">
        <v>66</v>
      </c>
      <c r="B31" t="s">
        <v>36</v>
      </c>
      <c r="C31" t="s">
        <v>25</v>
      </c>
      <c r="D31">
        <v>34</v>
      </c>
      <c r="E31" t="s">
        <v>19</v>
      </c>
      <c r="F31">
        <v>15</v>
      </c>
      <c r="G31">
        <v>62356</v>
      </c>
      <c r="H31">
        <v>5</v>
      </c>
      <c r="I31">
        <v>46</v>
      </c>
      <c r="J31">
        <v>2</v>
      </c>
      <c r="K31">
        <v>97</v>
      </c>
      <c r="L31" t="s">
        <v>23</v>
      </c>
    </row>
    <row r="32" spans="1:12" x14ac:dyDescent="0.25">
      <c r="A32" t="s">
        <v>67</v>
      </c>
      <c r="B32" t="s">
        <v>65</v>
      </c>
      <c r="C32" t="s">
        <v>25</v>
      </c>
      <c r="D32">
        <v>35</v>
      </c>
      <c r="E32" t="s">
        <v>15</v>
      </c>
      <c r="F32">
        <v>3</v>
      </c>
      <c r="G32">
        <v>72178</v>
      </c>
      <c r="H32">
        <v>14</v>
      </c>
      <c r="I32">
        <v>44</v>
      </c>
      <c r="J32">
        <v>2</v>
      </c>
      <c r="K32">
        <v>93</v>
      </c>
      <c r="L32" t="s">
        <v>16</v>
      </c>
    </row>
    <row r="33" spans="1:12" x14ac:dyDescent="0.25">
      <c r="A33" t="s">
        <v>68</v>
      </c>
      <c r="B33" t="s">
        <v>65</v>
      </c>
      <c r="C33" t="s">
        <v>14</v>
      </c>
      <c r="D33">
        <v>35</v>
      </c>
      <c r="E33" t="s">
        <v>15</v>
      </c>
      <c r="F33">
        <v>1</v>
      </c>
      <c r="G33">
        <v>44658</v>
      </c>
      <c r="H33">
        <v>6</v>
      </c>
      <c r="I33">
        <v>40</v>
      </c>
      <c r="J33">
        <v>3</v>
      </c>
      <c r="K33">
        <v>88</v>
      </c>
      <c r="L33" t="s">
        <v>51</v>
      </c>
    </row>
    <row r="34" spans="1:12" x14ac:dyDescent="0.25">
      <c r="A34" t="s">
        <v>69</v>
      </c>
      <c r="B34" t="s">
        <v>70</v>
      </c>
      <c r="C34" t="s">
        <v>14</v>
      </c>
      <c r="D34">
        <v>36</v>
      </c>
      <c r="E34" t="s">
        <v>19</v>
      </c>
      <c r="F34">
        <v>6</v>
      </c>
      <c r="G34">
        <v>42013</v>
      </c>
      <c r="H34">
        <v>12</v>
      </c>
      <c r="I34">
        <v>40</v>
      </c>
      <c r="J34">
        <v>1</v>
      </c>
      <c r="K34">
        <v>85</v>
      </c>
      <c r="L34" t="s">
        <v>16</v>
      </c>
    </row>
    <row r="35" spans="1:12" x14ac:dyDescent="0.25">
      <c r="A35" t="s">
        <v>71</v>
      </c>
      <c r="B35" t="s">
        <v>70</v>
      </c>
      <c r="C35" t="s">
        <v>14</v>
      </c>
      <c r="D35">
        <v>32</v>
      </c>
      <c r="E35" t="s">
        <v>15</v>
      </c>
      <c r="F35">
        <v>3</v>
      </c>
      <c r="G35">
        <v>65611</v>
      </c>
      <c r="H35">
        <v>4</v>
      </c>
      <c r="I35">
        <v>38</v>
      </c>
      <c r="J35">
        <v>4</v>
      </c>
      <c r="K35">
        <v>94</v>
      </c>
      <c r="L35" t="s">
        <v>51</v>
      </c>
    </row>
    <row r="36" spans="1:12" x14ac:dyDescent="0.25">
      <c r="A36" t="s">
        <v>72</v>
      </c>
      <c r="B36" t="s">
        <v>34</v>
      </c>
      <c r="C36" t="s">
        <v>25</v>
      </c>
      <c r="D36">
        <v>31</v>
      </c>
      <c r="E36" t="s">
        <v>15</v>
      </c>
      <c r="F36">
        <v>12</v>
      </c>
      <c r="G36">
        <v>67540</v>
      </c>
      <c r="H36">
        <v>3</v>
      </c>
      <c r="I36">
        <v>36</v>
      </c>
      <c r="J36">
        <v>2</v>
      </c>
      <c r="K36">
        <v>100</v>
      </c>
      <c r="L36" t="s">
        <v>37</v>
      </c>
    </row>
    <row r="37" spans="1:12" x14ac:dyDescent="0.25">
      <c r="A37" t="s">
        <v>73</v>
      </c>
      <c r="B37" t="s">
        <v>31</v>
      </c>
      <c r="C37" t="s">
        <v>22</v>
      </c>
      <c r="D37">
        <v>26</v>
      </c>
      <c r="E37" t="s">
        <v>19</v>
      </c>
      <c r="F37">
        <v>2</v>
      </c>
      <c r="G37">
        <v>76768</v>
      </c>
      <c r="H37">
        <v>11</v>
      </c>
      <c r="I37">
        <v>47</v>
      </c>
      <c r="J37">
        <v>4</v>
      </c>
      <c r="K37">
        <v>92</v>
      </c>
      <c r="L37" t="s">
        <v>16</v>
      </c>
    </row>
    <row r="38" spans="1:12" x14ac:dyDescent="0.25">
      <c r="A38" t="s">
        <v>74</v>
      </c>
      <c r="B38" t="s">
        <v>75</v>
      </c>
      <c r="C38" t="s">
        <v>25</v>
      </c>
      <c r="D38">
        <v>26</v>
      </c>
      <c r="E38" t="s">
        <v>19</v>
      </c>
      <c r="F38">
        <v>13</v>
      </c>
      <c r="G38">
        <v>39844</v>
      </c>
      <c r="H38">
        <v>13</v>
      </c>
      <c r="I38">
        <v>40</v>
      </c>
      <c r="J38">
        <v>5</v>
      </c>
      <c r="K38">
        <v>98</v>
      </c>
      <c r="L38" t="s">
        <v>16</v>
      </c>
    </row>
    <row r="39" spans="1:12" x14ac:dyDescent="0.25">
      <c r="A39" t="s">
        <v>76</v>
      </c>
      <c r="B39" t="s">
        <v>77</v>
      </c>
      <c r="C39" t="s">
        <v>29</v>
      </c>
      <c r="D39">
        <v>39</v>
      </c>
      <c r="E39" t="s">
        <v>19</v>
      </c>
      <c r="F39">
        <v>8</v>
      </c>
      <c r="G39">
        <v>71215</v>
      </c>
      <c r="H39">
        <v>7</v>
      </c>
      <c r="I39">
        <v>41</v>
      </c>
      <c r="J39">
        <v>4</v>
      </c>
      <c r="K39">
        <v>86</v>
      </c>
      <c r="L39" t="s">
        <v>23</v>
      </c>
    </row>
    <row r="40" spans="1:12" x14ac:dyDescent="0.25">
      <c r="A40" t="s">
        <v>78</v>
      </c>
      <c r="B40" t="s">
        <v>34</v>
      </c>
      <c r="C40" t="s">
        <v>22</v>
      </c>
      <c r="D40">
        <v>37</v>
      </c>
      <c r="E40" t="s">
        <v>15</v>
      </c>
      <c r="F40">
        <v>13</v>
      </c>
      <c r="G40">
        <v>75113</v>
      </c>
      <c r="H40">
        <v>6</v>
      </c>
      <c r="I40">
        <v>43</v>
      </c>
      <c r="J40">
        <v>4</v>
      </c>
      <c r="K40">
        <v>97</v>
      </c>
      <c r="L40" t="s">
        <v>37</v>
      </c>
    </row>
    <row r="41" spans="1:12" x14ac:dyDescent="0.25">
      <c r="A41" t="s">
        <v>79</v>
      </c>
      <c r="B41" t="s">
        <v>40</v>
      </c>
      <c r="C41" t="s">
        <v>14</v>
      </c>
      <c r="D41">
        <v>40</v>
      </c>
      <c r="E41" t="s">
        <v>15</v>
      </c>
      <c r="F41">
        <v>9</v>
      </c>
      <c r="G41">
        <v>75874</v>
      </c>
      <c r="H41">
        <v>13</v>
      </c>
      <c r="I41">
        <v>35</v>
      </c>
      <c r="J41">
        <v>4</v>
      </c>
      <c r="K41">
        <v>97</v>
      </c>
      <c r="L41" t="s">
        <v>37</v>
      </c>
    </row>
    <row r="42" spans="1:12" x14ac:dyDescent="0.25">
      <c r="A42" t="s">
        <v>80</v>
      </c>
      <c r="B42" t="s">
        <v>81</v>
      </c>
      <c r="C42" t="s">
        <v>25</v>
      </c>
      <c r="D42">
        <v>29</v>
      </c>
      <c r="E42" t="s">
        <v>19</v>
      </c>
      <c r="F42">
        <v>6</v>
      </c>
      <c r="G42">
        <v>44595</v>
      </c>
      <c r="H42">
        <v>15</v>
      </c>
      <c r="I42">
        <v>48</v>
      </c>
      <c r="J42">
        <v>1</v>
      </c>
      <c r="K42">
        <v>94</v>
      </c>
      <c r="L42" t="s">
        <v>23</v>
      </c>
    </row>
    <row r="43" spans="1:12" x14ac:dyDescent="0.25">
      <c r="A43" t="s">
        <v>82</v>
      </c>
      <c r="B43" t="s">
        <v>83</v>
      </c>
      <c r="C43" t="s">
        <v>29</v>
      </c>
      <c r="D43">
        <v>33</v>
      </c>
      <c r="E43" t="s">
        <v>19</v>
      </c>
      <c r="F43">
        <v>3</v>
      </c>
      <c r="G43">
        <v>79872</v>
      </c>
      <c r="H43">
        <v>13</v>
      </c>
      <c r="I43">
        <v>47</v>
      </c>
      <c r="J43">
        <v>3</v>
      </c>
      <c r="K43">
        <v>95</v>
      </c>
      <c r="L43" t="s">
        <v>37</v>
      </c>
    </row>
    <row r="44" spans="1:12" x14ac:dyDescent="0.25">
      <c r="A44" t="s">
        <v>84</v>
      </c>
      <c r="B44" t="s">
        <v>13</v>
      </c>
      <c r="C44" t="s">
        <v>29</v>
      </c>
      <c r="D44">
        <v>23</v>
      </c>
      <c r="E44" t="s">
        <v>19</v>
      </c>
      <c r="F44">
        <v>12</v>
      </c>
      <c r="G44">
        <v>27282</v>
      </c>
      <c r="H44">
        <v>11</v>
      </c>
      <c r="I44">
        <v>36</v>
      </c>
      <c r="J44">
        <v>1</v>
      </c>
      <c r="K44">
        <v>90</v>
      </c>
      <c r="L44" t="s">
        <v>32</v>
      </c>
    </row>
    <row r="45" spans="1:12" x14ac:dyDescent="0.25">
      <c r="A45" t="s">
        <v>85</v>
      </c>
      <c r="B45" t="s">
        <v>43</v>
      </c>
      <c r="C45" t="s">
        <v>14</v>
      </c>
      <c r="D45">
        <v>31</v>
      </c>
      <c r="E45" t="s">
        <v>15</v>
      </c>
      <c r="F45">
        <v>6</v>
      </c>
      <c r="G45">
        <v>33715</v>
      </c>
      <c r="H45">
        <v>10</v>
      </c>
      <c r="I45">
        <v>48</v>
      </c>
      <c r="J45">
        <v>3</v>
      </c>
      <c r="K45">
        <v>88</v>
      </c>
      <c r="L45" t="s">
        <v>16</v>
      </c>
    </row>
    <row r="46" spans="1:12" x14ac:dyDescent="0.25">
      <c r="A46" t="s">
        <v>86</v>
      </c>
      <c r="B46" t="s">
        <v>53</v>
      </c>
      <c r="C46" t="s">
        <v>14</v>
      </c>
      <c r="D46">
        <v>36</v>
      </c>
      <c r="E46" t="s">
        <v>19</v>
      </c>
      <c r="F46">
        <v>15</v>
      </c>
      <c r="G46">
        <v>55514</v>
      </c>
      <c r="H46">
        <v>3</v>
      </c>
      <c r="I46">
        <v>38</v>
      </c>
      <c r="J46">
        <v>3</v>
      </c>
      <c r="K46">
        <v>100</v>
      </c>
      <c r="L46" t="s">
        <v>16</v>
      </c>
    </row>
    <row r="47" spans="1:12" x14ac:dyDescent="0.25">
      <c r="A47" t="s">
        <v>87</v>
      </c>
      <c r="B47" t="s">
        <v>81</v>
      </c>
      <c r="C47" t="s">
        <v>29</v>
      </c>
      <c r="D47">
        <v>26</v>
      </c>
      <c r="E47" t="s">
        <v>19</v>
      </c>
      <c r="F47">
        <v>13</v>
      </c>
      <c r="G47">
        <v>79834</v>
      </c>
      <c r="H47">
        <v>4</v>
      </c>
      <c r="I47">
        <v>37</v>
      </c>
      <c r="J47">
        <v>1</v>
      </c>
      <c r="K47">
        <v>87</v>
      </c>
      <c r="L47" t="s">
        <v>26</v>
      </c>
    </row>
    <row r="48" spans="1:12" x14ac:dyDescent="0.25">
      <c r="A48" t="s">
        <v>88</v>
      </c>
      <c r="B48" t="s">
        <v>89</v>
      </c>
      <c r="C48" t="s">
        <v>29</v>
      </c>
      <c r="D48">
        <v>31</v>
      </c>
      <c r="E48" t="s">
        <v>19</v>
      </c>
      <c r="F48">
        <v>2</v>
      </c>
      <c r="G48">
        <v>41462</v>
      </c>
      <c r="H48">
        <v>13</v>
      </c>
      <c r="I48">
        <v>49</v>
      </c>
      <c r="J48">
        <v>3</v>
      </c>
      <c r="K48">
        <v>89</v>
      </c>
      <c r="L48" t="s">
        <v>16</v>
      </c>
    </row>
    <row r="49" spans="1:12" x14ac:dyDescent="0.25">
      <c r="A49" t="s">
        <v>90</v>
      </c>
      <c r="B49" t="s">
        <v>70</v>
      </c>
      <c r="C49" t="s">
        <v>22</v>
      </c>
      <c r="D49">
        <v>38</v>
      </c>
      <c r="E49" t="s">
        <v>19</v>
      </c>
      <c r="F49">
        <v>13</v>
      </c>
      <c r="G49">
        <v>55439</v>
      </c>
      <c r="H49">
        <v>6</v>
      </c>
      <c r="I49">
        <v>44</v>
      </c>
      <c r="J49">
        <v>5</v>
      </c>
      <c r="K49">
        <v>98</v>
      </c>
      <c r="L49" t="s">
        <v>26</v>
      </c>
    </row>
    <row r="50" spans="1:12" x14ac:dyDescent="0.25">
      <c r="A50" t="s">
        <v>91</v>
      </c>
      <c r="B50" t="s">
        <v>31</v>
      </c>
      <c r="C50" t="s">
        <v>25</v>
      </c>
      <c r="D50">
        <v>31</v>
      </c>
      <c r="E50" t="s">
        <v>15</v>
      </c>
      <c r="F50">
        <v>15</v>
      </c>
      <c r="G50">
        <v>52538</v>
      </c>
      <c r="H50">
        <v>6</v>
      </c>
      <c r="I50">
        <v>42</v>
      </c>
      <c r="J50">
        <v>5</v>
      </c>
      <c r="K50">
        <v>86</v>
      </c>
      <c r="L50" t="s">
        <v>51</v>
      </c>
    </row>
    <row r="51" spans="1:12" x14ac:dyDescent="0.25">
      <c r="A51" t="s">
        <v>92</v>
      </c>
      <c r="B51" t="s">
        <v>63</v>
      </c>
      <c r="C51" t="s">
        <v>22</v>
      </c>
      <c r="D51">
        <v>32</v>
      </c>
      <c r="E51" t="s">
        <v>15</v>
      </c>
      <c r="F51">
        <v>15</v>
      </c>
      <c r="G51">
        <v>40726</v>
      </c>
      <c r="H51">
        <v>10</v>
      </c>
      <c r="I51">
        <v>39</v>
      </c>
      <c r="J51">
        <v>5</v>
      </c>
      <c r="K51">
        <v>96</v>
      </c>
      <c r="L51" t="s">
        <v>16</v>
      </c>
    </row>
    <row r="52" spans="1:12" x14ac:dyDescent="0.25">
      <c r="A52" t="s">
        <v>93</v>
      </c>
      <c r="B52" t="s">
        <v>94</v>
      </c>
      <c r="C52" t="s">
        <v>29</v>
      </c>
      <c r="D52">
        <v>26</v>
      </c>
      <c r="E52" t="s">
        <v>19</v>
      </c>
      <c r="F52">
        <v>5</v>
      </c>
      <c r="G52">
        <v>60301</v>
      </c>
      <c r="H52">
        <v>12</v>
      </c>
      <c r="I52">
        <v>36</v>
      </c>
      <c r="J52">
        <v>5</v>
      </c>
      <c r="K52">
        <v>94</v>
      </c>
      <c r="L52" t="s">
        <v>26</v>
      </c>
    </row>
    <row r="53" spans="1:12" x14ac:dyDescent="0.25">
      <c r="A53" t="s">
        <v>95</v>
      </c>
      <c r="B53" t="s">
        <v>89</v>
      </c>
      <c r="C53" t="s">
        <v>14</v>
      </c>
      <c r="D53">
        <v>31</v>
      </c>
      <c r="E53" t="s">
        <v>15</v>
      </c>
      <c r="F53">
        <v>13</v>
      </c>
      <c r="G53">
        <v>49757</v>
      </c>
      <c r="H53">
        <v>9</v>
      </c>
      <c r="I53">
        <v>47</v>
      </c>
      <c r="J53">
        <v>2</v>
      </c>
      <c r="K53">
        <v>87</v>
      </c>
      <c r="L53" t="s">
        <v>32</v>
      </c>
    </row>
    <row r="54" spans="1:12" x14ac:dyDescent="0.25">
      <c r="A54" t="s">
        <v>96</v>
      </c>
      <c r="B54" t="s">
        <v>63</v>
      </c>
      <c r="C54" t="s">
        <v>14</v>
      </c>
      <c r="D54">
        <v>39</v>
      </c>
      <c r="E54" t="s">
        <v>15</v>
      </c>
      <c r="F54">
        <v>3</v>
      </c>
      <c r="G54">
        <v>37378</v>
      </c>
      <c r="H54">
        <v>7</v>
      </c>
      <c r="I54">
        <v>37</v>
      </c>
      <c r="J54">
        <v>1</v>
      </c>
      <c r="K54">
        <v>94</v>
      </c>
      <c r="L54" t="s">
        <v>16</v>
      </c>
    </row>
    <row r="55" spans="1:12" x14ac:dyDescent="0.25">
      <c r="A55" t="s">
        <v>97</v>
      </c>
      <c r="B55" t="s">
        <v>77</v>
      </c>
      <c r="C55" t="s">
        <v>29</v>
      </c>
      <c r="D55">
        <v>24</v>
      </c>
      <c r="E55" t="s">
        <v>19</v>
      </c>
      <c r="F55">
        <v>4</v>
      </c>
      <c r="G55">
        <v>33955</v>
      </c>
      <c r="H55">
        <v>14</v>
      </c>
      <c r="I55">
        <v>35</v>
      </c>
      <c r="J55">
        <v>2</v>
      </c>
      <c r="K55">
        <v>99</v>
      </c>
      <c r="L55" t="s">
        <v>37</v>
      </c>
    </row>
    <row r="56" spans="1:12" x14ac:dyDescent="0.25">
      <c r="A56" t="s">
        <v>98</v>
      </c>
      <c r="B56" t="s">
        <v>18</v>
      </c>
      <c r="C56" t="s">
        <v>22</v>
      </c>
      <c r="D56">
        <v>36</v>
      </c>
      <c r="E56" t="s">
        <v>15</v>
      </c>
      <c r="F56">
        <v>9</v>
      </c>
      <c r="G56">
        <v>70767</v>
      </c>
      <c r="H56">
        <v>8</v>
      </c>
      <c r="I56">
        <v>44</v>
      </c>
      <c r="J56">
        <v>3</v>
      </c>
      <c r="K56">
        <v>90</v>
      </c>
      <c r="L56" t="s">
        <v>26</v>
      </c>
    </row>
    <row r="57" spans="1:12" x14ac:dyDescent="0.25">
      <c r="A57" t="s">
        <v>99</v>
      </c>
      <c r="B57" t="s">
        <v>53</v>
      </c>
      <c r="C57" t="s">
        <v>22</v>
      </c>
      <c r="D57">
        <v>23</v>
      </c>
      <c r="E57" t="s">
        <v>19</v>
      </c>
      <c r="F57">
        <v>5</v>
      </c>
      <c r="G57">
        <v>53855</v>
      </c>
      <c r="H57">
        <v>10</v>
      </c>
      <c r="I57">
        <v>37</v>
      </c>
      <c r="J57">
        <v>1</v>
      </c>
      <c r="K57">
        <v>88</v>
      </c>
      <c r="L57" t="s">
        <v>23</v>
      </c>
    </row>
    <row r="58" spans="1:12" x14ac:dyDescent="0.25">
      <c r="A58" t="s">
        <v>100</v>
      </c>
      <c r="B58" t="s">
        <v>77</v>
      </c>
      <c r="C58" t="s">
        <v>14</v>
      </c>
      <c r="D58">
        <v>32</v>
      </c>
      <c r="E58" t="s">
        <v>15</v>
      </c>
      <c r="F58">
        <v>14</v>
      </c>
      <c r="G58">
        <v>27584</v>
      </c>
      <c r="H58">
        <v>11</v>
      </c>
      <c r="I58">
        <v>50</v>
      </c>
      <c r="J58">
        <v>4</v>
      </c>
      <c r="K58">
        <v>91</v>
      </c>
      <c r="L58" t="s">
        <v>32</v>
      </c>
    </row>
    <row r="59" spans="1:12" x14ac:dyDescent="0.25">
      <c r="A59" t="s">
        <v>101</v>
      </c>
      <c r="B59" t="s">
        <v>28</v>
      </c>
      <c r="C59" t="s">
        <v>29</v>
      </c>
      <c r="D59">
        <v>25</v>
      </c>
      <c r="E59" t="s">
        <v>19</v>
      </c>
      <c r="F59">
        <v>11</v>
      </c>
      <c r="G59">
        <v>79604</v>
      </c>
      <c r="H59">
        <v>7</v>
      </c>
      <c r="I59">
        <v>37</v>
      </c>
      <c r="J59">
        <v>4</v>
      </c>
      <c r="K59">
        <v>100</v>
      </c>
      <c r="L59" t="s">
        <v>51</v>
      </c>
    </row>
    <row r="60" spans="1:12" x14ac:dyDescent="0.25">
      <c r="A60" t="s">
        <v>102</v>
      </c>
      <c r="B60" t="s">
        <v>94</v>
      </c>
      <c r="C60" t="s">
        <v>22</v>
      </c>
      <c r="D60">
        <v>25</v>
      </c>
      <c r="E60" t="s">
        <v>15</v>
      </c>
      <c r="F60">
        <v>15</v>
      </c>
      <c r="G60">
        <v>28874</v>
      </c>
      <c r="H60">
        <v>13</v>
      </c>
      <c r="I60">
        <v>41</v>
      </c>
      <c r="J60">
        <v>2</v>
      </c>
      <c r="K60">
        <v>95</v>
      </c>
      <c r="L60" t="s">
        <v>37</v>
      </c>
    </row>
    <row r="61" spans="1:12" x14ac:dyDescent="0.25">
      <c r="A61" t="s">
        <v>103</v>
      </c>
      <c r="B61" t="s">
        <v>89</v>
      </c>
      <c r="C61" t="s">
        <v>29</v>
      </c>
      <c r="D61">
        <v>34</v>
      </c>
      <c r="E61" t="s">
        <v>19</v>
      </c>
      <c r="F61">
        <v>1</v>
      </c>
      <c r="G61">
        <v>62090</v>
      </c>
      <c r="H61">
        <v>10</v>
      </c>
      <c r="I61">
        <v>45</v>
      </c>
      <c r="J61">
        <v>4</v>
      </c>
      <c r="K61">
        <v>89</v>
      </c>
      <c r="L61" t="s">
        <v>23</v>
      </c>
    </row>
    <row r="62" spans="1:12" x14ac:dyDescent="0.25">
      <c r="A62" t="s">
        <v>104</v>
      </c>
      <c r="B62" t="s">
        <v>63</v>
      </c>
      <c r="C62" t="s">
        <v>25</v>
      </c>
      <c r="D62">
        <v>29</v>
      </c>
      <c r="E62" t="s">
        <v>15</v>
      </c>
      <c r="F62">
        <v>1</v>
      </c>
      <c r="G62">
        <v>37183</v>
      </c>
      <c r="H62">
        <v>10</v>
      </c>
      <c r="I62">
        <v>37</v>
      </c>
      <c r="J62">
        <v>4</v>
      </c>
      <c r="K62">
        <v>91</v>
      </c>
      <c r="L62" t="s">
        <v>51</v>
      </c>
    </row>
    <row r="63" spans="1:12" x14ac:dyDescent="0.25">
      <c r="A63" t="s">
        <v>105</v>
      </c>
      <c r="B63" t="s">
        <v>13</v>
      </c>
      <c r="C63" t="s">
        <v>14</v>
      </c>
      <c r="D63">
        <v>27</v>
      </c>
      <c r="E63" t="s">
        <v>19</v>
      </c>
      <c r="F63">
        <v>5</v>
      </c>
      <c r="G63">
        <v>56535</v>
      </c>
      <c r="H63">
        <v>5</v>
      </c>
      <c r="I63">
        <v>50</v>
      </c>
      <c r="J63">
        <v>4</v>
      </c>
      <c r="K63">
        <v>95</v>
      </c>
      <c r="L63" t="s">
        <v>26</v>
      </c>
    </row>
    <row r="64" spans="1:12" x14ac:dyDescent="0.25">
      <c r="A64" t="s">
        <v>106</v>
      </c>
      <c r="B64" t="s">
        <v>75</v>
      </c>
      <c r="C64" t="s">
        <v>29</v>
      </c>
      <c r="D64">
        <v>38</v>
      </c>
      <c r="E64" t="s">
        <v>19</v>
      </c>
      <c r="F64">
        <v>3</v>
      </c>
      <c r="G64">
        <v>44152</v>
      </c>
      <c r="H64">
        <v>9</v>
      </c>
      <c r="I64">
        <v>45</v>
      </c>
      <c r="J64">
        <v>2</v>
      </c>
      <c r="K64">
        <v>100</v>
      </c>
      <c r="L64" t="s">
        <v>16</v>
      </c>
    </row>
    <row r="65" spans="1:12" x14ac:dyDescent="0.25">
      <c r="A65" t="s">
        <v>107</v>
      </c>
      <c r="B65" t="s">
        <v>70</v>
      </c>
      <c r="C65" t="s">
        <v>25</v>
      </c>
      <c r="D65">
        <v>28</v>
      </c>
      <c r="E65" t="s">
        <v>19</v>
      </c>
      <c r="F65">
        <v>4</v>
      </c>
      <c r="G65">
        <v>78320</v>
      </c>
      <c r="H65">
        <v>15</v>
      </c>
      <c r="I65">
        <v>45</v>
      </c>
      <c r="J65">
        <v>5</v>
      </c>
      <c r="K65">
        <v>89</v>
      </c>
      <c r="L65" t="s">
        <v>23</v>
      </c>
    </row>
    <row r="66" spans="1:12" x14ac:dyDescent="0.25">
      <c r="A66" t="s">
        <v>108</v>
      </c>
      <c r="B66" t="s">
        <v>63</v>
      </c>
      <c r="C66" t="s">
        <v>14</v>
      </c>
      <c r="D66">
        <v>38</v>
      </c>
      <c r="E66" t="s">
        <v>19</v>
      </c>
      <c r="F66">
        <v>1</v>
      </c>
      <c r="G66">
        <v>76311</v>
      </c>
      <c r="H66">
        <v>4</v>
      </c>
      <c r="I66">
        <v>38</v>
      </c>
      <c r="J66">
        <v>1</v>
      </c>
      <c r="K66">
        <v>93</v>
      </c>
      <c r="L66" t="s">
        <v>23</v>
      </c>
    </row>
    <row r="67" spans="1:12" x14ac:dyDescent="0.25">
      <c r="A67" t="s">
        <v>109</v>
      </c>
      <c r="B67" t="s">
        <v>40</v>
      </c>
      <c r="C67" t="s">
        <v>14</v>
      </c>
      <c r="D67">
        <v>33</v>
      </c>
      <c r="E67" t="s">
        <v>15</v>
      </c>
      <c r="F67">
        <v>2</v>
      </c>
      <c r="G67">
        <v>76765</v>
      </c>
      <c r="H67">
        <v>6</v>
      </c>
      <c r="I67">
        <v>48</v>
      </c>
      <c r="J67">
        <v>5</v>
      </c>
      <c r="K67">
        <v>87</v>
      </c>
      <c r="L67" t="s">
        <v>37</v>
      </c>
    </row>
    <row r="68" spans="1:12" x14ac:dyDescent="0.25">
      <c r="A68" t="s">
        <v>110</v>
      </c>
      <c r="B68" t="s">
        <v>81</v>
      </c>
      <c r="C68" t="s">
        <v>22</v>
      </c>
      <c r="D68">
        <v>34</v>
      </c>
      <c r="E68" t="s">
        <v>15</v>
      </c>
      <c r="F68">
        <v>3</v>
      </c>
      <c r="G68">
        <v>53110</v>
      </c>
      <c r="H68">
        <v>12</v>
      </c>
      <c r="I68">
        <v>49</v>
      </c>
      <c r="J68">
        <v>1</v>
      </c>
      <c r="K68">
        <v>90</v>
      </c>
      <c r="L68" t="s">
        <v>23</v>
      </c>
    </row>
    <row r="69" spans="1:12" x14ac:dyDescent="0.25">
      <c r="A69" t="s">
        <v>111</v>
      </c>
      <c r="B69" t="s">
        <v>77</v>
      </c>
      <c r="C69" t="s">
        <v>22</v>
      </c>
      <c r="D69">
        <v>26</v>
      </c>
      <c r="E69" t="s">
        <v>19</v>
      </c>
      <c r="F69">
        <v>3</v>
      </c>
      <c r="G69">
        <v>60011</v>
      </c>
      <c r="H69">
        <v>15</v>
      </c>
      <c r="I69">
        <v>47</v>
      </c>
      <c r="J69">
        <v>5</v>
      </c>
      <c r="K69">
        <v>100</v>
      </c>
      <c r="L69" t="s">
        <v>51</v>
      </c>
    </row>
    <row r="70" spans="1:12" x14ac:dyDescent="0.25">
      <c r="A70" t="s">
        <v>112</v>
      </c>
      <c r="B70" t="s">
        <v>43</v>
      </c>
      <c r="C70" t="s">
        <v>25</v>
      </c>
      <c r="D70">
        <v>39</v>
      </c>
      <c r="E70" t="s">
        <v>19</v>
      </c>
      <c r="F70">
        <v>6</v>
      </c>
      <c r="G70">
        <v>35241</v>
      </c>
      <c r="H70">
        <v>11</v>
      </c>
      <c r="I70">
        <v>47</v>
      </c>
      <c r="J70">
        <v>3</v>
      </c>
      <c r="K70">
        <v>96</v>
      </c>
      <c r="L70" t="s">
        <v>26</v>
      </c>
    </row>
    <row r="71" spans="1:12" x14ac:dyDescent="0.25">
      <c r="A71" t="s">
        <v>113</v>
      </c>
      <c r="B71" t="s">
        <v>77</v>
      </c>
      <c r="C71" t="s">
        <v>25</v>
      </c>
      <c r="D71">
        <v>35</v>
      </c>
      <c r="E71" t="s">
        <v>19</v>
      </c>
      <c r="F71">
        <v>14</v>
      </c>
      <c r="G71">
        <v>30444</v>
      </c>
      <c r="H71">
        <v>12</v>
      </c>
      <c r="I71">
        <v>45</v>
      </c>
      <c r="J71">
        <v>4</v>
      </c>
      <c r="K71">
        <v>88</v>
      </c>
      <c r="L71" t="s">
        <v>26</v>
      </c>
    </row>
    <row r="72" spans="1:12" x14ac:dyDescent="0.25">
      <c r="A72" t="s">
        <v>114</v>
      </c>
      <c r="B72" t="s">
        <v>31</v>
      </c>
      <c r="C72" t="s">
        <v>14</v>
      </c>
      <c r="D72">
        <v>25</v>
      </c>
      <c r="E72" t="s">
        <v>15</v>
      </c>
      <c r="F72">
        <v>10</v>
      </c>
      <c r="G72">
        <v>34778</v>
      </c>
      <c r="H72">
        <v>12</v>
      </c>
      <c r="I72">
        <v>37</v>
      </c>
      <c r="J72">
        <v>5</v>
      </c>
      <c r="K72">
        <v>92</v>
      </c>
      <c r="L72" t="s">
        <v>37</v>
      </c>
    </row>
    <row r="73" spans="1:12" x14ac:dyDescent="0.25">
      <c r="A73" t="s">
        <v>115</v>
      </c>
      <c r="B73" t="s">
        <v>45</v>
      </c>
      <c r="C73" t="s">
        <v>14</v>
      </c>
      <c r="D73">
        <v>33</v>
      </c>
      <c r="E73" t="s">
        <v>19</v>
      </c>
      <c r="F73">
        <v>8</v>
      </c>
      <c r="G73">
        <v>62295</v>
      </c>
      <c r="H73">
        <v>4</v>
      </c>
      <c r="I73">
        <v>38</v>
      </c>
      <c r="J73">
        <v>5</v>
      </c>
      <c r="K73">
        <v>94</v>
      </c>
      <c r="L73" t="s">
        <v>26</v>
      </c>
    </row>
    <row r="74" spans="1:12" x14ac:dyDescent="0.25">
      <c r="A74" t="s">
        <v>116</v>
      </c>
      <c r="B74" t="s">
        <v>70</v>
      </c>
      <c r="C74" t="s">
        <v>29</v>
      </c>
      <c r="D74">
        <v>38</v>
      </c>
      <c r="E74" t="s">
        <v>19</v>
      </c>
      <c r="F74">
        <v>1</v>
      </c>
      <c r="G74">
        <v>40792</v>
      </c>
      <c r="H74">
        <v>12</v>
      </c>
      <c r="I74">
        <v>47</v>
      </c>
      <c r="J74">
        <v>5</v>
      </c>
      <c r="K74">
        <v>100</v>
      </c>
      <c r="L74" t="s">
        <v>26</v>
      </c>
    </row>
    <row r="75" spans="1:12" x14ac:dyDescent="0.25">
      <c r="A75" t="s">
        <v>117</v>
      </c>
      <c r="B75" t="s">
        <v>40</v>
      </c>
      <c r="C75" t="s">
        <v>25</v>
      </c>
      <c r="D75">
        <v>26</v>
      </c>
      <c r="E75" t="s">
        <v>19</v>
      </c>
      <c r="F75">
        <v>7</v>
      </c>
      <c r="G75">
        <v>63858</v>
      </c>
      <c r="H75">
        <v>6</v>
      </c>
      <c r="I75">
        <v>50</v>
      </c>
      <c r="J75">
        <v>5</v>
      </c>
      <c r="K75">
        <v>92</v>
      </c>
      <c r="L75" t="s">
        <v>51</v>
      </c>
    </row>
    <row r="76" spans="1:12" x14ac:dyDescent="0.25">
      <c r="A76" t="s">
        <v>118</v>
      </c>
      <c r="B76" t="s">
        <v>89</v>
      </c>
      <c r="C76" t="s">
        <v>14</v>
      </c>
      <c r="D76">
        <v>39</v>
      </c>
      <c r="E76" t="s">
        <v>19</v>
      </c>
      <c r="F76">
        <v>15</v>
      </c>
      <c r="G76">
        <v>33769</v>
      </c>
      <c r="H76">
        <v>8</v>
      </c>
      <c r="I76">
        <v>43</v>
      </c>
      <c r="J76">
        <v>3</v>
      </c>
      <c r="K76">
        <v>91</v>
      </c>
      <c r="L76" t="s">
        <v>26</v>
      </c>
    </row>
    <row r="77" spans="1:12" x14ac:dyDescent="0.25">
      <c r="A77" t="s">
        <v>119</v>
      </c>
      <c r="B77" t="s">
        <v>13</v>
      </c>
      <c r="C77" t="s">
        <v>22</v>
      </c>
      <c r="D77">
        <v>38</v>
      </c>
      <c r="E77" t="s">
        <v>15</v>
      </c>
      <c r="F77">
        <v>10</v>
      </c>
      <c r="G77">
        <v>48173</v>
      </c>
      <c r="H77">
        <v>8</v>
      </c>
      <c r="I77">
        <v>35</v>
      </c>
      <c r="J77">
        <v>4</v>
      </c>
      <c r="K77">
        <v>91</v>
      </c>
      <c r="L77" t="s">
        <v>26</v>
      </c>
    </row>
    <row r="78" spans="1:12" x14ac:dyDescent="0.25">
      <c r="A78" t="s">
        <v>120</v>
      </c>
      <c r="B78" t="s">
        <v>89</v>
      </c>
      <c r="C78" t="s">
        <v>22</v>
      </c>
      <c r="D78">
        <v>33</v>
      </c>
      <c r="E78" t="s">
        <v>15</v>
      </c>
      <c r="F78">
        <v>3</v>
      </c>
      <c r="G78">
        <v>41031</v>
      </c>
      <c r="H78">
        <v>14</v>
      </c>
      <c r="I78">
        <v>35</v>
      </c>
      <c r="J78">
        <v>5</v>
      </c>
      <c r="K78">
        <v>97</v>
      </c>
      <c r="L78" t="s">
        <v>32</v>
      </c>
    </row>
    <row r="79" spans="1:12" x14ac:dyDescent="0.25">
      <c r="A79" t="s">
        <v>121</v>
      </c>
      <c r="B79" t="s">
        <v>94</v>
      </c>
      <c r="C79" t="s">
        <v>14</v>
      </c>
      <c r="D79">
        <v>22</v>
      </c>
      <c r="E79" t="s">
        <v>19</v>
      </c>
      <c r="F79">
        <v>12</v>
      </c>
      <c r="G79">
        <v>43521</v>
      </c>
      <c r="H79">
        <v>6</v>
      </c>
      <c r="I79">
        <v>38</v>
      </c>
      <c r="J79">
        <v>3</v>
      </c>
      <c r="K79">
        <v>89</v>
      </c>
      <c r="L79" t="s">
        <v>32</v>
      </c>
    </row>
    <row r="80" spans="1:12" x14ac:dyDescent="0.25">
      <c r="A80" t="s">
        <v>122</v>
      </c>
      <c r="B80" t="s">
        <v>43</v>
      </c>
      <c r="C80" t="s">
        <v>25</v>
      </c>
      <c r="D80">
        <v>22</v>
      </c>
      <c r="E80" t="s">
        <v>19</v>
      </c>
      <c r="F80">
        <v>8</v>
      </c>
      <c r="G80">
        <v>31915</v>
      </c>
      <c r="H80">
        <v>6</v>
      </c>
      <c r="I80">
        <v>42</v>
      </c>
      <c r="J80">
        <v>1</v>
      </c>
      <c r="K80">
        <v>93</v>
      </c>
      <c r="L80" t="s">
        <v>51</v>
      </c>
    </row>
    <row r="81" spans="1:12" x14ac:dyDescent="0.25">
      <c r="A81" t="s">
        <v>123</v>
      </c>
      <c r="B81" t="s">
        <v>77</v>
      </c>
      <c r="C81" t="s">
        <v>22</v>
      </c>
      <c r="D81">
        <v>27</v>
      </c>
      <c r="E81" t="s">
        <v>15</v>
      </c>
      <c r="F81">
        <v>6</v>
      </c>
      <c r="G81">
        <v>25042</v>
      </c>
      <c r="H81">
        <v>14</v>
      </c>
      <c r="I81">
        <v>45</v>
      </c>
      <c r="J81">
        <v>5</v>
      </c>
      <c r="K81">
        <v>93</v>
      </c>
      <c r="L81" t="s">
        <v>37</v>
      </c>
    </row>
    <row r="82" spans="1:12" x14ac:dyDescent="0.25">
      <c r="A82" t="s">
        <v>124</v>
      </c>
      <c r="B82" t="s">
        <v>77</v>
      </c>
      <c r="C82" t="s">
        <v>25</v>
      </c>
      <c r="D82">
        <v>33</v>
      </c>
      <c r="E82" t="s">
        <v>15</v>
      </c>
      <c r="F82">
        <v>11</v>
      </c>
      <c r="G82">
        <v>42168</v>
      </c>
      <c r="H82">
        <v>5</v>
      </c>
      <c r="I82">
        <v>50</v>
      </c>
      <c r="J82">
        <v>1</v>
      </c>
      <c r="K82">
        <v>97</v>
      </c>
      <c r="L82" t="s">
        <v>16</v>
      </c>
    </row>
    <row r="83" spans="1:12" x14ac:dyDescent="0.25">
      <c r="A83" t="s">
        <v>125</v>
      </c>
      <c r="B83" t="s">
        <v>53</v>
      </c>
      <c r="C83" t="s">
        <v>22</v>
      </c>
      <c r="D83">
        <v>30</v>
      </c>
      <c r="E83" t="s">
        <v>19</v>
      </c>
      <c r="F83">
        <v>10</v>
      </c>
      <c r="G83">
        <v>73986</v>
      </c>
      <c r="H83">
        <v>11</v>
      </c>
      <c r="I83">
        <v>49</v>
      </c>
      <c r="J83">
        <v>5</v>
      </c>
      <c r="K83">
        <v>97</v>
      </c>
      <c r="L83" t="s">
        <v>32</v>
      </c>
    </row>
    <row r="84" spans="1:12" x14ac:dyDescent="0.25">
      <c r="A84" t="s">
        <v>126</v>
      </c>
      <c r="B84" t="s">
        <v>81</v>
      </c>
      <c r="C84" t="s">
        <v>29</v>
      </c>
      <c r="D84">
        <v>36</v>
      </c>
      <c r="E84" t="s">
        <v>19</v>
      </c>
      <c r="F84">
        <v>2</v>
      </c>
      <c r="G84">
        <v>34409</v>
      </c>
      <c r="H84">
        <v>14</v>
      </c>
      <c r="I84">
        <v>36</v>
      </c>
      <c r="J84">
        <v>3</v>
      </c>
      <c r="K84">
        <v>100</v>
      </c>
      <c r="L84" t="s">
        <v>26</v>
      </c>
    </row>
    <row r="85" spans="1:12" x14ac:dyDescent="0.25">
      <c r="A85" t="s">
        <v>127</v>
      </c>
      <c r="B85" t="s">
        <v>81</v>
      </c>
      <c r="C85" t="s">
        <v>25</v>
      </c>
      <c r="D85">
        <v>28</v>
      </c>
      <c r="E85" t="s">
        <v>19</v>
      </c>
      <c r="F85">
        <v>3</v>
      </c>
      <c r="G85">
        <v>40095</v>
      </c>
      <c r="H85">
        <v>15</v>
      </c>
      <c r="I85">
        <v>48</v>
      </c>
      <c r="J85">
        <v>4</v>
      </c>
      <c r="K85">
        <v>85</v>
      </c>
      <c r="L85" t="s">
        <v>32</v>
      </c>
    </row>
    <row r="86" spans="1:12" x14ac:dyDescent="0.25">
      <c r="A86" t="s">
        <v>128</v>
      </c>
      <c r="B86" t="s">
        <v>63</v>
      </c>
      <c r="C86" t="s">
        <v>22</v>
      </c>
      <c r="D86">
        <v>22</v>
      </c>
      <c r="E86" t="s">
        <v>19</v>
      </c>
      <c r="F86">
        <v>12</v>
      </c>
      <c r="G86">
        <v>36015</v>
      </c>
      <c r="H86">
        <v>8</v>
      </c>
      <c r="I86">
        <v>44</v>
      </c>
      <c r="J86">
        <v>5</v>
      </c>
      <c r="K86">
        <v>99</v>
      </c>
      <c r="L86" t="s">
        <v>23</v>
      </c>
    </row>
    <row r="87" spans="1:12" x14ac:dyDescent="0.25">
      <c r="A87" t="s">
        <v>129</v>
      </c>
      <c r="B87" t="s">
        <v>70</v>
      </c>
      <c r="C87" t="s">
        <v>14</v>
      </c>
      <c r="D87">
        <v>32</v>
      </c>
      <c r="E87" t="s">
        <v>15</v>
      </c>
      <c r="F87">
        <v>10</v>
      </c>
      <c r="G87">
        <v>74010</v>
      </c>
      <c r="H87">
        <v>9</v>
      </c>
      <c r="I87">
        <v>41</v>
      </c>
      <c r="J87">
        <v>5</v>
      </c>
      <c r="K87">
        <v>88</v>
      </c>
      <c r="L87" t="s">
        <v>51</v>
      </c>
    </row>
    <row r="88" spans="1:12" x14ac:dyDescent="0.25">
      <c r="A88" t="s">
        <v>130</v>
      </c>
      <c r="B88" t="s">
        <v>75</v>
      </c>
      <c r="C88" t="s">
        <v>14</v>
      </c>
      <c r="D88">
        <v>27</v>
      </c>
      <c r="E88" t="s">
        <v>19</v>
      </c>
      <c r="F88">
        <v>3</v>
      </c>
      <c r="G88">
        <v>31087</v>
      </c>
      <c r="H88">
        <v>6</v>
      </c>
      <c r="I88">
        <v>47</v>
      </c>
      <c r="J88">
        <v>4</v>
      </c>
      <c r="K88">
        <v>85</v>
      </c>
      <c r="L88" t="s">
        <v>32</v>
      </c>
    </row>
    <row r="89" spans="1:12" x14ac:dyDescent="0.25">
      <c r="A89" t="s">
        <v>131</v>
      </c>
      <c r="B89" t="s">
        <v>63</v>
      </c>
      <c r="C89" t="s">
        <v>22</v>
      </c>
      <c r="D89">
        <v>39</v>
      </c>
      <c r="E89" t="s">
        <v>15</v>
      </c>
      <c r="F89">
        <v>1</v>
      </c>
      <c r="G89">
        <v>53482</v>
      </c>
      <c r="H89">
        <v>5</v>
      </c>
      <c r="I89">
        <v>42</v>
      </c>
      <c r="J89">
        <v>4</v>
      </c>
      <c r="K89">
        <v>92</v>
      </c>
      <c r="L89" t="s">
        <v>23</v>
      </c>
    </row>
    <row r="90" spans="1:12" x14ac:dyDescent="0.25">
      <c r="A90" t="s">
        <v>132</v>
      </c>
      <c r="B90" t="s">
        <v>63</v>
      </c>
      <c r="C90" t="s">
        <v>22</v>
      </c>
      <c r="D90">
        <v>40</v>
      </c>
      <c r="E90" t="s">
        <v>15</v>
      </c>
      <c r="F90">
        <v>14</v>
      </c>
      <c r="G90">
        <v>33562</v>
      </c>
      <c r="H90">
        <v>14</v>
      </c>
      <c r="I90">
        <v>48</v>
      </c>
      <c r="J90">
        <v>1</v>
      </c>
      <c r="K90">
        <v>95</v>
      </c>
      <c r="L90" t="s">
        <v>51</v>
      </c>
    </row>
    <row r="91" spans="1:12" x14ac:dyDescent="0.25">
      <c r="A91" t="s">
        <v>133</v>
      </c>
      <c r="B91" t="s">
        <v>21</v>
      </c>
      <c r="C91" t="s">
        <v>29</v>
      </c>
      <c r="D91">
        <v>25</v>
      </c>
      <c r="E91" t="s">
        <v>19</v>
      </c>
      <c r="F91">
        <v>9</v>
      </c>
      <c r="G91">
        <v>40531</v>
      </c>
      <c r="H91">
        <v>6</v>
      </c>
      <c r="I91">
        <v>45</v>
      </c>
      <c r="J91">
        <v>3</v>
      </c>
      <c r="K91">
        <v>86</v>
      </c>
      <c r="L91" t="s">
        <v>23</v>
      </c>
    </row>
    <row r="92" spans="1:12" x14ac:dyDescent="0.25">
      <c r="A92" t="s">
        <v>134</v>
      </c>
      <c r="B92" t="s">
        <v>18</v>
      </c>
      <c r="C92" t="s">
        <v>14</v>
      </c>
      <c r="D92">
        <v>40</v>
      </c>
      <c r="E92" t="s">
        <v>19</v>
      </c>
      <c r="F92">
        <v>1</v>
      </c>
      <c r="G92">
        <v>29211</v>
      </c>
      <c r="H92">
        <v>6</v>
      </c>
      <c r="I92">
        <v>36</v>
      </c>
      <c r="J92">
        <v>3</v>
      </c>
      <c r="K92">
        <v>93</v>
      </c>
      <c r="L92" t="s">
        <v>37</v>
      </c>
    </row>
    <row r="93" spans="1:12" x14ac:dyDescent="0.25">
      <c r="A93" t="s">
        <v>135</v>
      </c>
      <c r="B93" t="s">
        <v>28</v>
      </c>
      <c r="C93" t="s">
        <v>14</v>
      </c>
      <c r="D93">
        <v>36</v>
      </c>
      <c r="E93" t="s">
        <v>15</v>
      </c>
      <c r="F93">
        <v>5</v>
      </c>
      <c r="G93">
        <v>28253</v>
      </c>
      <c r="H93">
        <v>8</v>
      </c>
      <c r="I93">
        <v>46</v>
      </c>
      <c r="J93">
        <v>3</v>
      </c>
      <c r="K93">
        <v>94</v>
      </c>
      <c r="L93" t="s">
        <v>23</v>
      </c>
    </row>
    <row r="94" spans="1:12" x14ac:dyDescent="0.25">
      <c r="A94" t="s">
        <v>136</v>
      </c>
      <c r="B94" t="s">
        <v>94</v>
      </c>
      <c r="C94" t="s">
        <v>29</v>
      </c>
      <c r="D94">
        <v>40</v>
      </c>
      <c r="E94" t="s">
        <v>15</v>
      </c>
      <c r="F94">
        <v>3</v>
      </c>
      <c r="G94">
        <v>32379</v>
      </c>
      <c r="H94">
        <v>5</v>
      </c>
      <c r="I94">
        <v>48</v>
      </c>
      <c r="J94">
        <v>2</v>
      </c>
      <c r="K94">
        <v>97</v>
      </c>
      <c r="L94" t="s">
        <v>51</v>
      </c>
    </row>
    <row r="95" spans="1:12" x14ac:dyDescent="0.25">
      <c r="A95" t="s">
        <v>137</v>
      </c>
      <c r="B95" t="s">
        <v>70</v>
      </c>
      <c r="C95" t="s">
        <v>22</v>
      </c>
      <c r="D95">
        <v>32</v>
      </c>
      <c r="E95" t="s">
        <v>19</v>
      </c>
      <c r="F95">
        <v>13</v>
      </c>
      <c r="G95">
        <v>65786</v>
      </c>
      <c r="H95">
        <v>3</v>
      </c>
      <c r="I95">
        <v>41</v>
      </c>
      <c r="J95">
        <v>5</v>
      </c>
      <c r="K95">
        <v>99</v>
      </c>
      <c r="L95" t="s">
        <v>16</v>
      </c>
    </row>
    <row r="96" spans="1:12" x14ac:dyDescent="0.25">
      <c r="A96" t="s">
        <v>138</v>
      </c>
      <c r="B96" t="s">
        <v>70</v>
      </c>
      <c r="C96" t="s">
        <v>22</v>
      </c>
      <c r="D96">
        <v>26</v>
      </c>
      <c r="E96" t="s">
        <v>19</v>
      </c>
      <c r="F96">
        <v>7</v>
      </c>
      <c r="G96">
        <v>41578</v>
      </c>
      <c r="H96">
        <v>3</v>
      </c>
      <c r="I96">
        <v>47</v>
      </c>
      <c r="J96">
        <v>5</v>
      </c>
      <c r="K96">
        <v>88</v>
      </c>
      <c r="L96" t="s">
        <v>23</v>
      </c>
    </row>
    <row r="97" spans="1:12" x14ac:dyDescent="0.25">
      <c r="A97" t="s">
        <v>139</v>
      </c>
      <c r="B97" t="s">
        <v>40</v>
      </c>
      <c r="C97" t="s">
        <v>14</v>
      </c>
      <c r="D97">
        <v>23</v>
      </c>
      <c r="E97" t="s">
        <v>19</v>
      </c>
      <c r="F97">
        <v>6</v>
      </c>
      <c r="G97">
        <v>67517</v>
      </c>
      <c r="H97">
        <v>12</v>
      </c>
      <c r="I97">
        <v>37</v>
      </c>
      <c r="J97">
        <v>3</v>
      </c>
      <c r="K97">
        <v>87</v>
      </c>
      <c r="L97" t="s">
        <v>23</v>
      </c>
    </row>
    <row r="98" spans="1:12" x14ac:dyDescent="0.25">
      <c r="A98" t="s">
        <v>140</v>
      </c>
      <c r="B98" t="s">
        <v>31</v>
      </c>
      <c r="C98" t="s">
        <v>25</v>
      </c>
      <c r="D98">
        <v>27</v>
      </c>
      <c r="E98" t="s">
        <v>19</v>
      </c>
      <c r="F98">
        <v>12</v>
      </c>
      <c r="G98">
        <v>36903</v>
      </c>
      <c r="H98">
        <v>8</v>
      </c>
      <c r="I98">
        <v>44</v>
      </c>
      <c r="J98">
        <v>3</v>
      </c>
      <c r="K98">
        <v>99</v>
      </c>
      <c r="L98" t="s">
        <v>37</v>
      </c>
    </row>
    <row r="99" spans="1:12" x14ac:dyDescent="0.25">
      <c r="A99" t="s">
        <v>141</v>
      </c>
      <c r="B99" t="s">
        <v>89</v>
      </c>
      <c r="C99" t="s">
        <v>22</v>
      </c>
      <c r="D99">
        <v>39</v>
      </c>
      <c r="E99" t="s">
        <v>15</v>
      </c>
      <c r="F99">
        <v>6</v>
      </c>
      <c r="G99">
        <v>58953</v>
      </c>
      <c r="H99">
        <v>5</v>
      </c>
      <c r="I99">
        <v>43</v>
      </c>
      <c r="J99">
        <v>2</v>
      </c>
      <c r="K99">
        <v>97</v>
      </c>
      <c r="L99" t="s">
        <v>51</v>
      </c>
    </row>
    <row r="100" spans="1:12" x14ac:dyDescent="0.25">
      <c r="A100" t="s">
        <v>142</v>
      </c>
      <c r="B100" t="s">
        <v>21</v>
      </c>
      <c r="C100" t="s">
        <v>29</v>
      </c>
      <c r="D100">
        <v>28</v>
      </c>
      <c r="E100" t="s">
        <v>15</v>
      </c>
      <c r="F100">
        <v>9</v>
      </c>
      <c r="G100">
        <v>30446</v>
      </c>
      <c r="H100">
        <v>15</v>
      </c>
      <c r="I100">
        <v>43</v>
      </c>
      <c r="J100">
        <v>1</v>
      </c>
      <c r="K100">
        <v>87</v>
      </c>
      <c r="L100" t="s">
        <v>32</v>
      </c>
    </row>
    <row r="101" spans="1:12" x14ac:dyDescent="0.25">
      <c r="A101" t="s">
        <v>143</v>
      </c>
      <c r="B101" t="s">
        <v>28</v>
      </c>
      <c r="C101" t="s">
        <v>14</v>
      </c>
      <c r="D101">
        <v>33</v>
      </c>
      <c r="E101" t="s">
        <v>19</v>
      </c>
      <c r="F101">
        <v>3</v>
      </c>
      <c r="G101">
        <v>50280</v>
      </c>
      <c r="H101">
        <v>8</v>
      </c>
      <c r="I101">
        <v>43</v>
      </c>
      <c r="J101">
        <v>2</v>
      </c>
      <c r="K101">
        <v>96</v>
      </c>
      <c r="L101" t="s">
        <v>51</v>
      </c>
    </row>
    <row r="102" spans="1:12" x14ac:dyDescent="0.25">
      <c r="A102" t="s">
        <v>144</v>
      </c>
      <c r="B102" t="s">
        <v>31</v>
      </c>
      <c r="C102" t="s">
        <v>22</v>
      </c>
      <c r="D102">
        <v>24</v>
      </c>
      <c r="E102" t="s">
        <v>19</v>
      </c>
      <c r="F102">
        <v>3</v>
      </c>
      <c r="G102">
        <v>46748</v>
      </c>
      <c r="H102">
        <v>14</v>
      </c>
      <c r="I102">
        <v>38</v>
      </c>
      <c r="J102">
        <v>1</v>
      </c>
      <c r="K102">
        <v>89</v>
      </c>
      <c r="L102" t="s">
        <v>26</v>
      </c>
    </row>
    <row r="103" spans="1:12" x14ac:dyDescent="0.25">
      <c r="A103" t="s">
        <v>145</v>
      </c>
      <c r="B103" t="s">
        <v>83</v>
      </c>
      <c r="C103" t="s">
        <v>25</v>
      </c>
      <c r="D103">
        <v>37</v>
      </c>
      <c r="E103" t="s">
        <v>19</v>
      </c>
      <c r="F103">
        <v>9</v>
      </c>
      <c r="G103">
        <v>58112</v>
      </c>
      <c r="H103">
        <v>14</v>
      </c>
      <c r="I103">
        <v>45</v>
      </c>
      <c r="J103">
        <v>1</v>
      </c>
      <c r="K103">
        <v>90</v>
      </c>
      <c r="L103" t="s">
        <v>32</v>
      </c>
    </row>
    <row r="104" spans="1:12" x14ac:dyDescent="0.25">
      <c r="A104" t="s">
        <v>146</v>
      </c>
      <c r="B104" t="s">
        <v>75</v>
      </c>
      <c r="C104" t="s">
        <v>22</v>
      </c>
      <c r="D104">
        <v>35</v>
      </c>
      <c r="E104" t="s">
        <v>15</v>
      </c>
      <c r="F104">
        <v>14</v>
      </c>
      <c r="G104">
        <v>34750</v>
      </c>
      <c r="H104">
        <v>15</v>
      </c>
      <c r="I104">
        <v>45</v>
      </c>
      <c r="J104">
        <v>1</v>
      </c>
      <c r="K104">
        <v>97</v>
      </c>
      <c r="L104" t="s">
        <v>37</v>
      </c>
    </row>
    <row r="105" spans="1:12" x14ac:dyDescent="0.25">
      <c r="A105" t="s">
        <v>147</v>
      </c>
      <c r="B105" t="s">
        <v>75</v>
      </c>
      <c r="C105" t="s">
        <v>22</v>
      </c>
      <c r="D105">
        <v>26</v>
      </c>
      <c r="E105" t="s">
        <v>19</v>
      </c>
      <c r="F105">
        <v>7</v>
      </c>
      <c r="G105">
        <v>51259</v>
      </c>
      <c r="H105">
        <v>6</v>
      </c>
      <c r="I105">
        <v>45</v>
      </c>
      <c r="J105">
        <v>5</v>
      </c>
      <c r="K105">
        <v>91</v>
      </c>
      <c r="L105" t="s">
        <v>32</v>
      </c>
    </row>
    <row r="106" spans="1:12" x14ac:dyDescent="0.25">
      <c r="A106" t="s">
        <v>148</v>
      </c>
      <c r="B106" t="s">
        <v>28</v>
      </c>
      <c r="C106" t="s">
        <v>25</v>
      </c>
      <c r="D106">
        <v>27</v>
      </c>
      <c r="E106" t="s">
        <v>15</v>
      </c>
      <c r="F106">
        <v>15</v>
      </c>
      <c r="G106">
        <v>68675</v>
      </c>
      <c r="H106">
        <v>7</v>
      </c>
      <c r="I106">
        <v>48</v>
      </c>
      <c r="J106">
        <v>3</v>
      </c>
      <c r="K106">
        <v>90</v>
      </c>
      <c r="L106" t="s">
        <v>16</v>
      </c>
    </row>
    <row r="107" spans="1:12" x14ac:dyDescent="0.25">
      <c r="A107" t="s">
        <v>149</v>
      </c>
      <c r="B107" t="s">
        <v>53</v>
      </c>
      <c r="C107" t="s">
        <v>22</v>
      </c>
      <c r="D107">
        <v>38</v>
      </c>
      <c r="E107" t="s">
        <v>19</v>
      </c>
      <c r="F107">
        <v>1</v>
      </c>
      <c r="G107">
        <v>41203</v>
      </c>
      <c r="H107">
        <v>9</v>
      </c>
      <c r="I107">
        <v>49</v>
      </c>
      <c r="J107">
        <v>5</v>
      </c>
      <c r="K107">
        <v>90</v>
      </c>
      <c r="L107" t="s">
        <v>23</v>
      </c>
    </row>
    <row r="108" spans="1:12" x14ac:dyDescent="0.25">
      <c r="A108" t="s">
        <v>150</v>
      </c>
      <c r="B108" t="s">
        <v>34</v>
      </c>
      <c r="C108" t="s">
        <v>14</v>
      </c>
      <c r="D108">
        <v>29</v>
      </c>
      <c r="E108" t="s">
        <v>15</v>
      </c>
      <c r="F108">
        <v>15</v>
      </c>
      <c r="G108">
        <v>61847</v>
      </c>
      <c r="H108">
        <v>7</v>
      </c>
      <c r="I108">
        <v>37</v>
      </c>
      <c r="J108">
        <v>1</v>
      </c>
      <c r="K108">
        <v>88</v>
      </c>
      <c r="L108" t="s">
        <v>51</v>
      </c>
    </row>
    <row r="109" spans="1:12" x14ac:dyDescent="0.25">
      <c r="A109" t="s">
        <v>151</v>
      </c>
      <c r="B109" t="s">
        <v>40</v>
      </c>
      <c r="C109" t="s">
        <v>14</v>
      </c>
      <c r="D109">
        <v>28</v>
      </c>
      <c r="E109" t="s">
        <v>19</v>
      </c>
      <c r="F109">
        <v>7</v>
      </c>
      <c r="G109">
        <v>27755</v>
      </c>
      <c r="H109">
        <v>4</v>
      </c>
      <c r="I109">
        <v>46</v>
      </c>
      <c r="J109">
        <v>4</v>
      </c>
      <c r="K109">
        <v>97</v>
      </c>
      <c r="L109" t="s">
        <v>37</v>
      </c>
    </row>
    <row r="110" spans="1:12" x14ac:dyDescent="0.25">
      <c r="A110" t="s">
        <v>152</v>
      </c>
      <c r="B110" t="s">
        <v>83</v>
      </c>
      <c r="C110" t="s">
        <v>25</v>
      </c>
      <c r="D110">
        <v>35</v>
      </c>
      <c r="E110" t="s">
        <v>19</v>
      </c>
      <c r="F110">
        <v>10</v>
      </c>
      <c r="G110">
        <v>57547</v>
      </c>
      <c r="H110">
        <v>8</v>
      </c>
      <c r="I110">
        <v>37</v>
      </c>
      <c r="J110">
        <v>5</v>
      </c>
      <c r="K110">
        <v>97</v>
      </c>
      <c r="L110" t="s">
        <v>26</v>
      </c>
    </row>
    <row r="111" spans="1:12" x14ac:dyDescent="0.25">
      <c r="A111" t="s">
        <v>153</v>
      </c>
      <c r="B111" t="s">
        <v>75</v>
      </c>
      <c r="C111" t="s">
        <v>14</v>
      </c>
      <c r="D111">
        <v>24</v>
      </c>
      <c r="E111" t="s">
        <v>15</v>
      </c>
      <c r="F111">
        <v>5</v>
      </c>
      <c r="G111">
        <v>50265</v>
      </c>
      <c r="H111">
        <v>9</v>
      </c>
      <c r="I111">
        <v>46</v>
      </c>
      <c r="J111">
        <v>5</v>
      </c>
      <c r="K111">
        <v>93</v>
      </c>
      <c r="L111" t="s">
        <v>51</v>
      </c>
    </row>
    <row r="112" spans="1:12" x14ac:dyDescent="0.25">
      <c r="A112" t="s">
        <v>154</v>
      </c>
      <c r="B112" t="s">
        <v>63</v>
      </c>
      <c r="C112" t="s">
        <v>29</v>
      </c>
      <c r="D112">
        <v>32</v>
      </c>
      <c r="E112" t="s">
        <v>15</v>
      </c>
      <c r="F112">
        <v>10</v>
      </c>
      <c r="G112">
        <v>55119</v>
      </c>
      <c r="H112">
        <v>6</v>
      </c>
      <c r="I112">
        <v>45</v>
      </c>
      <c r="J112">
        <v>3</v>
      </c>
      <c r="K112">
        <v>99</v>
      </c>
      <c r="L112" t="s">
        <v>32</v>
      </c>
    </row>
    <row r="113" spans="1:12" x14ac:dyDescent="0.25">
      <c r="A113" t="s">
        <v>155</v>
      </c>
      <c r="B113" t="s">
        <v>34</v>
      </c>
      <c r="C113" t="s">
        <v>29</v>
      </c>
      <c r="D113">
        <v>24</v>
      </c>
      <c r="E113" t="s">
        <v>15</v>
      </c>
      <c r="F113">
        <v>13</v>
      </c>
      <c r="G113">
        <v>28984</v>
      </c>
      <c r="H113">
        <v>7</v>
      </c>
      <c r="I113">
        <v>43</v>
      </c>
      <c r="J113">
        <v>4</v>
      </c>
      <c r="K113">
        <v>94</v>
      </c>
      <c r="L113" t="s">
        <v>37</v>
      </c>
    </row>
    <row r="114" spans="1:12" x14ac:dyDescent="0.25">
      <c r="A114" t="s">
        <v>156</v>
      </c>
      <c r="B114" t="s">
        <v>83</v>
      </c>
      <c r="C114" t="s">
        <v>14</v>
      </c>
      <c r="D114">
        <v>27</v>
      </c>
      <c r="E114" t="s">
        <v>15</v>
      </c>
      <c r="F114">
        <v>9</v>
      </c>
      <c r="G114">
        <v>45828</v>
      </c>
      <c r="H114">
        <v>9</v>
      </c>
      <c r="I114">
        <v>47</v>
      </c>
      <c r="J114">
        <v>4</v>
      </c>
      <c r="K114">
        <v>89</v>
      </c>
      <c r="L114" t="s">
        <v>32</v>
      </c>
    </row>
    <row r="115" spans="1:12" x14ac:dyDescent="0.25">
      <c r="A115" t="s">
        <v>157</v>
      </c>
      <c r="B115" t="s">
        <v>34</v>
      </c>
      <c r="C115" t="s">
        <v>22</v>
      </c>
      <c r="D115">
        <v>31</v>
      </c>
      <c r="E115" t="s">
        <v>19</v>
      </c>
      <c r="F115">
        <v>1</v>
      </c>
      <c r="G115">
        <v>69780</v>
      </c>
      <c r="H115">
        <v>5</v>
      </c>
      <c r="I115">
        <v>43</v>
      </c>
      <c r="J115">
        <v>4</v>
      </c>
      <c r="K115">
        <v>96</v>
      </c>
      <c r="L115" t="s">
        <v>32</v>
      </c>
    </row>
    <row r="116" spans="1:12" x14ac:dyDescent="0.25">
      <c r="A116" t="s">
        <v>158</v>
      </c>
      <c r="B116" t="s">
        <v>65</v>
      </c>
      <c r="C116" t="s">
        <v>29</v>
      </c>
      <c r="D116">
        <v>25</v>
      </c>
      <c r="E116" t="s">
        <v>19</v>
      </c>
      <c r="F116">
        <v>2</v>
      </c>
      <c r="G116">
        <v>42355</v>
      </c>
      <c r="H116">
        <v>14</v>
      </c>
      <c r="I116">
        <v>49</v>
      </c>
      <c r="J116">
        <v>2</v>
      </c>
      <c r="K116">
        <v>100</v>
      </c>
      <c r="L116" t="s">
        <v>16</v>
      </c>
    </row>
    <row r="117" spans="1:12" x14ac:dyDescent="0.25">
      <c r="A117" t="s">
        <v>159</v>
      </c>
      <c r="B117" t="s">
        <v>43</v>
      </c>
      <c r="C117" t="s">
        <v>22</v>
      </c>
      <c r="D117">
        <v>29</v>
      </c>
      <c r="E117" t="s">
        <v>15</v>
      </c>
      <c r="F117">
        <v>5</v>
      </c>
      <c r="G117">
        <v>63398</v>
      </c>
      <c r="H117">
        <v>10</v>
      </c>
      <c r="I117">
        <v>37</v>
      </c>
      <c r="J117">
        <v>3</v>
      </c>
      <c r="K117">
        <v>87</v>
      </c>
      <c r="L117" t="s">
        <v>32</v>
      </c>
    </row>
    <row r="118" spans="1:12" x14ac:dyDescent="0.25">
      <c r="A118" t="s">
        <v>160</v>
      </c>
      <c r="B118" t="s">
        <v>21</v>
      </c>
      <c r="C118" t="s">
        <v>14</v>
      </c>
      <c r="D118">
        <v>38</v>
      </c>
      <c r="E118" t="s">
        <v>15</v>
      </c>
      <c r="F118">
        <v>6</v>
      </c>
      <c r="G118">
        <v>78173</v>
      </c>
      <c r="H118">
        <v>7</v>
      </c>
      <c r="I118">
        <v>44</v>
      </c>
      <c r="J118">
        <v>4</v>
      </c>
      <c r="K118">
        <v>98</v>
      </c>
      <c r="L118" t="s">
        <v>51</v>
      </c>
    </row>
    <row r="119" spans="1:12" x14ac:dyDescent="0.25">
      <c r="A119" t="s">
        <v>161</v>
      </c>
      <c r="B119" t="s">
        <v>65</v>
      </c>
      <c r="C119" t="s">
        <v>22</v>
      </c>
      <c r="D119">
        <v>22</v>
      </c>
      <c r="E119" t="s">
        <v>19</v>
      </c>
      <c r="F119">
        <v>4</v>
      </c>
      <c r="G119">
        <v>47715</v>
      </c>
      <c r="H119">
        <v>5</v>
      </c>
      <c r="I119">
        <v>45</v>
      </c>
      <c r="J119">
        <v>3</v>
      </c>
      <c r="K119">
        <v>96</v>
      </c>
      <c r="L119" t="s">
        <v>51</v>
      </c>
    </row>
    <row r="120" spans="1:12" x14ac:dyDescent="0.25">
      <c r="A120" t="s">
        <v>162</v>
      </c>
      <c r="B120" t="s">
        <v>81</v>
      </c>
      <c r="C120" t="s">
        <v>25</v>
      </c>
      <c r="D120">
        <v>31</v>
      </c>
      <c r="E120" t="s">
        <v>15</v>
      </c>
      <c r="F120">
        <v>2</v>
      </c>
      <c r="G120">
        <v>43221</v>
      </c>
      <c r="H120">
        <v>5</v>
      </c>
      <c r="I120">
        <v>50</v>
      </c>
      <c r="J120">
        <v>2</v>
      </c>
      <c r="K120">
        <v>89</v>
      </c>
      <c r="L120" t="s">
        <v>16</v>
      </c>
    </row>
    <row r="121" spans="1:12" x14ac:dyDescent="0.25">
      <c r="A121" t="s">
        <v>163</v>
      </c>
      <c r="B121" t="s">
        <v>81</v>
      </c>
      <c r="C121" t="s">
        <v>25</v>
      </c>
      <c r="D121">
        <v>35</v>
      </c>
      <c r="E121" t="s">
        <v>19</v>
      </c>
      <c r="F121">
        <v>12</v>
      </c>
      <c r="G121">
        <v>77734</v>
      </c>
      <c r="H121">
        <v>8</v>
      </c>
      <c r="I121">
        <v>44</v>
      </c>
      <c r="J121">
        <v>1</v>
      </c>
      <c r="K121">
        <v>86</v>
      </c>
      <c r="L121" t="s">
        <v>37</v>
      </c>
    </row>
    <row r="122" spans="1:12" x14ac:dyDescent="0.25">
      <c r="A122" t="s">
        <v>164</v>
      </c>
      <c r="B122" t="s">
        <v>75</v>
      </c>
      <c r="C122" t="s">
        <v>25</v>
      </c>
      <c r="D122">
        <v>23</v>
      </c>
      <c r="E122" t="s">
        <v>15</v>
      </c>
      <c r="F122">
        <v>4</v>
      </c>
      <c r="G122">
        <v>33910</v>
      </c>
      <c r="H122">
        <v>12</v>
      </c>
      <c r="I122">
        <v>36</v>
      </c>
      <c r="J122">
        <v>5</v>
      </c>
      <c r="K122">
        <v>91</v>
      </c>
      <c r="L122" t="s">
        <v>16</v>
      </c>
    </row>
    <row r="123" spans="1:12" x14ac:dyDescent="0.25">
      <c r="A123" t="s">
        <v>165</v>
      </c>
      <c r="B123" t="s">
        <v>43</v>
      </c>
      <c r="C123" t="s">
        <v>29</v>
      </c>
      <c r="D123">
        <v>27</v>
      </c>
      <c r="E123" t="s">
        <v>19</v>
      </c>
      <c r="F123">
        <v>3</v>
      </c>
      <c r="G123">
        <v>40987</v>
      </c>
      <c r="H123">
        <v>10</v>
      </c>
      <c r="I123">
        <v>40</v>
      </c>
      <c r="J123">
        <v>3</v>
      </c>
      <c r="K123">
        <v>87</v>
      </c>
      <c r="L123" t="s">
        <v>16</v>
      </c>
    </row>
    <row r="124" spans="1:12" x14ac:dyDescent="0.25">
      <c r="A124" t="s">
        <v>166</v>
      </c>
      <c r="B124" t="s">
        <v>18</v>
      </c>
      <c r="C124" t="s">
        <v>22</v>
      </c>
      <c r="D124">
        <v>31</v>
      </c>
      <c r="E124" t="s">
        <v>19</v>
      </c>
      <c r="F124">
        <v>9</v>
      </c>
      <c r="G124">
        <v>71640</v>
      </c>
      <c r="H124">
        <v>11</v>
      </c>
      <c r="I124">
        <v>47</v>
      </c>
      <c r="J124">
        <v>3</v>
      </c>
      <c r="K124">
        <v>87</v>
      </c>
      <c r="L124" t="s">
        <v>23</v>
      </c>
    </row>
    <row r="125" spans="1:12" x14ac:dyDescent="0.25">
      <c r="A125" t="s">
        <v>167</v>
      </c>
      <c r="B125" t="s">
        <v>45</v>
      </c>
      <c r="C125" t="s">
        <v>25</v>
      </c>
      <c r="D125">
        <v>34</v>
      </c>
      <c r="E125" t="s">
        <v>19</v>
      </c>
      <c r="F125">
        <v>12</v>
      </c>
      <c r="G125">
        <v>40231</v>
      </c>
      <c r="H125">
        <v>4</v>
      </c>
      <c r="I125">
        <v>46</v>
      </c>
      <c r="J125">
        <v>1</v>
      </c>
      <c r="K125">
        <v>92</v>
      </c>
      <c r="L125" t="s">
        <v>26</v>
      </c>
    </row>
    <row r="126" spans="1:12" x14ac:dyDescent="0.25">
      <c r="A126" t="s">
        <v>168</v>
      </c>
      <c r="B126" t="s">
        <v>77</v>
      </c>
      <c r="C126" t="s">
        <v>29</v>
      </c>
      <c r="D126">
        <v>35</v>
      </c>
      <c r="E126" t="s">
        <v>19</v>
      </c>
      <c r="F126">
        <v>6</v>
      </c>
      <c r="G126">
        <v>65583</v>
      </c>
      <c r="H126">
        <v>4</v>
      </c>
      <c r="I126">
        <v>43</v>
      </c>
      <c r="J126">
        <v>1</v>
      </c>
      <c r="K126">
        <v>87</v>
      </c>
      <c r="L126" t="s">
        <v>32</v>
      </c>
    </row>
    <row r="127" spans="1:12" x14ac:dyDescent="0.25">
      <c r="A127" t="s">
        <v>169</v>
      </c>
      <c r="B127" t="s">
        <v>75</v>
      </c>
      <c r="C127" t="s">
        <v>14</v>
      </c>
      <c r="D127">
        <v>40</v>
      </c>
      <c r="E127" t="s">
        <v>19</v>
      </c>
      <c r="F127">
        <v>15</v>
      </c>
      <c r="G127">
        <v>65839</v>
      </c>
      <c r="H127">
        <v>10</v>
      </c>
      <c r="I127">
        <v>37</v>
      </c>
      <c r="J127">
        <v>1</v>
      </c>
      <c r="K127">
        <v>93</v>
      </c>
      <c r="L127" t="s">
        <v>23</v>
      </c>
    </row>
    <row r="128" spans="1:12" x14ac:dyDescent="0.25">
      <c r="A128" t="s">
        <v>170</v>
      </c>
      <c r="B128" t="s">
        <v>65</v>
      </c>
      <c r="C128" t="s">
        <v>22</v>
      </c>
      <c r="D128">
        <v>34</v>
      </c>
      <c r="E128" t="s">
        <v>15</v>
      </c>
      <c r="F128">
        <v>4</v>
      </c>
      <c r="G128">
        <v>36242</v>
      </c>
      <c r="H128">
        <v>6</v>
      </c>
      <c r="I128">
        <v>39</v>
      </c>
      <c r="J128">
        <v>1</v>
      </c>
      <c r="K128">
        <v>95</v>
      </c>
      <c r="L128" t="s">
        <v>16</v>
      </c>
    </row>
    <row r="129" spans="1:12" x14ac:dyDescent="0.25">
      <c r="A129" t="s">
        <v>171</v>
      </c>
      <c r="B129" t="s">
        <v>40</v>
      </c>
      <c r="C129" t="s">
        <v>29</v>
      </c>
      <c r="D129">
        <v>39</v>
      </c>
      <c r="E129" t="s">
        <v>19</v>
      </c>
      <c r="F129">
        <v>10</v>
      </c>
      <c r="G129">
        <v>50032</v>
      </c>
      <c r="H129">
        <v>14</v>
      </c>
      <c r="I129">
        <v>41</v>
      </c>
      <c r="J129">
        <v>2</v>
      </c>
      <c r="K129">
        <v>88</v>
      </c>
      <c r="L129" t="s">
        <v>26</v>
      </c>
    </row>
    <row r="130" spans="1:12" x14ac:dyDescent="0.25">
      <c r="A130" t="s">
        <v>172</v>
      </c>
      <c r="B130" t="s">
        <v>81</v>
      </c>
      <c r="C130" t="s">
        <v>29</v>
      </c>
      <c r="D130">
        <v>22</v>
      </c>
      <c r="E130" t="s">
        <v>19</v>
      </c>
      <c r="F130">
        <v>12</v>
      </c>
      <c r="G130">
        <v>53454</v>
      </c>
      <c r="H130">
        <v>8</v>
      </c>
      <c r="I130">
        <v>35</v>
      </c>
      <c r="J130">
        <v>3</v>
      </c>
      <c r="K130">
        <v>85</v>
      </c>
      <c r="L130" t="s">
        <v>32</v>
      </c>
    </row>
    <row r="131" spans="1:12" x14ac:dyDescent="0.25">
      <c r="A131" t="s">
        <v>173</v>
      </c>
      <c r="B131" t="s">
        <v>65</v>
      </c>
      <c r="C131" t="s">
        <v>22</v>
      </c>
      <c r="D131">
        <v>39</v>
      </c>
      <c r="E131" t="s">
        <v>15</v>
      </c>
      <c r="F131">
        <v>13</v>
      </c>
      <c r="G131">
        <v>68584</v>
      </c>
      <c r="H131">
        <v>9</v>
      </c>
      <c r="I131">
        <v>50</v>
      </c>
      <c r="J131">
        <v>1</v>
      </c>
      <c r="K131">
        <v>86</v>
      </c>
      <c r="L131" t="s">
        <v>32</v>
      </c>
    </row>
    <row r="132" spans="1:12" x14ac:dyDescent="0.25">
      <c r="A132" t="s">
        <v>174</v>
      </c>
      <c r="B132" t="s">
        <v>34</v>
      </c>
      <c r="C132" t="s">
        <v>25</v>
      </c>
      <c r="D132">
        <v>30</v>
      </c>
      <c r="E132" t="s">
        <v>15</v>
      </c>
      <c r="F132">
        <v>4</v>
      </c>
      <c r="G132">
        <v>74693</v>
      </c>
      <c r="H132">
        <v>3</v>
      </c>
      <c r="I132">
        <v>48</v>
      </c>
      <c r="J132">
        <v>5</v>
      </c>
      <c r="K132">
        <v>95</v>
      </c>
      <c r="L132" t="s">
        <v>23</v>
      </c>
    </row>
    <row r="133" spans="1:12" x14ac:dyDescent="0.25">
      <c r="A133" t="s">
        <v>175</v>
      </c>
      <c r="B133" t="s">
        <v>70</v>
      </c>
      <c r="C133" t="s">
        <v>22</v>
      </c>
      <c r="D133">
        <v>40</v>
      </c>
      <c r="E133" t="s">
        <v>19</v>
      </c>
      <c r="F133">
        <v>15</v>
      </c>
      <c r="G133">
        <v>60169</v>
      </c>
      <c r="H133">
        <v>10</v>
      </c>
      <c r="I133">
        <v>38</v>
      </c>
      <c r="J133">
        <v>3</v>
      </c>
      <c r="K133">
        <v>89</v>
      </c>
      <c r="L133" t="s">
        <v>26</v>
      </c>
    </row>
    <row r="134" spans="1:12" x14ac:dyDescent="0.25">
      <c r="A134" t="s">
        <v>176</v>
      </c>
      <c r="B134" t="s">
        <v>36</v>
      </c>
      <c r="C134" t="s">
        <v>25</v>
      </c>
      <c r="D134">
        <v>24</v>
      </c>
      <c r="E134" t="s">
        <v>15</v>
      </c>
      <c r="F134">
        <v>2</v>
      </c>
      <c r="G134">
        <v>34785</v>
      </c>
      <c r="H134">
        <v>13</v>
      </c>
      <c r="I134">
        <v>38</v>
      </c>
      <c r="J134">
        <v>1</v>
      </c>
      <c r="K134">
        <v>86</v>
      </c>
      <c r="L134" t="s">
        <v>32</v>
      </c>
    </row>
    <row r="135" spans="1:12" x14ac:dyDescent="0.25">
      <c r="A135" t="s">
        <v>177</v>
      </c>
      <c r="B135" t="s">
        <v>36</v>
      </c>
      <c r="C135" t="s">
        <v>25</v>
      </c>
      <c r="D135">
        <v>38</v>
      </c>
      <c r="E135" t="s">
        <v>19</v>
      </c>
      <c r="F135">
        <v>9</v>
      </c>
      <c r="G135">
        <v>28981</v>
      </c>
      <c r="H135">
        <v>6</v>
      </c>
      <c r="I135">
        <v>36</v>
      </c>
      <c r="J135">
        <v>3</v>
      </c>
      <c r="K135">
        <v>98</v>
      </c>
      <c r="L135" t="s">
        <v>32</v>
      </c>
    </row>
    <row r="136" spans="1:12" x14ac:dyDescent="0.25">
      <c r="A136" t="s">
        <v>178</v>
      </c>
      <c r="B136" t="s">
        <v>63</v>
      </c>
      <c r="C136" t="s">
        <v>25</v>
      </c>
      <c r="D136">
        <v>27</v>
      </c>
      <c r="E136" t="s">
        <v>15</v>
      </c>
      <c r="F136">
        <v>5</v>
      </c>
      <c r="G136">
        <v>61779</v>
      </c>
      <c r="H136">
        <v>6</v>
      </c>
      <c r="I136">
        <v>42</v>
      </c>
      <c r="J136">
        <v>2</v>
      </c>
      <c r="K136">
        <v>93</v>
      </c>
      <c r="L136" t="s">
        <v>37</v>
      </c>
    </row>
    <row r="137" spans="1:12" x14ac:dyDescent="0.25">
      <c r="A137" t="s">
        <v>179</v>
      </c>
      <c r="B137" t="s">
        <v>83</v>
      </c>
      <c r="C137" t="s">
        <v>29</v>
      </c>
      <c r="D137">
        <v>39</v>
      </c>
      <c r="E137" t="s">
        <v>19</v>
      </c>
      <c r="F137">
        <v>13</v>
      </c>
      <c r="G137">
        <v>25564</v>
      </c>
      <c r="H137">
        <v>5</v>
      </c>
      <c r="I137">
        <v>46</v>
      </c>
      <c r="J137">
        <v>2</v>
      </c>
      <c r="K137">
        <v>91</v>
      </c>
      <c r="L137" t="s">
        <v>23</v>
      </c>
    </row>
    <row r="138" spans="1:12" x14ac:dyDescent="0.25">
      <c r="A138" t="s">
        <v>180</v>
      </c>
      <c r="B138" t="s">
        <v>21</v>
      </c>
      <c r="C138" t="s">
        <v>25</v>
      </c>
      <c r="D138">
        <v>24</v>
      </c>
      <c r="E138" t="s">
        <v>15</v>
      </c>
      <c r="F138">
        <v>5</v>
      </c>
      <c r="G138">
        <v>37637</v>
      </c>
      <c r="H138">
        <v>4</v>
      </c>
      <c r="I138">
        <v>37</v>
      </c>
      <c r="J138">
        <v>2</v>
      </c>
      <c r="K138">
        <v>88</v>
      </c>
      <c r="L138" t="s">
        <v>23</v>
      </c>
    </row>
    <row r="139" spans="1:12" x14ac:dyDescent="0.25">
      <c r="A139" t="s">
        <v>181</v>
      </c>
      <c r="B139" t="s">
        <v>36</v>
      </c>
      <c r="C139" t="s">
        <v>22</v>
      </c>
      <c r="D139">
        <v>38</v>
      </c>
      <c r="E139" t="s">
        <v>15</v>
      </c>
      <c r="F139">
        <v>6</v>
      </c>
      <c r="G139">
        <v>46749</v>
      </c>
      <c r="H139">
        <v>7</v>
      </c>
      <c r="I139">
        <v>49</v>
      </c>
      <c r="J139">
        <v>1</v>
      </c>
      <c r="K139">
        <v>94</v>
      </c>
      <c r="L139" t="s">
        <v>26</v>
      </c>
    </row>
    <row r="140" spans="1:12" x14ac:dyDescent="0.25">
      <c r="A140" t="s">
        <v>182</v>
      </c>
      <c r="B140" t="s">
        <v>34</v>
      </c>
      <c r="C140" t="s">
        <v>14</v>
      </c>
      <c r="D140">
        <v>27</v>
      </c>
      <c r="E140" t="s">
        <v>19</v>
      </c>
      <c r="F140">
        <v>6</v>
      </c>
      <c r="G140">
        <v>54654</v>
      </c>
      <c r="H140">
        <v>9</v>
      </c>
      <c r="I140">
        <v>40</v>
      </c>
      <c r="J140">
        <v>2</v>
      </c>
      <c r="K140">
        <v>98</v>
      </c>
      <c r="L140" t="s">
        <v>16</v>
      </c>
    </row>
    <row r="141" spans="1:12" x14ac:dyDescent="0.25">
      <c r="A141" t="s">
        <v>183</v>
      </c>
      <c r="B141" t="s">
        <v>31</v>
      </c>
      <c r="C141" t="s">
        <v>29</v>
      </c>
      <c r="D141">
        <v>32</v>
      </c>
      <c r="E141" t="s">
        <v>15</v>
      </c>
      <c r="F141">
        <v>12</v>
      </c>
      <c r="G141">
        <v>32239</v>
      </c>
      <c r="H141">
        <v>6</v>
      </c>
      <c r="I141">
        <v>48</v>
      </c>
      <c r="J141">
        <v>5</v>
      </c>
      <c r="K141">
        <v>93</v>
      </c>
      <c r="L141" t="s">
        <v>16</v>
      </c>
    </row>
    <row r="142" spans="1:12" x14ac:dyDescent="0.25">
      <c r="A142" t="s">
        <v>184</v>
      </c>
      <c r="B142" t="s">
        <v>43</v>
      </c>
      <c r="C142" t="s">
        <v>25</v>
      </c>
      <c r="D142">
        <v>31</v>
      </c>
      <c r="E142" t="s">
        <v>19</v>
      </c>
      <c r="F142">
        <v>15</v>
      </c>
      <c r="G142">
        <v>43208</v>
      </c>
      <c r="H142">
        <v>12</v>
      </c>
      <c r="I142">
        <v>45</v>
      </c>
      <c r="J142">
        <v>5</v>
      </c>
      <c r="K142">
        <v>99</v>
      </c>
      <c r="L142" t="s">
        <v>37</v>
      </c>
    </row>
    <row r="143" spans="1:12" x14ac:dyDescent="0.25">
      <c r="A143" t="s">
        <v>185</v>
      </c>
      <c r="B143" t="s">
        <v>18</v>
      </c>
      <c r="C143" t="s">
        <v>22</v>
      </c>
      <c r="D143">
        <v>37</v>
      </c>
      <c r="E143" t="s">
        <v>15</v>
      </c>
      <c r="F143">
        <v>12</v>
      </c>
      <c r="G143">
        <v>56352</v>
      </c>
      <c r="H143">
        <v>15</v>
      </c>
      <c r="I143">
        <v>36</v>
      </c>
      <c r="J143">
        <v>1</v>
      </c>
      <c r="K143">
        <v>90</v>
      </c>
      <c r="L143" t="s">
        <v>23</v>
      </c>
    </row>
    <row r="144" spans="1:12" x14ac:dyDescent="0.25">
      <c r="A144" t="s">
        <v>186</v>
      </c>
      <c r="B144" t="s">
        <v>13</v>
      </c>
      <c r="C144" t="s">
        <v>25</v>
      </c>
      <c r="D144">
        <v>38</v>
      </c>
      <c r="E144" t="s">
        <v>15</v>
      </c>
      <c r="F144">
        <v>8</v>
      </c>
      <c r="G144">
        <v>25622</v>
      </c>
      <c r="H144">
        <v>4</v>
      </c>
      <c r="I144">
        <v>35</v>
      </c>
      <c r="J144">
        <v>1</v>
      </c>
      <c r="K144">
        <v>95</v>
      </c>
      <c r="L144" t="s">
        <v>32</v>
      </c>
    </row>
    <row r="145" spans="1:12" x14ac:dyDescent="0.25">
      <c r="A145" t="s">
        <v>187</v>
      </c>
      <c r="B145" t="s">
        <v>70</v>
      </c>
      <c r="C145" t="s">
        <v>25</v>
      </c>
      <c r="D145">
        <v>31</v>
      </c>
      <c r="E145" t="s">
        <v>15</v>
      </c>
      <c r="F145">
        <v>5</v>
      </c>
      <c r="G145">
        <v>38712</v>
      </c>
      <c r="H145">
        <v>15</v>
      </c>
      <c r="I145">
        <v>50</v>
      </c>
      <c r="J145">
        <v>3</v>
      </c>
      <c r="K145">
        <v>93</v>
      </c>
      <c r="L145" t="s">
        <v>51</v>
      </c>
    </row>
    <row r="146" spans="1:12" x14ac:dyDescent="0.25">
      <c r="A146" t="s">
        <v>188</v>
      </c>
      <c r="B146" t="s">
        <v>81</v>
      </c>
      <c r="C146" t="s">
        <v>22</v>
      </c>
      <c r="D146">
        <v>22</v>
      </c>
      <c r="E146" t="s">
        <v>15</v>
      </c>
      <c r="F146">
        <v>2</v>
      </c>
      <c r="G146">
        <v>47081</v>
      </c>
      <c r="H146">
        <v>10</v>
      </c>
      <c r="I146">
        <v>43</v>
      </c>
      <c r="J146">
        <v>5</v>
      </c>
      <c r="K146">
        <v>91</v>
      </c>
      <c r="L146" t="s">
        <v>16</v>
      </c>
    </row>
    <row r="147" spans="1:12" x14ac:dyDescent="0.25">
      <c r="A147" t="s">
        <v>189</v>
      </c>
      <c r="B147" t="s">
        <v>94</v>
      </c>
      <c r="C147" t="s">
        <v>25</v>
      </c>
      <c r="D147">
        <v>40</v>
      </c>
      <c r="E147" t="s">
        <v>19</v>
      </c>
      <c r="F147">
        <v>10</v>
      </c>
      <c r="G147">
        <v>55023</v>
      </c>
      <c r="H147">
        <v>14</v>
      </c>
      <c r="I147">
        <v>48</v>
      </c>
      <c r="J147">
        <v>5</v>
      </c>
      <c r="K147">
        <v>95</v>
      </c>
      <c r="L147" t="s">
        <v>16</v>
      </c>
    </row>
    <row r="148" spans="1:12" x14ac:dyDescent="0.25">
      <c r="A148" t="s">
        <v>190</v>
      </c>
      <c r="B148" t="s">
        <v>89</v>
      </c>
      <c r="C148" t="s">
        <v>14</v>
      </c>
      <c r="D148">
        <v>30</v>
      </c>
      <c r="E148" t="s">
        <v>15</v>
      </c>
      <c r="F148">
        <v>1</v>
      </c>
      <c r="G148">
        <v>77185</v>
      </c>
      <c r="H148">
        <v>8</v>
      </c>
      <c r="I148">
        <v>45</v>
      </c>
      <c r="J148">
        <v>5</v>
      </c>
      <c r="K148">
        <v>92</v>
      </c>
      <c r="L148" t="s">
        <v>32</v>
      </c>
    </row>
    <row r="149" spans="1:12" x14ac:dyDescent="0.25">
      <c r="A149" t="s">
        <v>191</v>
      </c>
      <c r="B149" t="s">
        <v>34</v>
      </c>
      <c r="C149" t="s">
        <v>22</v>
      </c>
      <c r="D149">
        <v>29</v>
      </c>
      <c r="E149" t="s">
        <v>15</v>
      </c>
      <c r="F149">
        <v>5</v>
      </c>
      <c r="G149">
        <v>38907</v>
      </c>
      <c r="H149">
        <v>4</v>
      </c>
      <c r="I149">
        <v>36</v>
      </c>
      <c r="J149">
        <v>1</v>
      </c>
      <c r="K149">
        <v>98</v>
      </c>
      <c r="L149" t="s">
        <v>51</v>
      </c>
    </row>
    <row r="150" spans="1:12" x14ac:dyDescent="0.25">
      <c r="A150" t="s">
        <v>192</v>
      </c>
      <c r="B150" t="s">
        <v>70</v>
      </c>
      <c r="C150" t="s">
        <v>25</v>
      </c>
      <c r="D150">
        <v>28</v>
      </c>
      <c r="E150" t="s">
        <v>19</v>
      </c>
      <c r="F150">
        <v>14</v>
      </c>
      <c r="G150">
        <v>28328</v>
      </c>
      <c r="H150">
        <v>14</v>
      </c>
      <c r="I150">
        <v>50</v>
      </c>
      <c r="J150">
        <v>5</v>
      </c>
      <c r="K150">
        <v>96</v>
      </c>
      <c r="L150" t="s">
        <v>32</v>
      </c>
    </row>
    <row r="151" spans="1:12" x14ac:dyDescent="0.25">
      <c r="A151" t="s">
        <v>193</v>
      </c>
      <c r="B151" t="s">
        <v>13</v>
      </c>
      <c r="C151" t="s">
        <v>14</v>
      </c>
      <c r="D151">
        <v>27</v>
      </c>
      <c r="E151" t="s">
        <v>15</v>
      </c>
      <c r="F151">
        <v>7</v>
      </c>
      <c r="G151">
        <v>50714</v>
      </c>
      <c r="H151">
        <v>8</v>
      </c>
      <c r="I151">
        <v>42</v>
      </c>
      <c r="J151">
        <v>3</v>
      </c>
      <c r="K151">
        <v>86</v>
      </c>
      <c r="L151" t="s">
        <v>51</v>
      </c>
    </row>
    <row r="152" spans="1:12" x14ac:dyDescent="0.25">
      <c r="A152" t="s">
        <v>194</v>
      </c>
      <c r="B152" t="s">
        <v>43</v>
      </c>
      <c r="C152" t="s">
        <v>22</v>
      </c>
      <c r="D152">
        <v>31</v>
      </c>
      <c r="E152" t="s">
        <v>15</v>
      </c>
      <c r="F152">
        <v>15</v>
      </c>
      <c r="G152">
        <v>27034</v>
      </c>
      <c r="H152">
        <v>11</v>
      </c>
      <c r="I152">
        <v>43</v>
      </c>
      <c r="J152">
        <v>3</v>
      </c>
      <c r="K152">
        <v>97</v>
      </c>
      <c r="L152" t="s">
        <v>26</v>
      </c>
    </row>
    <row r="153" spans="1:12" x14ac:dyDescent="0.25">
      <c r="A153" t="s">
        <v>195</v>
      </c>
      <c r="B153" t="s">
        <v>53</v>
      </c>
      <c r="C153" t="s">
        <v>22</v>
      </c>
      <c r="D153">
        <v>24</v>
      </c>
      <c r="E153" t="s">
        <v>15</v>
      </c>
      <c r="F153">
        <v>6</v>
      </c>
      <c r="G153">
        <v>52290</v>
      </c>
      <c r="H153">
        <v>3</v>
      </c>
      <c r="I153">
        <v>37</v>
      </c>
      <c r="J153">
        <v>3</v>
      </c>
      <c r="K153">
        <v>89</v>
      </c>
      <c r="L153" t="s">
        <v>32</v>
      </c>
    </row>
    <row r="154" spans="1:12" x14ac:dyDescent="0.25">
      <c r="A154" t="s">
        <v>196</v>
      </c>
      <c r="B154" t="s">
        <v>13</v>
      </c>
      <c r="C154" t="s">
        <v>22</v>
      </c>
      <c r="D154">
        <v>25</v>
      </c>
      <c r="E154" t="s">
        <v>15</v>
      </c>
      <c r="F154">
        <v>4</v>
      </c>
      <c r="G154">
        <v>31457</v>
      </c>
      <c r="H154">
        <v>7</v>
      </c>
      <c r="I154">
        <v>50</v>
      </c>
      <c r="J154">
        <v>4</v>
      </c>
      <c r="K154">
        <v>91</v>
      </c>
      <c r="L154" t="s">
        <v>26</v>
      </c>
    </row>
    <row r="155" spans="1:12" x14ac:dyDescent="0.25">
      <c r="A155" t="s">
        <v>197</v>
      </c>
      <c r="B155" t="s">
        <v>75</v>
      </c>
      <c r="C155" t="s">
        <v>29</v>
      </c>
      <c r="D155">
        <v>29</v>
      </c>
      <c r="E155" t="s">
        <v>19</v>
      </c>
      <c r="F155">
        <v>2</v>
      </c>
      <c r="G155">
        <v>37900</v>
      </c>
      <c r="H155">
        <v>5</v>
      </c>
      <c r="I155">
        <v>41</v>
      </c>
      <c r="J155">
        <v>1</v>
      </c>
      <c r="K155">
        <v>97</v>
      </c>
      <c r="L155" t="s">
        <v>26</v>
      </c>
    </row>
    <row r="156" spans="1:12" x14ac:dyDescent="0.25">
      <c r="A156" t="s">
        <v>198</v>
      </c>
      <c r="B156" t="s">
        <v>28</v>
      </c>
      <c r="C156" t="s">
        <v>25</v>
      </c>
      <c r="D156">
        <v>26</v>
      </c>
      <c r="E156" t="s">
        <v>15</v>
      </c>
      <c r="F156">
        <v>4</v>
      </c>
      <c r="G156">
        <v>33928</v>
      </c>
      <c r="H156">
        <v>7</v>
      </c>
      <c r="I156">
        <v>47</v>
      </c>
      <c r="J156">
        <v>4</v>
      </c>
      <c r="K156">
        <v>100</v>
      </c>
      <c r="L156" t="s">
        <v>51</v>
      </c>
    </row>
    <row r="157" spans="1:12" x14ac:dyDescent="0.25">
      <c r="A157" t="s">
        <v>199</v>
      </c>
      <c r="B157" t="s">
        <v>34</v>
      </c>
      <c r="C157" t="s">
        <v>25</v>
      </c>
      <c r="D157">
        <v>34</v>
      </c>
      <c r="E157" t="s">
        <v>19</v>
      </c>
      <c r="F157">
        <v>15</v>
      </c>
      <c r="G157">
        <v>40122</v>
      </c>
      <c r="H157">
        <v>10</v>
      </c>
      <c r="I157">
        <v>45</v>
      </c>
      <c r="J157">
        <v>2</v>
      </c>
      <c r="K157">
        <v>89</v>
      </c>
      <c r="L157" t="s">
        <v>37</v>
      </c>
    </row>
    <row r="158" spans="1:12" x14ac:dyDescent="0.25">
      <c r="A158" t="s">
        <v>200</v>
      </c>
      <c r="B158" t="s">
        <v>63</v>
      </c>
      <c r="C158" t="s">
        <v>14</v>
      </c>
      <c r="D158">
        <v>35</v>
      </c>
      <c r="E158" t="s">
        <v>15</v>
      </c>
      <c r="F158">
        <v>7</v>
      </c>
      <c r="G158">
        <v>70317</v>
      </c>
      <c r="H158">
        <v>15</v>
      </c>
      <c r="I158">
        <v>49</v>
      </c>
      <c r="J158">
        <v>2</v>
      </c>
      <c r="K158">
        <v>94</v>
      </c>
      <c r="L158" t="s">
        <v>26</v>
      </c>
    </row>
    <row r="159" spans="1:12" x14ac:dyDescent="0.25">
      <c r="A159" t="s">
        <v>201</v>
      </c>
      <c r="B159" t="s">
        <v>89</v>
      </c>
      <c r="C159" t="s">
        <v>14</v>
      </c>
      <c r="D159">
        <v>34</v>
      </c>
      <c r="E159" t="s">
        <v>19</v>
      </c>
      <c r="F159">
        <v>12</v>
      </c>
      <c r="G159">
        <v>25870</v>
      </c>
      <c r="H159">
        <v>12</v>
      </c>
      <c r="I159">
        <v>42</v>
      </c>
      <c r="J159">
        <v>5</v>
      </c>
      <c r="K159">
        <v>89</v>
      </c>
      <c r="L159" t="s">
        <v>51</v>
      </c>
    </row>
    <row r="160" spans="1:12" x14ac:dyDescent="0.25">
      <c r="A160" t="s">
        <v>202</v>
      </c>
      <c r="B160" t="s">
        <v>34</v>
      </c>
      <c r="C160" t="s">
        <v>29</v>
      </c>
      <c r="D160">
        <v>37</v>
      </c>
      <c r="E160" t="s">
        <v>15</v>
      </c>
      <c r="F160">
        <v>3</v>
      </c>
      <c r="G160">
        <v>67357</v>
      </c>
      <c r="H160">
        <v>15</v>
      </c>
      <c r="I160">
        <v>48</v>
      </c>
      <c r="J160">
        <v>2</v>
      </c>
      <c r="K160">
        <v>100</v>
      </c>
      <c r="L160" t="s">
        <v>51</v>
      </c>
    </row>
    <row r="161" spans="1:12" x14ac:dyDescent="0.25">
      <c r="A161" t="s">
        <v>203</v>
      </c>
      <c r="B161" t="s">
        <v>45</v>
      </c>
      <c r="C161" t="s">
        <v>29</v>
      </c>
      <c r="D161">
        <v>23</v>
      </c>
      <c r="E161" t="s">
        <v>15</v>
      </c>
      <c r="F161">
        <v>5</v>
      </c>
      <c r="G161">
        <v>34524</v>
      </c>
      <c r="H161">
        <v>10</v>
      </c>
      <c r="I161">
        <v>43</v>
      </c>
      <c r="J161">
        <v>4</v>
      </c>
      <c r="K161">
        <v>92</v>
      </c>
      <c r="L161" t="s">
        <v>32</v>
      </c>
    </row>
    <row r="162" spans="1:12" x14ac:dyDescent="0.25">
      <c r="A162" t="s">
        <v>204</v>
      </c>
      <c r="B162" t="s">
        <v>36</v>
      </c>
      <c r="C162" t="s">
        <v>25</v>
      </c>
      <c r="D162">
        <v>33</v>
      </c>
      <c r="E162" t="s">
        <v>15</v>
      </c>
      <c r="F162">
        <v>1</v>
      </c>
      <c r="G162">
        <v>32274</v>
      </c>
      <c r="H162">
        <v>15</v>
      </c>
      <c r="I162">
        <v>45</v>
      </c>
      <c r="J162">
        <v>3</v>
      </c>
      <c r="K162">
        <v>96</v>
      </c>
      <c r="L162" t="s">
        <v>51</v>
      </c>
    </row>
    <row r="163" spans="1:12" x14ac:dyDescent="0.25">
      <c r="A163" t="s">
        <v>205</v>
      </c>
      <c r="B163" t="s">
        <v>83</v>
      </c>
      <c r="C163" t="s">
        <v>29</v>
      </c>
      <c r="D163">
        <v>36</v>
      </c>
      <c r="E163" t="s">
        <v>15</v>
      </c>
      <c r="F163">
        <v>13</v>
      </c>
      <c r="G163">
        <v>42201</v>
      </c>
      <c r="H163">
        <v>4</v>
      </c>
      <c r="I163">
        <v>48</v>
      </c>
      <c r="J163">
        <v>5</v>
      </c>
      <c r="K163">
        <v>93</v>
      </c>
      <c r="L163" t="s">
        <v>37</v>
      </c>
    </row>
    <row r="164" spans="1:12" x14ac:dyDescent="0.25">
      <c r="A164" t="s">
        <v>206</v>
      </c>
      <c r="B164" t="s">
        <v>43</v>
      </c>
      <c r="C164" t="s">
        <v>22</v>
      </c>
      <c r="D164">
        <v>27</v>
      </c>
      <c r="E164" t="s">
        <v>15</v>
      </c>
      <c r="F164">
        <v>10</v>
      </c>
      <c r="G164">
        <v>47507</v>
      </c>
      <c r="H164">
        <v>14</v>
      </c>
      <c r="I164">
        <v>48</v>
      </c>
      <c r="J164">
        <v>5</v>
      </c>
      <c r="K164">
        <v>93</v>
      </c>
      <c r="L164" t="s">
        <v>26</v>
      </c>
    </row>
    <row r="165" spans="1:12" x14ac:dyDescent="0.25">
      <c r="A165" t="s">
        <v>207</v>
      </c>
      <c r="B165" t="s">
        <v>63</v>
      </c>
      <c r="C165" t="s">
        <v>14</v>
      </c>
      <c r="D165">
        <v>22</v>
      </c>
      <c r="E165" t="s">
        <v>15</v>
      </c>
      <c r="F165">
        <v>7</v>
      </c>
      <c r="G165">
        <v>38643</v>
      </c>
      <c r="H165">
        <v>14</v>
      </c>
      <c r="I165">
        <v>44</v>
      </c>
      <c r="J165">
        <v>4</v>
      </c>
      <c r="K165">
        <v>99</v>
      </c>
      <c r="L165" t="s">
        <v>16</v>
      </c>
    </row>
    <row r="166" spans="1:12" x14ac:dyDescent="0.25">
      <c r="A166" t="s">
        <v>208</v>
      </c>
      <c r="B166" t="s">
        <v>13</v>
      </c>
      <c r="C166" t="s">
        <v>22</v>
      </c>
      <c r="D166">
        <v>38</v>
      </c>
      <c r="E166" t="s">
        <v>15</v>
      </c>
      <c r="F166">
        <v>6</v>
      </c>
      <c r="G166">
        <v>72900</v>
      </c>
      <c r="H166">
        <v>9</v>
      </c>
      <c r="I166">
        <v>35</v>
      </c>
      <c r="J166">
        <v>5</v>
      </c>
      <c r="K166">
        <v>89</v>
      </c>
      <c r="L166" t="s">
        <v>51</v>
      </c>
    </row>
    <row r="167" spans="1:12" x14ac:dyDescent="0.25">
      <c r="A167" t="s">
        <v>209</v>
      </c>
      <c r="B167" t="s">
        <v>18</v>
      </c>
      <c r="C167" t="s">
        <v>25</v>
      </c>
      <c r="D167">
        <v>34</v>
      </c>
      <c r="E167" t="s">
        <v>19</v>
      </c>
      <c r="F167">
        <v>12</v>
      </c>
      <c r="G167">
        <v>52685</v>
      </c>
      <c r="H167">
        <v>14</v>
      </c>
      <c r="I167">
        <v>49</v>
      </c>
      <c r="J167">
        <v>5</v>
      </c>
      <c r="K167">
        <v>93</v>
      </c>
      <c r="L167" t="s">
        <v>32</v>
      </c>
    </row>
    <row r="168" spans="1:12" x14ac:dyDescent="0.25">
      <c r="A168" t="s">
        <v>210</v>
      </c>
      <c r="B168" t="s">
        <v>31</v>
      </c>
      <c r="C168" t="s">
        <v>22</v>
      </c>
      <c r="D168">
        <v>35</v>
      </c>
      <c r="E168" t="s">
        <v>19</v>
      </c>
      <c r="F168">
        <v>12</v>
      </c>
      <c r="G168">
        <v>55273</v>
      </c>
      <c r="H168">
        <v>14</v>
      </c>
      <c r="I168">
        <v>41</v>
      </c>
      <c r="J168">
        <v>1</v>
      </c>
      <c r="K168">
        <v>98</v>
      </c>
      <c r="L168" t="s">
        <v>26</v>
      </c>
    </row>
    <row r="169" spans="1:12" x14ac:dyDescent="0.25">
      <c r="A169" t="s">
        <v>211</v>
      </c>
      <c r="B169" t="s">
        <v>70</v>
      </c>
      <c r="C169" t="s">
        <v>14</v>
      </c>
      <c r="D169">
        <v>24</v>
      </c>
      <c r="E169" t="s">
        <v>15</v>
      </c>
      <c r="F169">
        <v>7</v>
      </c>
      <c r="G169">
        <v>43227</v>
      </c>
      <c r="H169">
        <v>11</v>
      </c>
      <c r="I169">
        <v>48</v>
      </c>
      <c r="J169">
        <v>5</v>
      </c>
      <c r="K169">
        <v>91</v>
      </c>
      <c r="L169" t="s">
        <v>51</v>
      </c>
    </row>
    <row r="170" spans="1:12" x14ac:dyDescent="0.25">
      <c r="A170" t="s">
        <v>212</v>
      </c>
      <c r="B170" t="s">
        <v>36</v>
      </c>
      <c r="C170" t="s">
        <v>14</v>
      </c>
      <c r="D170">
        <v>37</v>
      </c>
      <c r="E170" t="s">
        <v>19</v>
      </c>
      <c r="F170">
        <v>9</v>
      </c>
      <c r="G170">
        <v>34346</v>
      </c>
      <c r="H170">
        <v>15</v>
      </c>
      <c r="I170">
        <v>45</v>
      </c>
      <c r="J170">
        <v>2</v>
      </c>
      <c r="K170">
        <v>96</v>
      </c>
      <c r="L170" t="s">
        <v>37</v>
      </c>
    </row>
    <row r="171" spans="1:12" x14ac:dyDescent="0.25">
      <c r="A171" t="s">
        <v>213</v>
      </c>
      <c r="B171" t="s">
        <v>45</v>
      </c>
      <c r="C171" t="s">
        <v>22</v>
      </c>
      <c r="D171">
        <v>35</v>
      </c>
      <c r="E171" t="s">
        <v>15</v>
      </c>
      <c r="F171">
        <v>9</v>
      </c>
      <c r="G171">
        <v>29128</v>
      </c>
      <c r="H171">
        <v>6</v>
      </c>
      <c r="I171">
        <v>37</v>
      </c>
      <c r="J171">
        <v>2</v>
      </c>
      <c r="K171">
        <v>89</v>
      </c>
      <c r="L171" t="s">
        <v>26</v>
      </c>
    </row>
    <row r="172" spans="1:12" x14ac:dyDescent="0.25">
      <c r="A172" t="s">
        <v>214</v>
      </c>
      <c r="B172" t="s">
        <v>75</v>
      </c>
      <c r="C172" t="s">
        <v>22</v>
      </c>
      <c r="D172">
        <v>33</v>
      </c>
      <c r="E172" t="s">
        <v>19</v>
      </c>
      <c r="F172">
        <v>1</v>
      </c>
      <c r="G172">
        <v>25431</v>
      </c>
      <c r="H172">
        <v>11</v>
      </c>
      <c r="I172">
        <v>39</v>
      </c>
      <c r="J172">
        <v>2</v>
      </c>
      <c r="K172">
        <v>98</v>
      </c>
      <c r="L172" t="s">
        <v>26</v>
      </c>
    </row>
    <row r="173" spans="1:12" x14ac:dyDescent="0.25">
      <c r="A173" t="s">
        <v>215</v>
      </c>
      <c r="B173" t="s">
        <v>75</v>
      </c>
      <c r="C173" t="s">
        <v>25</v>
      </c>
      <c r="D173">
        <v>34</v>
      </c>
      <c r="E173" t="s">
        <v>15</v>
      </c>
      <c r="F173">
        <v>6</v>
      </c>
      <c r="G173">
        <v>43060</v>
      </c>
      <c r="H173">
        <v>7</v>
      </c>
      <c r="I173">
        <v>45</v>
      </c>
      <c r="J173">
        <v>4</v>
      </c>
      <c r="K173">
        <v>98</v>
      </c>
      <c r="L173" t="s">
        <v>32</v>
      </c>
    </row>
    <row r="174" spans="1:12" x14ac:dyDescent="0.25">
      <c r="A174" t="s">
        <v>216</v>
      </c>
      <c r="B174" t="s">
        <v>83</v>
      </c>
      <c r="C174" t="s">
        <v>22</v>
      </c>
      <c r="D174">
        <v>40</v>
      </c>
      <c r="E174" t="s">
        <v>15</v>
      </c>
      <c r="F174">
        <v>11</v>
      </c>
      <c r="G174">
        <v>70826</v>
      </c>
      <c r="H174">
        <v>9</v>
      </c>
      <c r="I174">
        <v>48</v>
      </c>
      <c r="J174">
        <v>2</v>
      </c>
      <c r="K174">
        <v>94</v>
      </c>
      <c r="L174" t="s">
        <v>37</v>
      </c>
    </row>
    <row r="175" spans="1:12" x14ac:dyDescent="0.25">
      <c r="A175" t="s">
        <v>217</v>
      </c>
      <c r="B175" t="s">
        <v>83</v>
      </c>
      <c r="C175" t="s">
        <v>14</v>
      </c>
      <c r="D175">
        <v>22</v>
      </c>
      <c r="E175" t="s">
        <v>15</v>
      </c>
      <c r="F175">
        <v>8</v>
      </c>
      <c r="G175">
        <v>39003</v>
      </c>
      <c r="H175">
        <v>13</v>
      </c>
      <c r="I175">
        <v>48</v>
      </c>
      <c r="J175">
        <v>3</v>
      </c>
      <c r="K175">
        <v>85</v>
      </c>
      <c r="L175" t="s">
        <v>37</v>
      </c>
    </row>
    <row r="176" spans="1:12" x14ac:dyDescent="0.25">
      <c r="A176" t="s">
        <v>218</v>
      </c>
      <c r="B176" t="s">
        <v>81</v>
      </c>
      <c r="C176" t="s">
        <v>25</v>
      </c>
      <c r="D176">
        <v>36</v>
      </c>
      <c r="E176" t="s">
        <v>15</v>
      </c>
      <c r="F176">
        <v>15</v>
      </c>
      <c r="G176">
        <v>57642</v>
      </c>
      <c r="H176">
        <v>13</v>
      </c>
      <c r="I176">
        <v>47</v>
      </c>
      <c r="J176">
        <v>5</v>
      </c>
      <c r="K176">
        <v>93</v>
      </c>
      <c r="L176" t="s">
        <v>37</v>
      </c>
    </row>
    <row r="177" spans="1:12" x14ac:dyDescent="0.25">
      <c r="A177" t="s">
        <v>219</v>
      </c>
      <c r="B177" t="s">
        <v>43</v>
      </c>
      <c r="C177" t="s">
        <v>22</v>
      </c>
      <c r="D177">
        <v>24</v>
      </c>
      <c r="E177" t="s">
        <v>15</v>
      </c>
      <c r="F177">
        <v>13</v>
      </c>
      <c r="G177">
        <v>73356</v>
      </c>
      <c r="H177">
        <v>13</v>
      </c>
      <c r="I177">
        <v>35</v>
      </c>
      <c r="J177">
        <v>3</v>
      </c>
      <c r="K177">
        <v>93</v>
      </c>
      <c r="L177" t="s">
        <v>23</v>
      </c>
    </row>
    <row r="178" spans="1:12" x14ac:dyDescent="0.25">
      <c r="A178" t="s">
        <v>220</v>
      </c>
      <c r="B178" t="s">
        <v>75</v>
      </c>
      <c r="C178" t="s">
        <v>22</v>
      </c>
      <c r="D178">
        <v>35</v>
      </c>
      <c r="E178" t="s">
        <v>15</v>
      </c>
      <c r="F178">
        <v>11</v>
      </c>
      <c r="G178">
        <v>61411</v>
      </c>
      <c r="H178">
        <v>6</v>
      </c>
      <c r="I178">
        <v>44</v>
      </c>
      <c r="J178">
        <v>4</v>
      </c>
      <c r="K178">
        <v>92</v>
      </c>
      <c r="L178" t="s">
        <v>37</v>
      </c>
    </row>
    <row r="179" spans="1:12" x14ac:dyDescent="0.25">
      <c r="A179" t="s">
        <v>221</v>
      </c>
      <c r="B179" t="s">
        <v>89</v>
      </c>
      <c r="C179" t="s">
        <v>29</v>
      </c>
      <c r="D179">
        <v>39</v>
      </c>
      <c r="E179" t="s">
        <v>15</v>
      </c>
      <c r="F179">
        <v>10</v>
      </c>
      <c r="G179">
        <v>65136</v>
      </c>
      <c r="H179">
        <v>3</v>
      </c>
      <c r="I179">
        <v>45</v>
      </c>
      <c r="J179">
        <v>2</v>
      </c>
      <c r="K179">
        <v>98</v>
      </c>
      <c r="L179" t="s">
        <v>51</v>
      </c>
    </row>
    <row r="180" spans="1:12" x14ac:dyDescent="0.25">
      <c r="A180" t="s">
        <v>222</v>
      </c>
      <c r="B180" t="s">
        <v>21</v>
      </c>
      <c r="C180" t="s">
        <v>29</v>
      </c>
      <c r="D180">
        <v>35</v>
      </c>
      <c r="E180" t="s">
        <v>15</v>
      </c>
      <c r="F180">
        <v>14</v>
      </c>
      <c r="G180">
        <v>72546</v>
      </c>
      <c r="H180">
        <v>4</v>
      </c>
      <c r="I180">
        <v>43</v>
      </c>
      <c r="J180">
        <v>5</v>
      </c>
      <c r="K180">
        <v>87</v>
      </c>
      <c r="L180" t="s">
        <v>26</v>
      </c>
    </row>
    <row r="181" spans="1:12" x14ac:dyDescent="0.25">
      <c r="A181" t="s">
        <v>223</v>
      </c>
      <c r="B181" t="s">
        <v>43</v>
      </c>
      <c r="C181" t="s">
        <v>29</v>
      </c>
      <c r="D181">
        <v>33</v>
      </c>
      <c r="E181" t="s">
        <v>19</v>
      </c>
      <c r="F181">
        <v>8</v>
      </c>
      <c r="G181">
        <v>69587</v>
      </c>
      <c r="H181">
        <v>3</v>
      </c>
      <c r="I181">
        <v>46</v>
      </c>
      <c r="J181">
        <v>2</v>
      </c>
      <c r="K181">
        <v>93</v>
      </c>
      <c r="L181" t="s">
        <v>16</v>
      </c>
    </row>
    <row r="182" spans="1:12" x14ac:dyDescent="0.25">
      <c r="A182" t="s">
        <v>224</v>
      </c>
      <c r="B182" t="s">
        <v>13</v>
      </c>
      <c r="C182" t="s">
        <v>29</v>
      </c>
      <c r="D182">
        <v>23</v>
      </c>
      <c r="E182" t="s">
        <v>19</v>
      </c>
      <c r="F182">
        <v>3</v>
      </c>
      <c r="G182">
        <v>43424</v>
      </c>
      <c r="H182">
        <v>3</v>
      </c>
      <c r="I182">
        <v>37</v>
      </c>
      <c r="J182">
        <v>2</v>
      </c>
      <c r="K182">
        <v>94</v>
      </c>
      <c r="L182" t="s">
        <v>23</v>
      </c>
    </row>
    <row r="183" spans="1:12" x14ac:dyDescent="0.25">
      <c r="A183" t="s">
        <v>225</v>
      </c>
      <c r="B183" t="s">
        <v>36</v>
      </c>
      <c r="C183" t="s">
        <v>25</v>
      </c>
      <c r="D183">
        <v>26</v>
      </c>
      <c r="E183" t="s">
        <v>15</v>
      </c>
      <c r="F183">
        <v>15</v>
      </c>
      <c r="G183">
        <v>69946</v>
      </c>
      <c r="H183">
        <v>8</v>
      </c>
      <c r="I183">
        <v>42</v>
      </c>
      <c r="J183">
        <v>3</v>
      </c>
      <c r="K183">
        <v>85</v>
      </c>
      <c r="L183" t="s">
        <v>26</v>
      </c>
    </row>
    <row r="184" spans="1:12" x14ac:dyDescent="0.25">
      <c r="A184" t="s">
        <v>226</v>
      </c>
      <c r="B184" t="s">
        <v>45</v>
      </c>
      <c r="C184" t="s">
        <v>29</v>
      </c>
      <c r="D184">
        <v>38</v>
      </c>
      <c r="E184" t="s">
        <v>19</v>
      </c>
      <c r="F184">
        <v>7</v>
      </c>
      <c r="G184">
        <v>54630</v>
      </c>
      <c r="H184">
        <v>15</v>
      </c>
      <c r="I184">
        <v>48</v>
      </c>
      <c r="J184">
        <v>4</v>
      </c>
      <c r="K184">
        <v>85</v>
      </c>
      <c r="L184" t="s">
        <v>16</v>
      </c>
    </row>
    <row r="185" spans="1:12" x14ac:dyDescent="0.25">
      <c r="A185" t="s">
        <v>227</v>
      </c>
      <c r="B185" t="s">
        <v>13</v>
      </c>
      <c r="C185" t="s">
        <v>29</v>
      </c>
      <c r="D185">
        <v>36</v>
      </c>
      <c r="E185" t="s">
        <v>15</v>
      </c>
      <c r="F185">
        <v>15</v>
      </c>
      <c r="G185">
        <v>63136</v>
      </c>
      <c r="H185">
        <v>8</v>
      </c>
      <c r="I185">
        <v>37</v>
      </c>
      <c r="J185">
        <v>4</v>
      </c>
      <c r="K185">
        <v>92</v>
      </c>
      <c r="L185" t="s">
        <v>32</v>
      </c>
    </row>
    <row r="186" spans="1:12" x14ac:dyDescent="0.25">
      <c r="A186" t="s">
        <v>228</v>
      </c>
      <c r="B186" t="s">
        <v>13</v>
      </c>
      <c r="C186" t="s">
        <v>29</v>
      </c>
      <c r="D186">
        <v>26</v>
      </c>
      <c r="E186" t="s">
        <v>15</v>
      </c>
      <c r="F186">
        <v>5</v>
      </c>
      <c r="G186">
        <v>77979</v>
      </c>
      <c r="H186">
        <v>7</v>
      </c>
      <c r="I186">
        <v>44</v>
      </c>
      <c r="J186">
        <v>2</v>
      </c>
      <c r="K186">
        <v>91</v>
      </c>
      <c r="L186" t="s">
        <v>26</v>
      </c>
    </row>
    <row r="187" spans="1:12" x14ac:dyDescent="0.25">
      <c r="A187" t="s">
        <v>229</v>
      </c>
      <c r="B187" t="s">
        <v>65</v>
      </c>
      <c r="C187" t="s">
        <v>14</v>
      </c>
      <c r="D187">
        <v>38</v>
      </c>
      <c r="E187" t="s">
        <v>19</v>
      </c>
      <c r="F187">
        <v>10</v>
      </c>
      <c r="G187">
        <v>25866</v>
      </c>
      <c r="H187">
        <v>6</v>
      </c>
      <c r="I187">
        <v>42</v>
      </c>
      <c r="J187">
        <v>4</v>
      </c>
      <c r="K187">
        <v>91</v>
      </c>
      <c r="L187" t="s">
        <v>23</v>
      </c>
    </row>
    <row r="188" spans="1:12" x14ac:dyDescent="0.25">
      <c r="A188" t="s">
        <v>230</v>
      </c>
      <c r="B188" t="s">
        <v>53</v>
      </c>
      <c r="C188" t="s">
        <v>29</v>
      </c>
      <c r="D188">
        <v>24</v>
      </c>
      <c r="E188" t="s">
        <v>15</v>
      </c>
      <c r="F188">
        <v>13</v>
      </c>
      <c r="G188">
        <v>77990</v>
      </c>
      <c r="H188">
        <v>3</v>
      </c>
      <c r="I188">
        <v>40</v>
      </c>
      <c r="J188">
        <v>2</v>
      </c>
      <c r="K188">
        <v>93</v>
      </c>
      <c r="L188" t="s">
        <v>51</v>
      </c>
    </row>
    <row r="189" spans="1:12" x14ac:dyDescent="0.25">
      <c r="A189" t="s">
        <v>231</v>
      </c>
      <c r="B189" t="s">
        <v>43</v>
      </c>
      <c r="C189" t="s">
        <v>22</v>
      </c>
      <c r="D189">
        <v>36</v>
      </c>
      <c r="E189" t="s">
        <v>15</v>
      </c>
      <c r="F189">
        <v>12</v>
      </c>
      <c r="G189">
        <v>51269</v>
      </c>
      <c r="H189">
        <v>5</v>
      </c>
      <c r="I189">
        <v>47</v>
      </c>
      <c r="J189">
        <v>1</v>
      </c>
      <c r="K189">
        <v>91</v>
      </c>
      <c r="L189" t="s">
        <v>37</v>
      </c>
    </row>
    <row r="190" spans="1:12" x14ac:dyDescent="0.25">
      <c r="A190" t="s">
        <v>232</v>
      </c>
      <c r="B190" t="s">
        <v>45</v>
      </c>
      <c r="C190" t="s">
        <v>25</v>
      </c>
      <c r="D190">
        <v>22</v>
      </c>
      <c r="E190" t="s">
        <v>15</v>
      </c>
      <c r="F190">
        <v>10</v>
      </c>
      <c r="G190">
        <v>79099</v>
      </c>
      <c r="H190">
        <v>8</v>
      </c>
      <c r="I190">
        <v>43</v>
      </c>
      <c r="J190">
        <v>2</v>
      </c>
      <c r="K190">
        <v>98</v>
      </c>
      <c r="L190" t="s">
        <v>16</v>
      </c>
    </row>
    <row r="191" spans="1:12" x14ac:dyDescent="0.25">
      <c r="A191" t="s">
        <v>233</v>
      </c>
      <c r="B191" t="s">
        <v>43</v>
      </c>
      <c r="C191" t="s">
        <v>14</v>
      </c>
      <c r="D191">
        <v>29</v>
      </c>
      <c r="E191" t="s">
        <v>15</v>
      </c>
      <c r="F191">
        <v>15</v>
      </c>
      <c r="G191">
        <v>47228</v>
      </c>
      <c r="H191">
        <v>13</v>
      </c>
      <c r="I191">
        <v>49</v>
      </c>
      <c r="J191">
        <v>4</v>
      </c>
      <c r="K191">
        <v>90</v>
      </c>
      <c r="L191" t="s">
        <v>51</v>
      </c>
    </row>
    <row r="192" spans="1:12" x14ac:dyDescent="0.25">
      <c r="A192" t="s">
        <v>234</v>
      </c>
      <c r="B192" t="s">
        <v>18</v>
      </c>
      <c r="C192" t="s">
        <v>25</v>
      </c>
      <c r="D192">
        <v>23</v>
      </c>
      <c r="E192" t="s">
        <v>15</v>
      </c>
      <c r="F192">
        <v>7</v>
      </c>
      <c r="G192">
        <v>55413</v>
      </c>
      <c r="H192">
        <v>12</v>
      </c>
      <c r="I192">
        <v>40</v>
      </c>
      <c r="J192">
        <v>5</v>
      </c>
      <c r="K192">
        <v>100</v>
      </c>
      <c r="L192" t="s">
        <v>23</v>
      </c>
    </row>
    <row r="193" spans="1:12" x14ac:dyDescent="0.25">
      <c r="A193" t="s">
        <v>235</v>
      </c>
      <c r="B193" t="s">
        <v>43</v>
      </c>
      <c r="C193" t="s">
        <v>29</v>
      </c>
      <c r="D193">
        <v>36</v>
      </c>
      <c r="E193" t="s">
        <v>19</v>
      </c>
      <c r="F193">
        <v>2</v>
      </c>
      <c r="G193">
        <v>76251</v>
      </c>
      <c r="H193">
        <v>8</v>
      </c>
      <c r="I193">
        <v>45</v>
      </c>
      <c r="J193">
        <v>1</v>
      </c>
      <c r="K193">
        <v>86</v>
      </c>
      <c r="L193" t="s">
        <v>16</v>
      </c>
    </row>
    <row r="194" spans="1:12" x14ac:dyDescent="0.25">
      <c r="A194" t="s">
        <v>236</v>
      </c>
      <c r="B194" t="s">
        <v>65</v>
      </c>
      <c r="C194" t="s">
        <v>14</v>
      </c>
      <c r="D194">
        <v>38</v>
      </c>
      <c r="E194" t="s">
        <v>19</v>
      </c>
      <c r="F194">
        <v>8</v>
      </c>
      <c r="G194">
        <v>70483</v>
      </c>
      <c r="H194">
        <v>10</v>
      </c>
      <c r="I194">
        <v>41</v>
      </c>
      <c r="J194">
        <v>5</v>
      </c>
      <c r="K194">
        <v>97</v>
      </c>
      <c r="L194" t="s">
        <v>32</v>
      </c>
    </row>
    <row r="195" spans="1:12" x14ac:dyDescent="0.25">
      <c r="A195" t="s">
        <v>237</v>
      </c>
      <c r="B195" t="s">
        <v>89</v>
      </c>
      <c r="C195" t="s">
        <v>29</v>
      </c>
      <c r="D195">
        <v>25</v>
      </c>
      <c r="E195" t="s">
        <v>15</v>
      </c>
      <c r="F195">
        <v>14</v>
      </c>
      <c r="G195">
        <v>76866</v>
      </c>
      <c r="H195">
        <v>8</v>
      </c>
      <c r="I195">
        <v>41</v>
      </c>
      <c r="J195">
        <v>3</v>
      </c>
      <c r="K195">
        <v>90</v>
      </c>
      <c r="L195" t="s">
        <v>23</v>
      </c>
    </row>
    <row r="196" spans="1:12" x14ac:dyDescent="0.25">
      <c r="A196" t="s">
        <v>238</v>
      </c>
      <c r="B196" t="s">
        <v>53</v>
      </c>
      <c r="C196" t="s">
        <v>29</v>
      </c>
      <c r="D196">
        <v>40</v>
      </c>
      <c r="E196" t="s">
        <v>19</v>
      </c>
      <c r="F196">
        <v>4</v>
      </c>
      <c r="G196">
        <v>74980</v>
      </c>
      <c r="H196">
        <v>12</v>
      </c>
      <c r="I196">
        <v>43</v>
      </c>
      <c r="J196">
        <v>4</v>
      </c>
      <c r="K196">
        <v>99</v>
      </c>
      <c r="L196" t="s">
        <v>23</v>
      </c>
    </row>
    <row r="197" spans="1:12" x14ac:dyDescent="0.25">
      <c r="A197" t="s">
        <v>239</v>
      </c>
      <c r="B197" t="s">
        <v>31</v>
      </c>
      <c r="C197" t="s">
        <v>22</v>
      </c>
      <c r="D197">
        <v>34</v>
      </c>
      <c r="E197" t="s">
        <v>15</v>
      </c>
      <c r="F197">
        <v>3</v>
      </c>
      <c r="G197">
        <v>71884</v>
      </c>
      <c r="H197">
        <v>6</v>
      </c>
      <c r="I197">
        <v>39</v>
      </c>
      <c r="J197">
        <v>3</v>
      </c>
      <c r="K197">
        <v>96</v>
      </c>
      <c r="L197" t="s">
        <v>51</v>
      </c>
    </row>
    <row r="198" spans="1:12" x14ac:dyDescent="0.25">
      <c r="A198" t="s">
        <v>240</v>
      </c>
      <c r="B198" t="s">
        <v>40</v>
      </c>
      <c r="C198" t="s">
        <v>29</v>
      </c>
      <c r="D198">
        <v>32</v>
      </c>
      <c r="E198" t="s">
        <v>19</v>
      </c>
      <c r="F198">
        <v>1</v>
      </c>
      <c r="G198">
        <v>55654</v>
      </c>
      <c r="H198">
        <v>10</v>
      </c>
      <c r="I198">
        <v>44</v>
      </c>
      <c r="J198">
        <v>3</v>
      </c>
      <c r="K198">
        <v>90</v>
      </c>
      <c r="L198" t="s">
        <v>23</v>
      </c>
    </row>
    <row r="199" spans="1:12" x14ac:dyDescent="0.25">
      <c r="A199" t="s">
        <v>241</v>
      </c>
      <c r="B199" t="s">
        <v>83</v>
      </c>
      <c r="C199" t="s">
        <v>25</v>
      </c>
      <c r="D199">
        <v>29</v>
      </c>
      <c r="E199" t="s">
        <v>19</v>
      </c>
      <c r="F199">
        <v>10</v>
      </c>
      <c r="G199">
        <v>70340</v>
      </c>
      <c r="H199">
        <v>6</v>
      </c>
      <c r="I199">
        <v>42</v>
      </c>
      <c r="J199">
        <v>5</v>
      </c>
      <c r="K199">
        <v>89</v>
      </c>
      <c r="L199" t="s">
        <v>37</v>
      </c>
    </row>
    <row r="200" spans="1:12" x14ac:dyDescent="0.25">
      <c r="A200" t="s">
        <v>242</v>
      </c>
      <c r="B200" t="s">
        <v>43</v>
      </c>
      <c r="C200" t="s">
        <v>14</v>
      </c>
      <c r="D200">
        <v>38</v>
      </c>
      <c r="E200" t="s">
        <v>19</v>
      </c>
      <c r="F200">
        <v>11</v>
      </c>
      <c r="G200">
        <v>43819</v>
      </c>
      <c r="H200">
        <v>8</v>
      </c>
      <c r="I200">
        <v>42</v>
      </c>
      <c r="J200">
        <v>1</v>
      </c>
      <c r="K200">
        <v>88</v>
      </c>
      <c r="L200" t="s">
        <v>23</v>
      </c>
    </row>
    <row r="201" spans="1:12" x14ac:dyDescent="0.25">
      <c r="A201" t="s">
        <v>243</v>
      </c>
      <c r="B201" t="s">
        <v>63</v>
      </c>
      <c r="C201" t="s">
        <v>29</v>
      </c>
      <c r="D201">
        <v>22</v>
      </c>
      <c r="E201" t="s">
        <v>15</v>
      </c>
      <c r="F201">
        <v>7</v>
      </c>
      <c r="G201">
        <v>49753</v>
      </c>
      <c r="H201">
        <v>7</v>
      </c>
      <c r="I201">
        <v>49</v>
      </c>
      <c r="J201">
        <v>5</v>
      </c>
      <c r="K201">
        <v>92</v>
      </c>
      <c r="L201" t="s">
        <v>23</v>
      </c>
    </row>
    <row r="202" spans="1:12" x14ac:dyDescent="0.25">
      <c r="A202" t="s">
        <v>244</v>
      </c>
      <c r="B202" t="s">
        <v>75</v>
      </c>
      <c r="C202" t="s">
        <v>29</v>
      </c>
      <c r="D202">
        <v>31</v>
      </c>
      <c r="E202" t="s">
        <v>15</v>
      </c>
      <c r="F202">
        <v>9</v>
      </c>
      <c r="G202">
        <v>30471</v>
      </c>
      <c r="H202">
        <v>6</v>
      </c>
      <c r="I202">
        <v>46</v>
      </c>
      <c r="J202">
        <v>2</v>
      </c>
      <c r="K202">
        <v>88</v>
      </c>
      <c r="L202" t="s">
        <v>16</v>
      </c>
    </row>
    <row r="203" spans="1:12" x14ac:dyDescent="0.25">
      <c r="A203" t="s">
        <v>245</v>
      </c>
      <c r="B203" t="s">
        <v>75</v>
      </c>
      <c r="C203" t="s">
        <v>29</v>
      </c>
      <c r="D203">
        <v>39</v>
      </c>
      <c r="E203" t="s">
        <v>15</v>
      </c>
      <c r="F203">
        <v>15</v>
      </c>
      <c r="G203">
        <v>41656</v>
      </c>
      <c r="H203">
        <v>9</v>
      </c>
      <c r="I203">
        <v>49</v>
      </c>
      <c r="J203">
        <v>4</v>
      </c>
      <c r="K203">
        <v>96</v>
      </c>
      <c r="L203" t="s">
        <v>26</v>
      </c>
    </row>
    <row r="204" spans="1:12" x14ac:dyDescent="0.25">
      <c r="A204" t="s">
        <v>246</v>
      </c>
      <c r="B204" t="s">
        <v>18</v>
      </c>
      <c r="C204" t="s">
        <v>25</v>
      </c>
      <c r="D204">
        <v>24</v>
      </c>
      <c r="E204" t="s">
        <v>19</v>
      </c>
      <c r="F204">
        <v>4</v>
      </c>
      <c r="G204">
        <v>45877</v>
      </c>
      <c r="H204">
        <v>4</v>
      </c>
      <c r="I204">
        <v>43</v>
      </c>
      <c r="J204">
        <v>4</v>
      </c>
      <c r="K204">
        <v>93</v>
      </c>
      <c r="L204" t="s">
        <v>51</v>
      </c>
    </row>
    <row r="205" spans="1:12" x14ac:dyDescent="0.25">
      <c r="A205" t="s">
        <v>247</v>
      </c>
      <c r="B205" t="s">
        <v>40</v>
      </c>
      <c r="C205" t="s">
        <v>25</v>
      </c>
      <c r="D205">
        <v>27</v>
      </c>
      <c r="E205" t="s">
        <v>19</v>
      </c>
      <c r="F205">
        <v>5</v>
      </c>
      <c r="G205">
        <v>45604</v>
      </c>
      <c r="H205">
        <v>13</v>
      </c>
      <c r="I205">
        <v>43</v>
      </c>
      <c r="J205">
        <v>3</v>
      </c>
      <c r="K205">
        <v>97</v>
      </c>
      <c r="L205" t="s">
        <v>51</v>
      </c>
    </row>
    <row r="206" spans="1:12" x14ac:dyDescent="0.25">
      <c r="A206" t="s">
        <v>248</v>
      </c>
      <c r="B206" t="s">
        <v>21</v>
      </c>
      <c r="C206" t="s">
        <v>29</v>
      </c>
      <c r="D206">
        <v>26</v>
      </c>
      <c r="E206" t="s">
        <v>15</v>
      </c>
      <c r="F206">
        <v>7</v>
      </c>
      <c r="G206">
        <v>25591</v>
      </c>
      <c r="H206">
        <v>15</v>
      </c>
      <c r="I206">
        <v>40</v>
      </c>
      <c r="J206">
        <v>1</v>
      </c>
      <c r="K206">
        <v>100</v>
      </c>
      <c r="L206" t="s">
        <v>32</v>
      </c>
    </row>
    <row r="207" spans="1:12" x14ac:dyDescent="0.25">
      <c r="A207" t="s">
        <v>249</v>
      </c>
      <c r="B207" t="s">
        <v>13</v>
      </c>
      <c r="C207" t="s">
        <v>25</v>
      </c>
      <c r="D207">
        <v>37</v>
      </c>
      <c r="E207" t="s">
        <v>15</v>
      </c>
      <c r="F207">
        <v>8</v>
      </c>
      <c r="G207">
        <v>54449</v>
      </c>
      <c r="H207">
        <v>8</v>
      </c>
      <c r="I207">
        <v>38</v>
      </c>
      <c r="J207">
        <v>2</v>
      </c>
      <c r="K207">
        <v>89</v>
      </c>
      <c r="L207" t="s">
        <v>23</v>
      </c>
    </row>
    <row r="208" spans="1:12" x14ac:dyDescent="0.25">
      <c r="A208" t="s">
        <v>250</v>
      </c>
      <c r="B208" t="s">
        <v>18</v>
      </c>
      <c r="C208" t="s">
        <v>22</v>
      </c>
      <c r="D208">
        <v>27</v>
      </c>
      <c r="E208" t="s">
        <v>19</v>
      </c>
      <c r="F208">
        <v>3</v>
      </c>
      <c r="G208">
        <v>57141</v>
      </c>
      <c r="H208">
        <v>4</v>
      </c>
      <c r="I208">
        <v>44</v>
      </c>
      <c r="J208">
        <v>4</v>
      </c>
      <c r="K208">
        <v>94</v>
      </c>
      <c r="L208" t="s">
        <v>32</v>
      </c>
    </row>
    <row r="209" spans="1:12" x14ac:dyDescent="0.25">
      <c r="A209" t="s">
        <v>251</v>
      </c>
      <c r="B209" t="s">
        <v>81</v>
      </c>
      <c r="C209" t="s">
        <v>22</v>
      </c>
      <c r="D209">
        <v>22</v>
      </c>
      <c r="E209" t="s">
        <v>15</v>
      </c>
      <c r="F209">
        <v>4</v>
      </c>
      <c r="G209">
        <v>43916</v>
      </c>
      <c r="H209">
        <v>8</v>
      </c>
      <c r="I209">
        <v>43</v>
      </c>
      <c r="J209">
        <v>3</v>
      </c>
      <c r="K209">
        <v>96</v>
      </c>
      <c r="L209" t="s">
        <v>37</v>
      </c>
    </row>
    <row r="210" spans="1:12" x14ac:dyDescent="0.25">
      <c r="A210" t="s">
        <v>252</v>
      </c>
      <c r="B210" t="s">
        <v>70</v>
      </c>
      <c r="C210" t="s">
        <v>22</v>
      </c>
      <c r="D210">
        <v>38</v>
      </c>
      <c r="E210" t="s">
        <v>19</v>
      </c>
      <c r="F210">
        <v>1</v>
      </c>
      <c r="G210">
        <v>28635</v>
      </c>
      <c r="H210">
        <v>15</v>
      </c>
      <c r="I210">
        <v>36</v>
      </c>
      <c r="J210">
        <v>3</v>
      </c>
      <c r="K210">
        <v>99</v>
      </c>
      <c r="L210" t="s">
        <v>23</v>
      </c>
    </row>
    <row r="211" spans="1:12" x14ac:dyDescent="0.25">
      <c r="A211" t="s">
        <v>253</v>
      </c>
      <c r="B211" t="s">
        <v>36</v>
      </c>
      <c r="C211" t="s">
        <v>22</v>
      </c>
      <c r="D211">
        <v>28</v>
      </c>
      <c r="E211" t="s">
        <v>15</v>
      </c>
      <c r="F211">
        <v>11</v>
      </c>
      <c r="G211">
        <v>59465</v>
      </c>
      <c r="H211">
        <v>7</v>
      </c>
      <c r="I211">
        <v>42</v>
      </c>
      <c r="J211">
        <v>1</v>
      </c>
      <c r="K211">
        <v>100</v>
      </c>
      <c r="L211" t="s">
        <v>37</v>
      </c>
    </row>
    <row r="212" spans="1:12" x14ac:dyDescent="0.25">
      <c r="A212" t="s">
        <v>254</v>
      </c>
      <c r="B212" t="s">
        <v>89</v>
      </c>
      <c r="C212" t="s">
        <v>14</v>
      </c>
      <c r="D212">
        <v>38</v>
      </c>
      <c r="E212" t="s">
        <v>15</v>
      </c>
      <c r="F212">
        <v>14</v>
      </c>
      <c r="G212">
        <v>49179</v>
      </c>
      <c r="H212">
        <v>11</v>
      </c>
      <c r="I212">
        <v>35</v>
      </c>
      <c r="J212">
        <v>3</v>
      </c>
      <c r="K212">
        <v>98</v>
      </c>
      <c r="L212" t="s">
        <v>16</v>
      </c>
    </row>
    <row r="213" spans="1:12" x14ac:dyDescent="0.25">
      <c r="A213" t="s">
        <v>255</v>
      </c>
      <c r="B213" t="s">
        <v>83</v>
      </c>
      <c r="C213" t="s">
        <v>22</v>
      </c>
      <c r="D213">
        <v>33</v>
      </c>
      <c r="E213" t="s">
        <v>19</v>
      </c>
      <c r="F213">
        <v>13</v>
      </c>
      <c r="G213">
        <v>36595</v>
      </c>
      <c r="H213">
        <v>14</v>
      </c>
      <c r="I213">
        <v>47</v>
      </c>
      <c r="J213">
        <v>2</v>
      </c>
      <c r="K213">
        <v>88</v>
      </c>
      <c r="L213" t="s">
        <v>26</v>
      </c>
    </row>
    <row r="214" spans="1:12" x14ac:dyDescent="0.25">
      <c r="A214" t="s">
        <v>256</v>
      </c>
      <c r="B214" t="s">
        <v>18</v>
      </c>
      <c r="C214" t="s">
        <v>29</v>
      </c>
      <c r="D214">
        <v>36</v>
      </c>
      <c r="E214" t="s">
        <v>19</v>
      </c>
      <c r="F214">
        <v>14</v>
      </c>
      <c r="G214">
        <v>77981</v>
      </c>
      <c r="H214">
        <v>3</v>
      </c>
      <c r="I214">
        <v>43</v>
      </c>
      <c r="J214">
        <v>3</v>
      </c>
      <c r="K214">
        <v>90</v>
      </c>
      <c r="L214" t="s">
        <v>37</v>
      </c>
    </row>
    <row r="215" spans="1:12" x14ac:dyDescent="0.25">
      <c r="A215" t="s">
        <v>257</v>
      </c>
      <c r="B215" t="s">
        <v>70</v>
      </c>
      <c r="C215" t="s">
        <v>22</v>
      </c>
      <c r="D215">
        <v>39</v>
      </c>
      <c r="E215" t="s">
        <v>19</v>
      </c>
      <c r="F215">
        <v>6</v>
      </c>
      <c r="G215">
        <v>36458</v>
      </c>
      <c r="H215">
        <v>14</v>
      </c>
      <c r="I215">
        <v>37</v>
      </c>
      <c r="J215">
        <v>1</v>
      </c>
      <c r="K215">
        <v>91</v>
      </c>
      <c r="L215" t="s">
        <v>26</v>
      </c>
    </row>
    <row r="216" spans="1:12" x14ac:dyDescent="0.25">
      <c r="A216" t="s">
        <v>258</v>
      </c>
      <c r="B216" t="s">
        <v>36</v>
      </c>
      <c r="C216" t="s">
        <v>22</v>
      </c>
      <c r="D216">
        <v>22</v>
      </c>
      <c r="E216" t="s">
        <v>15</v>
      </c>
      <c r="F216">
        <v>3</v>
      </c>
      <c r="G216">
        <v>58673</v>
      </c>
      <c r="H216">
        <v>13</v>
      </c>
      <c r="I216">
        <v>42</v>
      </c>
      <c r="J216">
        <v>5</v>
      </c>
      <c r="K216">
        <v>94</v>
      </c>
      <c r="L216" t="s">
        <v>51</v>
      </c>
    </row>
    <row r="217" spans="1:12" x14ac:dyDescent="0.25">
      <c r="A217" t="s">
        <v>259</v>
      </c>
      <c r="B217" t="s">
        <v>21</v>
      </c>
      <c r="C217" t="s">
        <v>22</v>
      </c>
      <c r="D217">
        <v>28</v>
      </c>
      <c r="E217" t="s">
        <v>19</v>
      </c>
      <c r="F217">
        <v>8</v>
      </c>
      <c r="G217">
        <v>45589</v>
      </c>
      <c r="H217">
        <v>8</v>
      </c>
      <c r="I217">
        <v>43</v>
      </c>
      <c r="J217">
        <v>4</v>
      </c>
      <c r="K217">
        <v>94</v>
      </c>
      <c r="L217" t="s">
        <v>23</v>
      </c>
    </row>
    <row r="218" spans="1:12" x14ac:dyDescent="0.25">
      <c r="A218" t="s">
        <v>260</v>
      </c>
      <c r="B218" t="s">
        <v>31</v>
      </c>
      <c r="C218" t="s">
        <v>29</v>
      </c>
      <c r="D218">
        <v>33</v>
      </c>
      <c r="E218" t="s">
        <v>19</v>
      </c>
      <c r="F218">
        <v>6</v>
      </c>
      <c r="G218">
        <v>44763</v>
      </c>
      <c r="H218">
        <v>15</v>
      </c>
      <c r="I218">
        <v>37</v>
      </c>
      <c r="J218">
        <v>5</v>
      </c>
      <c r="K218">
        <v>97</v>
      </c>
      <c r="L218" t="s">
        <v>37</v>
      </c>
    </row>
    <row r="219" spans="1:12" x14ac:dyDescent="0.25">
      <c r="A219" t="s">
        <v>261</v>
      </c>
      <c r="B219" t="s">
        <v>65</v>
      </c>
      <c r="C219" t="s">
        <v>29</v>
      </c>
      <c r="D219">
        <v>29</v>
      </c>
      <c r="E219" t="s">
        <v>15</v>
      </c>
      <c r="F219">
        <v>11</v>
      </c>
      <c r="G219">
        <v>30474</v>
      </c>
      <c r="H219">
        <v>11</v>
      </c>
      <c r="I219">
        <v>48</v>
      </c>
      <c r="J219">
        <v>3</v>
      </c>
      <c r="K219">
        <v>90</v>
      </c>
      <c r="L219" t="s">
        <v>51</v>
      </c>
    </row>
    <row r="220" spans="1:12" x14ac:dyDescent="0.25">
      <c r="A220" t="s">
        <v>262</v>
      </c>
      <c r="B220" t="s">
        <v>36</v>
      </c>
      <c r="C220" t="s">
        <v>29</v>
      </c>
      <c r="D220">
        <v>35</v>
      </c>
      <c r="E220" t="s">
        <v>19</v>
      </c>
      <c r="F220">
        <v>14</v>
      </c>
      <c r="G220">
        <v>35984</v>
      </c>
      <c r="H220">
        <v>12</v>
      </c>
      <c r="I220">
        <v>43</v>
      </c>
      <c r="J220">
        <v>1</v>
      </c>
      <c r="K220">
        <v>98</v>
      </c>
      <c r="L220" t="s">
        <v>51</v>
      </c>
    </row>
    <row r="221" spans="1:12" x14ac:dyDescent="0.25">
      <c r="A221" t="s">
        <v>263</v>
      </c>
      <c r="B221" t="s">
        <v>81</v>
      </c>
      <c r="C221" t="s">
        <v>25</v>
      </c>
      <c r="D221">
        <v>29</v>
      </c>
      <c r="E221" t="s">
        <v>15</v>
      </c>
      <c r="F221">
        <v>12</v>
      </c>
      <c r="G221">
        <v>72963</v>
      </c>
      <c r="H221">
        <v>15</v>
      </c>
      <c r="I221">
        <v>37</v>
      </c>
      <c r="J221">
        <v>1</v>
      </c>
      <c r="K221">
        <v>92</v>
      </c>
      <c r="L221" t="s">
        <v>26</v>
      </c>
    </row>
    <row r="222" spans="1:12" x14ac:dyDescent="0.25">
      <c r="A222" t="s">
        <v>264</v>
      </c>
      <c r="B222" t="s">
        <v>83</v>
      </c>
      <c r="C222" t="s">
        <v>29</v>
      </c>
      <c r="D222">
        <v>29</v>
      </c>
      <c r="E222" t="s">
        <v>15</v>
      </c>
      <c r="F222">
        <v>10</v>
      </c>
      <c r="G222">
        <v>44774</v>
      </c>
      <c r="H222">
        <v>10</v>
      </c>
      <c r="I222">
        <v>43</v>
      </c>
      <c r="J222">
        <v>1</v>
      </c>
      <c r="K222">
        <v>86</v>
      </c>
      <c r="L222" t="s">
        <v>37</v>
      </c>
    </row>
    <row r="223" spans="1:12" x14ac:dyDescent="0.25">
      <c r="A223" t="s">
        <v>265</v>
      </c>
      <c r="B223" t="s">
        <v>63</v>
      </c>
      <c r="C223" t="s">
        <v>29</v>
      </c>
      <c r="D223">
        <v>24</v>
      </c>
      <c r="E223" t="s">
        <v>15</v>
      </c>
      <c r="F223">
        <v>9</v>
      </c>
      <c r="G223">
        <v>63268</v>
      </c>
      <c r="H223">
        <v>9</v>
      </c>
      <c r="I223">
        <v>37</v>
      </c>
      <c r="J223">
        <v>5</v>
      </c>
      <c r="K223">
        <v>95</v>
      </c>
      <c r="L223" t="s">
        <v>32</v>
      </c>
    </row>
    <row r="224" spans="1:12" x14ac:dyDescent="0.25">
      <c r="A224" t="s">
        <v>266</v>
      </c>
      <c r="B224" t="s">
        <v>13</v>
      </c>
      <c r="C224" t="s">
        <v>29</v>
      </c>
      <c r="D224">
        <v>31</v>
      </c>
      <c r="E224" t="s">
        <v>19</v>
      </c>
      <c r="F224">
        <v>2</v>
      </c>
      <c r="G224">
        <v>55045</v>
      </c>
      <c r="H224">
        <v>6</v>
      </c>
      <c r="I224">
        <v>39</v>
      </c>
      <c r="J224">
        <v>5</v>
      </c>
      <c r="K224">
        <v>95</v>
      </c>
      <c r="L224" t="s">
        <v>37</v>
      </c>
    </row>
    <row r="225" spans="1:12" x14ac:dyDescent="0.25">
      <c r="A225" t="s">
        <v>267</v>
      </c>
      <c r="B225" t="s">
        <v>34</v>
      </c>
      <c r="C225" t="s">
        <v>29</v>
      </c>
      <c r="D225">
        <v>27</v>
      </c>
      <c r="E225" t="s">
        <v>15</v>
      </c>
      <c r="F225">
        <v>10</v>
      </c>
      <c r="G225">
        <v>55668</v>
      </c>
      <c r="H225">
        <v>6</v>
      </c>
      <c r="I225">
        <v>37</v>
      </c>
      <c r="J225">
        <v>2</v>
      </c>
      <c r="K225">
        <v>98</v>
      </c>
      <c r="L225" t="s">
        <v>23</v>
      </c>
    </row>
    <row r="226" spans="1:12" x14ac:dyDescent="0.25">
      <c r="A226" t="s">
        <v>268</v>
      </c>
      <c r="B226" t="s">
        <v>70</v>
      </c>
      <c r="C226" t="s">
        <v>14</v>
      </c>
      <c r="D226">
        <v>39</v>
      </c>
      <c r="E226" t="s">
        <v>15</v>
      </c>
      <c r="F226">
        <v>9</v>
      </c>
      <c r="G226">
        <v>54495</v>
      </c>
      <c r="H226">
        <v>12</v>
      </c>
      <c r="I226">
        <v>49</v>
      </c>
      <c r="J226">
        <v>3</v>
      </c>
      <c r="K226">
        <v>90</v>
      </c>
      <c r="L226" t="s">
        <v>37</v>
      </c>
    </row>
    <row r="227" spans="1:12" x14ac:dyDescent="0.25">
      <c r="A227" t="s">
        <v>269</v>
      </c>
      <c r="B227" t="s">
        <v>34</v>
      </c>
      <c r="C227" t="s">
        <v>25</v>
      </c>
      <c r="D227">
        <v>34</v>
      </c>
      <c r="E227" t="s">
        <v>19</v>
      </c>
      <c r="F227">
        <v>8</v>
      </c>
      <c r="G227">
        <v>59582</v>
      </c>
      <c r="H227">
        <v>13</v>
      </c>
      <c r="I227">
        <v>37</v>
      </c>
      <c r="J227">
        <v>5</v>
      </c>
      <c r="K227">
        <v>99</v>
      </c>
      <c r="L227" t="s">
        <v>26</v>
      </c>
    </row>
    <row r="228" spans="1:12" x14ac:dyDescent="0.25">
      <c r="A228" t="s">
        <v>270</v>
      </c>
      <c r="B228" t="s">
        <v>40</v>
      </c>
      <c r="C228" t="s">
        <v>22</v>
      </c>
      <c r="D228">
        <v>36</v>
      </c>
      <c r="E228" t="s">
        <v>15</v>
      </c>
      <c r="F228">
        <v>4</v>
      </c>
      <c r="G228">
        <v>55981</v>
      </c>
      <c r="H228">
        <v>3</v>
      </c>
      <c r="I228">
        <v>48</v>
      </c>
      <c r="J228">
        <v>3</v>
      </c>
      <c r="K228">
        <v>87</v>
      </c>
      <c r="L228" t="s">
        <v>16</v>
      </c>
    </row>
    <row r="229" spans="1:12" x14ac:dyDescent="0.25">
      <c r="A229" t="s">
        <v>271</v>
      </c>
      <c r="B229" t="s">
        <v>13</v>
      </c>
      <c r="C229" t="s">
        <v>29</v>
      </c>
      <c r="D229">
        <v>37</v>
      </c>
      <c r="E229" t="s">
        <v>15</v>
      </c>
      <c r="F229">
        <v>8</v>
      </c>
      <c r="G229">
        <v>78107</v>
      </c>
      <c r="H229">
        <v>10</v>
      </c>
      <c r="I229">
        <v>35</v>
      </c>
      <c r="J229">
        <v>2</v>
      </c>
      <c r="K229">
        <v>90</v>
      </c>
      <c r="L229" t="s">
        <v>26</v>
      </c>
    </row>
    <row r="230" spans="1:12" x14ac:dyDescent="0.25">
      <c r="A230" t="s">
        <v>272</v>
      </c>
      <c r="B230" t="s">
        <v>63</v>
      </c>
      <c r="C230" t="s">
        <v>29</v>
      </c>
      <c r="D230">
        <v>35</v>
      </c>
      <c r="E230" t="s">
        <v>19</v>
      </c>
      <c r="F230">
        <v>9</v>
      </c>
      <c r="G230">
        <v>30701</v>
      </c>
      <c r="H230">
        <v>6</v>
      </c>
      <c r="I230">
        <v>35</v>
      </c>
      <c r="J230">
        <v>2</v>
      </c>
      <c r="K230">
        <v>89</v>
      </c>
      <c r="L230" t="s">
        <v>26</v>
      </c>
    </row>
    <row r="231" spans="1:12" x14ac:dyDescent="0.25">
      <c r="A231" t="s">
        <v>273</v>
      </c>
      <c r="B231" t="s">
        <v>53</v>
      </c>
      <c r="C231" t="s">
        <v>14</v>
      </c>
      <c r="D231">
        <v>27</v>
      </c>
      <c r="E231" t="s">
        <v>15</v>
      </c>
      <c r="F231">
        <v>7</v>
      </c>
      <c r="G231">
        <v>41022</v>
      </c>
      <c r="H231">
        <v>3</v>
      </c>
      <c r="I231">
        <v>37</v>
      </c>
      <c r="J231">
        <v>3</v>
      </c>
      <c r="K231">
        <v>86</v>
      </c>
      <c r="L231" t="s">
        <v>37</v>
      </c>
    </row>
    <row r="232" spans="1:12" x14ac:dyDescent="0.25">
      <c r="A232" t="s">
        <v>274</v>
      </c>
      <c r="B232" t="s">
        <v>45</v>
      </c>
      <c r="C232" t="s">
        <v>25</v>
      </c>
      <c r="D232">
        <v>39</v>
      </c>
      <c r="E232" t="s">
        <v>15</v>
      </c>
      <c r="F232">
        <v>3</v>
      </c>
      <c r="G232">
        <v>58783</v>
      </c>
      <c r="H232">
        <v>13</v>
      </c>
      <c r="I232">
        <v>42</v>
      </c>
      <c r="J232">
        <v>5</v>
      </c>
      <c r="K232">
        <v>99</v>
      </c>
      <c r="L232" t="s">
        <v>51</v>
      </c>
    </row>
    <row r="233" spans="1:12" x14ac:dyDescent="0.25">
      <c r="A233" t="s">
        <v>275</v>
      </c>
      <c r="B233" t="s">
        <v>28</v>
      </c>
      <c r="C233" t="s">
        <v>25</v>
      </c>
      <c r="D233">
        <v>34</v>
      </c>
      <c r="E233" t="s">
        <v>15</v>
      </c>
      <c r="F233">
        <v>3</v>
      </c>
      <c r="G233">
        <v>78997</v>
      </c>
      <c r="H233">
        <v>4</v>
      </c>
      <c r="I233">
        <v>47</v>
      </c>
      <c r="J233">
        <v>5</v>
      </c>
      <c r="K233">
        <v>97</v>
      </c>
      <c r="L233" t="s">
        <v>37</v>
      </c>
    </row>
    <row r="234" spans="1:12" x14ac:dyDescent="0.25">
      <c r="A234" t="s">
        <v>276</v>
      </c>
      <c r="B234" t="s">
        <v>31</v>
      </c>
      <c r="C234" t="s">
        <v>25</v>
      </c>
      <c r="D234">
        <v>37</v>
      </c>
      <c r="E234" t="s">
        <v>15</v>
      </c>
      <c r="F234">
        <v>10</v>
      </c>
      <c r="G234">
        <v>76531</v>
      </c>
      <c r="H234">
        <v>12</v>
      </c>
      <c r="I234">
        <v>43</v>
      </c>
      <c r="J234">
        <v>5</v>
      </c>
      <c r="K234">
        <v>98</v>
      </c>
      <c r="L234" t="s">
        <v>26</v>
      </c>
    </row>
    <row r="235" spans="1:12" x14ac:dyDescent="0.25">
      <c r="A235" t="s">
        <v>277</v>
      </c>
      <c r="B235" t="s">
        <v>45</v>
      </c>
      <c r="C235" t="s">
        <v>22</v>
      </c>
      <c r="D235">
        <v>22</v>
      </c>
      <c r="E235" t="s">
        <v>15</v>
      </c>
      <c r="F235">
        <v>8</v>
      </c>
      <c r="G235">
        <v>57478</v>
      </c>
      <c r="H235">
        <v>7</v>
      </c>
      <c r="I235">
        <v>45</v>
      </c>
      <c r="J235">
        <v>4</v>
      </c>
      <c r="K235">
        <v>88</v>
      </c>
      <c r="L235" t="s">
        <v>32</v>
      </c>
    </row>
    <row r="236" spans="1:12" x14ac:dyDescent="0.25">
      <c r="A236" t="s">
        <v>278</v>
      </c>
      <c r="B236" t="s">
        <v>65</v>
      </c>
      <c r="C236" t="s">
        <v>14</v>
      </c>
      <c r="D236">
        <v>23</v>
      </c>
      <c r="E236" t="s">
        <v>15</v>
      </c>
      <c r="F236">
        <v>14</v>
      </c>
      <c r="G236">
        <v>30448</v>
      </c>
      <c r="H236">
        <v>15</v>
      </c>
      <c r="I236">
        <v>41</v>
      </c>
      <c r="J236">
        <v>5</v>
      </c>
      <c r="K236">
        <v>94</v>
      </c>
      <c r="L236" t="s">
        <v>23</v>
      </c>
    </row>
    <row r="237" spans="1:12" x14ac:dyDescent="0.25">
      <c r="A237" t="s">
        <v>279</v>
      </c>
      <c r="B237" t="s">
        <v>75</v>
      </c>
      <c r="C237" t="s">
        <v>25</v>
      </c>
      <c r="D237">
        <v>39</v>
      </c>
      <c r="E237" t="s">
        <v>19</v>
      </c>
      <c r="F237">
        <v>5</v>
      </c>
      <c r="G237">
        <v>74914</v>
      </c>
      <c r="H237">
        <v>13</v>
      </c>
      <c r="I237">
        <v>38</v>
      </c>
      <c r="J237">
        <v>2</v>
      </c>
      <c r="K237">
        <v>94</v>
      </c>
      <c r="L237" t="s">
        <v>51</v>
      </c>
    </row>
    <row r="238" spans="1:12" x14ac:dyDescent="0.25">
      <c r="A238" t="s">
        <v>280</v>
      </c>
      <c r="B238" t="s">
        <v>75</v>
      </c>
      <c r="C238" t="s">
        <v>29</v>
      </c>
      <c r="D238">
        <v>24</v>
      </c>
      <c r="E238" t="s">
        <v>19</v>
      </c>
      <c r="F238">
        <v>6</v>
      </c>
      <c r="G238">
        <v>68992</v>
      </c>
      <c r="H238">
        <v>13</v>
      </c>
      <c r="I238">
        <v>45</v>
      </c>
      <c r="J238">
        <v>2</v>
      </c>
      <c r="K238">
        <v>98</v>
      </c>
      <c r="L238" t="s">
        <v>32</v>
      </c>
    </row>
    <row r="239" spans="1:12" x14ac:dyDescent="0.25">
      <c r="A239" t="s">
        <v>281</v>
      </c>
      <c r="B239" t="s">
        <v>18</v>
      </c>
      <c r="C239" t="s">
        <v>25</v>
      </c>
      <c r="D239">
        <v>38</v>
      </c>
      <c r="E239" t="s">
        <v>15</v>
      </c>
      <c r="F239">
        <v>5</v>
      </c>
      <c r="G239">
        <v>36353</v>
      </c>
      <c r="H239">
        <v>10</v>
      </c>
      <c r="I239">
        <v>45</v>
      </c>
      <c r="J239">
        <v>1</v>
      </c>
      <c r="K239">
        <v>96</v>
      </c>
      <c r="L239" t="s">
        <v>32</v>
      </c>
    </row>
    <row r="240" spans="1:12" x14ac:dyDescent="0.25">
      <c r="A240" t="s">
        <v>282</v>
      </c>
      <c r="B240" t="s">
        <v>81</v>
      </c>
      <c r="C240" t="s">
        <v>29</v>
      </c>
      <c r="D240">
        <v>34</v>
      </c>
      <c r="E240" t="s">
        <v>19</v>
      </c>
      <c r="F240">
        <v>6</v>
      </c>
      <c r="G240">
        <v>64915</v>
      </c>
      <c r="H240">
        <v>7</v>
      </c>
      <c r="I240">
        <v>38</v>
      </c>
      <c r="J240">
        <v>3</v>
      </c>
      <c r="K240">
        <v>95</v>
      </c>
      <c r="L240" t="s">
        <v>37</v>
      </c>
    </row>
    <row r="241" spans="1:12" x14ac:dyDescent="0.25">
      <c r="A241" t="s">
        <v>283</v>
      </c>
      <c r="B241" t="s">
        <v>94</v>
      </c>
      <c r="C241" t="s">
        <v>22</v>
      </c>
      <c r="D241">
        <v>30</v>
      </c>
      <c r="E241" t="s">
        <v>19</v>
      </c>
      <c r="F241">
        <v>1</v>
      </c>
      <c r="G241">
        <v>60420</v>
      </c>
      <c r="H241">
        <v>15</v>
      </c>
      <c r="I241">
        <v>39</v>
      </c>
      <c r="J241">
        <v>5</v>
      </c>
      <c r="K241">
        <v>86</v>
      </c>
      <c r="L241" t="s">
        <v>16</v>
      </c>
    </row>
    <row r="242" spans="1:12" x14ac:dyDescent="0.25">
      <c r="A242" t="s">
        <v>284</v>
      </c>
      <c r="B242" t="s">
        <v>40</v>
      </c>
      <c r="C242" t="s">
        <v>14</v>
      </c>
      <c r="D242">
        <v>33</v>
      </c>
      <c r="E242" t="s">
        <v>19</v>
      </c>
      <c r="F242">
        <v>14</v>
      </c>
      <c r="G242">
        <v>73546</v>
      </c>
      <c r="H242">
        <v>10</v>
      </c>
      <c r="I242">
        <v>48</v>
      </c>
      <c r="J242">
        <v>1</v>
      </c>
      <c r="K242">
        <v>90</v>
      </c>
      <c r="L242" t="s">
        <v>16</v>
      </c>
    </row>
    <row r="243" spans="1:12" x14ac:dyDescent="0.25">
      <c r="A243" t="s">
        <v>285</v>
      </c>
      <c r="B243" t="s">
        <v>63</v>
      </c>
      <c r="C243" t="s">
        <v>25</v>
      </c>
      <c r="D243">
        <v>24</v>
      </c>
      <c r="E243" t="s">
        <v>15</v>
      </c>
      <c r="F243">
        <v>10</v>
      </c>
      <c r="G243">
        <v>58118</v>
      </c>
      <c r="H243">
        <v>11</v>
      </c>
      <c r="I243">
        <v>48</v>
      </c>
      <c r="J243">
        <v>2</v>
      </c>
      <c r="K243">
        <v>89</v>
      </c>
      <c r="L243" t="s">
        <v>26</v>
      </c>
    </row>
    <row r="244" spans="1:12" x14ac:dyDescent="0.25">
      <c r="A244" t="s">
        <v>286</v>
      </c>
      <c r="B244" t="s">
        <v>13</v>
      </c>
      <c r="C244" t="s">
        <v>25</v>
      </c>
      <c r="D244">
        <v>30</v>
      </c>
      <c r="E244" t="s">
        <v>19</v>
      </c>
      <c r="F244">
        <v>3</v>
      </c>
      <c r="G244">
        <v>44276</v>
      </c>
      <c r="H244">
        <v>12</v>
      </c>
      <c r="I244">
        <v>49</v>
      </c>
      <c r="J244">
        <v>1</v>
      </c>
      <c r="K244">
        <v>95</v>
      </c>
      <c r="L244" t="s">
        <v>16</v>
      </c>
    </row>
    <row r="245" spans="1:12" x14ac:dyDescent="0.25">
      <c r="A245" t="s">
        <v>287</v>
      </c>
      <c r="B245" t="s">
        <v>53</v>
      </c>
      <c r="C245" t="s">
        <v>22</v>
      </c>
      <c r="D245">
        <v>25</v>
      </c>
      <c r="E245" t="s">
        <v>19</v>
      </c>
      <c r="F245">
        <v>8</v>
      </c>
      <c r="G245">
        <v>68164</v>
      </c>
      <c r="H245">
        <v>10</v>
      </c>
      <c r="I245">
        <v>43</v>
      </c>
      <c r="J245">
        <v>5</v>
      </c>
      <c r="K245">
        <v>95</v>
      </c>
      <c r="L245" t="s">
        <v>32</v>
      </c>
    </row>
    <row r="246" spans="1:12" x14ac:dyDescent="0.25">
      <c r="A246" t="s">
        <v>288</v>
      </c>
      <c r="B246" t="s">
        <v>53</v>
      </c>
      <c r="C246" t="s">
        <v>22</v>
      </c>
      <c r="D246">
        <v>28</v>
      </c>
      <c r="E246" t="s">
        <v>19</v>
      </c>
      <c r="F246">
        <v>6</v>
      </c>
      <c r="G246">
        <v>42669</v>
      </c>
      <c r="H246">
        <v>8</v>
      </c>
      <c r="I246">
        <v>48</v>
      </c>
      <c r="J246">
        <v>4</v>
      </c>
      <c r="K246">
        <v>88</v>
      </c>
      <c r="L246" t="s">
        <v>26</v>
      </c>
    </row>
    <row r="247" spans="1:12" x14ac:dyDescent="0.25">
      <c r="A247" t="s">
        <v>289</v>
      </c>
      <c r="B247" t="s">
        <v>53</v>
      </c>
      <c r="C247" t="s">
        <v>14</v>
      </c>
      <c r="D247">
        <v>27</v>
      </c>
      <c r="E247" t="s">
        <v>19</v>
      </c>
      <c r="F247">
        <v>11</v>
      </c>
      <c r="G247">
        <v>71265</v>
      </c>
      <c r="H247">
        <v>11</v>
      </c>
      <c r="I247">
        <v>47</v>
      </c>
      <c r="J247">
        <v>3</v>
      </c>
      <c r="K247">
        <v>91</v>
      </c>
      <c r="L247" t="s">
        <v>23</v>
      </c>
    </row>
    <row r="248" spans="1:12" x14ac:dyDescent="0.25">
      <c r="A248" t="s">
        <v>290</v>
      </c>
      <c r="B248" t="s">
        <v>81</v>
      </c>
      <c r="C248" t="s">
        <v>29</v>
      </c>
      <c r="D248">
        <v>33</v>
      </c>
      <c r="E248" t="s">
        <v>15</v>
      </c>
      <c r="F248">
        <v>7</v>
      </c>
      <c r="G248">
        <v>56888</v>
      </c>
      <c r="H248">
        <v>12</v>
      </c>
      <c r="I248">
        <v>45</v>
      </c>
      <c r="J248">
        <v>5</v>
      </c>
      <c r="K248">
        <v>98</v>
      </c>
      <c r="L248" t="s">
        <v>16</v>
      </c>
    </row>
    <row r="249" spans="1:12" x14ac:dyDescent="0.25">
      <c r="A249" t="s">
        <v>291</v>
      </c>
      <c r="B249" t="s">
        <v>70</v>
      </c>
      <c r="C249" t="s">
        <v>25</v>
      </c>
      <c r="D249">
        <v>28</v>
      </c>
      <c r="E249" t="s">
        <v>15</v>
      </c>
      <c r="F249">
        <v>7</v>
      </c>
      <c r="G249">
        <v>76533</v>
      </c>
      <c r="H249">
        <v>3</v>
      </c>
      <c r="I249">
        <v>44</v>
      </c>
      <c r="J249">
        <v>5</v>
      </c>
      <c r="K249">
        <v>93</v>
      </c>
      <c r="L249" t="s">
        <v>37</v>
      </c>
    </row>
    <row r="250" spans="1:12" x14ac:dyDescent="0.25">
      <c r="A250" t="s">
        <v>292</v>
      </c>
      <c r="B250" t="s">
        <v>89</v>
      </c>
      <c r="C250" t="s">
        <v>25</v>
      </c>
      <c r="D250">
        <v>27</v>
      </c>
      <c r="E250" t="s">
        <v>15</v>
      </c>
      <c r="F250">
        <v>5</v>
      </c>
      <c r="G250">
        <v>45508</v>
      </c>
      <c r="H250">
        <v>9</v>
      </c>
      <c r="I250">
        <v>41</v>
      </c>
      <c r="J250">
        <v>1</v>
      </c>
      <c r="K250">
        <v>91</v>
      </c>
      <c r="L250" t="s">
        <v>23</v>
      </c>
    </row>
    <row r="251" spans="1:12" x14ac:dyDescent="0.25">
      <c r="A251" t="s">
        <v>293</v>
      </c>
      <c r="B251" t="s">
        <v>89</v>
      </c>
      <c r="C251" t="s">
        <v>29</v>
      </c>
      <c r="D251">
        <v>40</v>
      </c>
      <c r="E251" t="s">
        <v>19</v>
      </c>
      <c r="F251">
        <v>3</v>
      </c>
      <c r="G251">
        <v>67276</v>
      </c>
      <c r="H251">
        <v>7</v>
      </c>
      <c r="I251">
        <v>48</v>
      </c>
      <c r="J251">
        <v>4</v>
      </c>
      <c r="K251">
        <v>95</v>
      </c>
      <c r="L251" t="s">
        <v>37</v>
      </c>
    </row>
    <row r="252" spans="1:12" x14ac:dyDescent="0.25">
      <c r="A252" t="s">
        <v>294</v>
      </c>
      <c r="B252" t="s">
        <v>75</v>
      </c>
      <c r="C252" t="s">
        <v>14</v>
      </c>
      <c r="D252">
        <v>30</v>
      </c>
      <c r="E252" t="s">
        <v>15</v>
      </c>
      <c r="F252">
        <v>2</v>
      </c>
      <c r="G252">
        <v>50331</v>
      </c>
      <c r="H252">
        <v>3</v>
      </c>
      <c r="I252">
        <v>48</v>
      </c>
      <c r="J252">
        <v>5</v>
      </c>
      <c r="K252">
        <v>92</v>
      </c>
      <c r="L252" t="s">
        <v>51</v>
      </c>
    </row>
    <row r="253" spans="1:12" x14ac:dyDescent="0.25">
      <c r="A253" t="s">
        <v>295</v>
      </c>
      <c r="B253" t="s">
        <v>34</v>
      </c>
      <c r="C253" t="s">
        <v>14</v>
      </c>
      <c r="D253">
        <v>23</v>
      </c>
      <c r="E253" t="s">
        <v>19</v>
      </c>
      <c r="F253">
        <v>13</v>
      </c>
      <c r="G253">
        <v>40475</v>
      </c>
      <c r="H253">
        <v>7</v>
      </c>
      <c r="I253">
        <v>49</v>
      </c>
      <c r="J253">
        <v>1</v>
      </c>
      <c r="K253">
        <v>89</v>
      </c>
      <c r="L253" t="s">
        <v>37</v>
      </c>
    </row>
    <row r="254" spans="1:12" x14ac:dyDescent="0.25">
      <c r="A254" t="s">
        <v>296</v>
      </c>
      <c r="B254" t="s">
        <v>45</v>
      </c>
      <c r="C254" t="s">
        <v>29</v>
      </c>
      <c r="D254">
        <v>35</v>
      </c>
      <c r="E254" t="s">
        <v>19</v>
      </c>
      <c r="F254">
        <v>13</v>
      </c>
      <c r="G254">
        <v>43333</v>
      </c>
      <c r="H254">
        <v>9</v>
      </c>
      <c r="I254">
        <v>36</v>
      </c>
      <c r="J254">
        <v>5</v>
      </c>
      <c r="K254">
        <v>90</v>
      </c>
      <c r="L254" t="s">
        <v>37</v>
      </c>
    </row>
    <row r="255" spans="1:12" x14ac:dyDescent="0.25">
      <c r="A255" t="s">
        <v>297</v>
      </c>
      <c r="B255" t="s">
        <v>75</v>
      </c>
      <c r="C255" t="s">
        <v>14</v>
      </c>
      <c r="D255">
        <v>28</v>
      </c>
      <c r="E255" t="s">
        <v>15</v>
      </c>
      <c r="F255">
        <v>4</v>
      </c>
      <c r="G255">
        <v>31217</v>
      </c>
      <c r="H255">
        <v>11</v>
      </c>
      <c r="I255">
        <v>39</v>
      </c>
      <c r="J255">
        <v>1</v>
      </c>
      <c r="K255">
        <v>93</v>
      </c>
      <c r="L255" t="s">
        <v>37</v>
      </c>
    </row>
    <row r="256" spans="1:12" x14ac:dyDescent="0.25">
      <c r="A256" t="s">
        <v>298</v>
      </c>
      <c r="B256" t="s">
        <v>89</v>
      </c>
      <c r="C256" t="s">
        <v>25</v>
      </c>
      <c r="D256">
        <v>33</v>
      </c>
      <c r="E256" t="s">
        <v>15</v>
      </c>
      <c r="F256">
        <v>13</v>
      </c>
      <c r="G256">
        <v>29178</v>
      </c>
      <c r="H256">
        <v>13</v>
      </c>
      <c r="I256">
        <v>37</v>
      </c>
      <c r="J256">
        <v>2</v>
      </c>
      <c r="K256">
        <v>93</v>
      </c>
      <c r="L256" t="s">
        <v>16</v>
      </c>
    </row>
    <row r="257" spans="1:12" x14ac:dyDescent="0.25">
      <c r="A257" t="s">
        <v>299</v>
      </c>
      <c r="B257" t="s">
        <v>43</v>
      </c>
      <c r="C257" t="s">
        <v>14</v>
      </c>
      <c r="D257">
        <v>35</v>
      </c>
      <c r="E257" t="s">
        <v>15</v>
      </c>
      <c r="F257">
        <v>4</v>
      </c>
      <c r="G257">
        <v>72452</v>
      </c>
      <c r="H257">
        <v>13</v>
      </c>
      <c r="I257">
        <v>35</v>
      </c>
      <c r="J257">
        <v>1</v>
      </c>
      <c r="K257">
        <v>91</v>
      </c>
      <c r="L257" t="s">
        <v>16</v>
      </c>
    </row>
    <row r="258" spans="1:12" x14ac:dyDescent="0.25">
      <c r="A258" t="s">
        <v>300</v>
      </c>
      <c r="B258" t="s">
        <v>45</v>
      </c>
      <c r="C258" t="s">
        <v>29</v>
      </c>
      <c r="D258">
        <v>31</v>
      </c>
      <c r="E258" t="s">
        <v>15</v>
      </c>
      <c r="F258">
        <v>1</v>
      </c>
      <c r="G258">
        <v>37560</v>
      </c>
      <c r="H258">
        <v>8</v>
      </c>
      <c r="I258">
        <v>44</v>
      </c>
      <c r="J258">
        <v>1</v>
      </c>
      <c r="K258">
        <v>85</v>
      </c>
      <c r="L258" t="s">
        <v>51</v>
      </c>
    </row>
    <row r="259" spans="1:12" x14ac:dyDescent="0.25">
      <c r="A259" t="s">
        <v>301</v>
      </c>
      <c r="B259" t="s">
        <v>21</v>
      </c>
      <c r="C259" t="s">
        <v>14</v>
      </c>
      <c r="D259">
        <v>40</v>
      </c>
      <c r="E259" t="s">
        <v>15</v>
      </c>
      <c r="F259">
        <v>1</v>
      </c>
      <c r="G259">
        <v>48256</v>
      </c>
      <c r="H259">
        <v>10</v>
      </c>
      <c r="I259">
        <v>39</v>
      </c>
      <c r="J259">
        <v>3</v>
      </c>
      <c r="K259">
        <v>89</v>
      </c>
      <c r="L259" t="s">
        <v>51</v>
      </c>
    </row>
    <row r="260" spans="1:12" x14ac:dyDescent="0.25">
      <c r="A260" t="s">
        <v>302</v>
      </c>
      <c r="B260" t="s">
        <v>75</v>
      </c>
      <c r="C260" t="s">
        <v>25</v>
      </c>
      <c r="D260">
        <v>29</v>
      </c>
      <c r="E260" t="s">
        <v>19</v>
      </c>
      <c r="F260">
        <v>14</v>
      </c>
      <c r="G260">
        <v>37419</v>
      </c>
      <c r="H260">
        <v>14</v>
      </c>
      <c r="I260">
        <v>38</v>
      </c>
      <c r="J260">
        <v>1</v>
      </c>
      <c r="K260">
        <v>89</v>
      </c>
      <c r="L260" t="s">
        <v>37</v>
      </c>
    </row>
    <row r="261" spans="1:12" x14ac:dyDescent="0.25">
      <c r="A261" t="s">
        <v>303</v>
      </c>
      <c r="B261" t="s">
        <v>21</v>
      </c>
      <c r="C261" t="s">
        <v>14</v>
      </c>
      <c r="D261">
        <v>26</v>
      </c>
      <c r="E261" t="s">
        <v>19</v>
      </c>
      <c r="F261">
        <v>4</v>
      </c>
      <c r="G261">
        <v>67709</v>
      </c>
      <c r="H261">
        <v>15</v>
      </c>
      <c r="I261">
        <v>39</v>
      </c>
      <c r="J261">
        <v>2</v>
      </c>
      <c r="K261">
        <v>93</v>
      </c>
      <c r="L261" t="s">
        <v>51</v>
      </c>
    </row>
    <row r="262" spans="1:12" x14ac:dyDescent="0.25">
      <c r="A262" t="s">
        <v>304</v>
      </c>
      <c r="B262" t="s">
        <v>63</v>
      </c>
      <c r="C262" t="s">
        <v>22</v>
      </c>
      <c r="D262">
        <v>27</v>
      </c>
      <c r="E262" t="s">
        <v>19</v>
      </c>
      <c r="F262">
        <v>14</v>
      </c>
      <c r="G262">
        <v>79047</v>
      </c>
      <c r="H262">
        <v>6</v>
      </c>
      <c r="I262">
        <v>35</v>
      </c>
      <c r="J262">
        <v>4</v>
      </c>
      <c r="K262">
        <v>89</v>
      </c>
      <c r="L262" t="s">
        <v>16</v>
      </c>
    </row>
    <row r="263" spans="1:12" x14ac:dyDescent="0.25">
      <c r="A263" t="s">
        <v>305</v>
      </c>
      <c r="B263" t="s">
        <v>63</v>
      </c>
      <c r="C263" t="s">
        <v>22</v>
      </c>
      <c r="D263">
        <v>29</v>
      </c>
      <c r="E263" t="s">
        <v>15</v>
      </c>
      <c r="F263">
        <v>1</v>
      </c>
      <c r="G263">
        <v>68703</v>
      </c>
      <c r="H263">
        <v>14</v>
      </c>
      <c r="I263">
        <v>42</v>
      </c>
      <c r="J263">
        <v>5</v>
      </c>
      <c r="K263">
        <v>92</v>
      </c>
      <c r="L263" t="s">
        <v>37</v>
      </c>
    </row>
    <row r="264" spans="1:12" x14ac:dyDescent="0.25">
      <c r="A264" t="s">
        <v>306</v>
      </c>
      <c r="B264" t="s">
        <v>65</v>
      </c>
      <c r="C264" t="s">
        <v>22</v>
      </c>
      <c r="D264">
        <v>30</v>
      </c>
      <c r="E264" t="s">
        <v>15</v>
      </c>
      <c r="F264">
        <v>6</v>
      </c>
      <c r="G264">
        <v>51986</v>
      </c>
      <c r="H264">
        <v>14</v>
      </c>
      <c r="I264">
        <v>46</v>
      </c>
      <c r="J264">
        <v>1</v>
      </c>
      <c r="K264">
        <v>100</v>
      </c>
      <c r="L264" t="s">
        <v>37</v>
      </c>
    </row>
    <row r="265" spans="1:12" x14ac:dyDescent="0.25">
      <c r="A265" t="s">
        <v>307</v>
      </c>
      <c r="B265" t="s">
        <v>65</v>
      </c>
      <c r="C265" t="s">
        <v>14</v>
      </c>
      <c r="D265">
        <v>35</v>
      </c>
      <c r="E265" t="s">
        <v>19</v>
      </c>
      <c r="F265">
        <v>4</v>
      </c>
      <c r="G265">
        <v>42052</v>
      </c>
      <c r="H265">
        <v>11</v>
      </c>
      <c r="I265">
        <v>40</v>
      </c>
      <c r="J265">
        <v>5</v>
      </c>
      <c r="K265">
        <v>91</v>
      </c>
      <c r="L265" t="s">
        <v>26</v>
      </c>
    </row>
    <row r="266" spans="1:12" x14ac:dyDescent="0.25">
      <c r="A266" t="s">
        <v>308</v>
      </c>
      <c r="B266" t="s">
        <v>36</v>
      </c>
      <c r="C266" t="s">
        <v>14</v>
      </c>
      <c r="D266">
        <v>25</v>
      </c>
      <c r="E266" t="s">
        <v>19</v>
      </c>
      <c r="F266">
        <v>6</v>
      </c>
      <c r="G266">
        <v>38419</v>
      </c>
      <c r="H266">
        <v>3</v>
      </c>
      <c r="I266">
        <v>42</v>
      </c>
      <c r="J266">
        <v>3</v>
      </c>
      <c r="K266">
        <v>85</v>
      </c>
      <c r="L266" t="s">
        <v>32</v>
      </c>
    </row>
    <row r="267" spans="1:12" x14ac:dyDescent="0.25">
      <c r="A267" t="s">
        <v>309</v>
      </c>
      <c r="B267" t="s">
        <v>28</v>
      </c>
      <c r="C267" t="s">
        <v>29</v>
      </c>
      <c r="D267">
        <v>39</v>
      </c>
      <c r="E267" t="s">
        <v>19</v>
      </c>
      <c r="F267">
        <v>7</v>
      </c>
      <c r="G267">
        <v>62373</v>
      </c>
      <c r="H267">
        <v>15</v>
      </c>
      <c r="I267">
        <v>49</v>
      </c>
      <c r="J267">
        <v>5</v>
      </c>
      <c r="K267">
        <v>100</v>
      </c>
      <c r="L267" t="s">
        <v>37</v>
      </c>
    </row>
    <row r="268" spans="1:12" x14ac:dyDescent="0.25">
      <c r="A268" t="s">
        <v>310</v>
      </c>
      <c r="B268" t="s">
        <v>18</v>
      </c>
      <c r="C268" t="s">
        <v>22</v>
      </c>
      <c r="D268">
        <v>25</v>
      </c>
      <c r="E268" t="s">
        <v>19</v>
      </c>
      <c r="F268">
        <v>2</v>
      </c>
      <c r="G268">
        <v>25137</v>
      </c>
      <c r="H268">
        <v>14</v>
      </c>
      <c r="I268">
        <v>43</v>
      </c>
      <c r="J268">
        <v>2</v>
      </c>
      <c r="K268">
        <v>95</v>
      </c>
      <c r="L268" t="s">
        <v>16</v>
      </c>
    </row>
    <row r="269" spans="1:12" x14ac:dyDescent="0.25">
      <c r="A269" t="s">
        <v>311</v>
      </c>
      <c r="B269" t="s">
        <v>34</v>
      </c>
      <c r="C269" t="s">
        <v>29</v>
      </c>
      <c r="D269">
        <v>37</v>
      </c>
      <c r="E269" t="s">
        <v>15</v>
      </c>
      <c r="F269">
        <v>12</v>
      </c>
      <c r="G269">
        <v>55287</v>
      </c>
      <c r="H269">
        <v>5</v>
      </c>
      <c r="I269">
        <v>49</v>
      </c>
      <c r="J269">
        <v>5</v>
      </c>
      <c r="K269">
        <v>85</v>
      </c>
      <c r="L269" t="s">
        <v>32</v>
      </c>
    </row>
    <row r="270" spans="1:12" x14ac:dyDescent="0.25">
      <c r="A270" t="s">
        <v>312</v>
      </c>
      <c r="B270" t="s">
        <v>89</v>
      </c>
      <c r="C270" t="s">
        <v>14</v>
      </c>
      <c r="D270">
        <v>32</v>
      </c>
      <c r="E270" t="s">
        <v>15</v>
      </c>
      <c r="F270">
        <v>6</v>
      </c>
      <c r="G270">
        <v>79551</v>
      </c>
      <c r="H270">
        <v>7</v>
      </c>
      <c r="I270">
        <v>38</v>
      </c>
      <c r="J270">
        <v>5</v>
      </c>
      <c r="K270">
        <v>87</v>
      </c>
      <c r="L270" t="s">
        <v>26</v>
      </c>
    </row>
    <row r="271" spans="1:12" x14ac:dyDescent="0.25">
      <c r="A271" t="s">
        <v>313</v>
      </c>
      <c r="B271" t="s">
        <v>31</v>
      </c>
      <c r="C271" t="s">
        <v>14</v>
      </c>
      <c r="D271">
        <v>40</v>
      </c>
      <c r="E271" t="s">
        <v>15</v>
      </c>
      <c r="F271">
        <v>7</v>
      </c>
      <c r="G271">
        <v>68473</v>
      </c>
      <c r="H271">
        <v>9</v>
      </c>
      <c r="I271">
        <v>45</v>
      </c>
      <c r="J271">
        <v>2</v>
      </c>
      <c r="K271">
        <v>96</v>
      </c>
      <c r="L271" t="s">
        <v>32</v>
      </c>
    </row>
    <row r="272" spans="1:12" x14ac:dyDescent="0.25">
      <c r="A272" t="s">
        <v>314</v>
      </c>
      <c r="B272" t="s">
        <v>70</v>
      </c>
      <c r="C272" t="s">
        <v>29</v>
      </c>
      <c r="D272">
        <v>26</v>
      </c>
      <c r="E272" t="s">
        <v>15</v>
      </c>
      <c r="F272">
        <v>14</v>
      </c>
      <c r="G272">
        <v>67518</v>
      </c>
      <c r="H272">
        <v>11</v>
      </c>
      <c r="I272">
        <v>40</v>
      </c>
      <c r="J272">
        <v>5</v>
      </c>
      <c r="K272">
        <v>90</v>
      </c>
      <c r="L272" t="s">
        <v>32</v>
      </c>
    </row>
    <row r="273" spans="1:12" x14ac:dyDescent="0.25">
      <c r="A273" t="s">
        <v>315</v>
      </c>
      <c r="B273" t="s">
        <v>13</v>
      </c>
      <c r="C273" t="s">
        <v>25</v>
      </c>
      <c r="D273">
        <v>30</v>
      </c>
      <c r="E273" t="s">
        <v>19</v>
      </c>
      <c r="F273">
        <v>10</v>
      </c>
      <c r="G273">
        <v>48503</v>
      </c>
      <c r="H273">
        <v>13</v>
      </c>
      <c r="I273">
        <v>35</v>
      </c>
      <c r="J273">
        <v>4</v>
      </c>
      <c r="K273">
        <v>92</v>
      </c>
      <c r="L273" t="s">
        <v>23</v>
      </c>
    </row>
    <row r="274" spans="1:12" x14ac:dyDescent="0.25">
      <c r="A274" t="s">
        <v>316</v>
      </c>
      <c r="B274" t="s">
        <v>45</v>
      </c>
      <c r="C274" t="s">
        <v>22</v>
      </c>
      <c r="D274">
        <v>37</v>
      </c>
      <c r="E274" t="s">
        <v>15</v>
      </c>
      <c r="F274">
        <v>12</v>
      </c>
      <c r="G274">
        <v>41107</v>
      </c>
      <c r="H274">
        <v>11</v>
      </c>
      <c r="I274">
        <v>40</v>
      </c>
      <c r="J274">
        <v>1</v>
      </c>
      <c r="K274">
        <v>85</v>
      </c>
      <c r="L274" t="s">
        <v>51</v>
      </c>
    </row>
    <row r="275" spans="1:12" x14ac:dyDescent="0.25">
      <c r="A275" t="s">
        <v>317</v>
      </c>
      <c r="B275" t="s">
        <v>63</v>
      </c>
      <c r="C275" t="s">
        <v>25</v>
      </c>
      <c r="D275">
        <v>28</v>
      </c>
      <c r="E275" t="s">
        <v>19</v>
      </c>
      <c r="F275">
        <v>9</v>
      </c>
      <c r="G275">
        <v>65062</v>
      </c>
      <c r="H275">
        <v>11</v>
      </c>
      <c r="I275">
        <v>42</v>
      </c>
      <c r="J275">
        <v>4</v>
      </c>
      <c r="K275">
        <v>96</v>
      </c>
      <c r="L275" t="s">
        <v>32</v>
      </c>
    </row>
    <row r="276" spans="1:12" x14ac:dyDescent="0.25">
      <c r="A276" t="s">
        <v>318</v>
      </c>
      <c r="B276" t="s">
        <v>94</v>
      </c>
      <c r="C276" t="s">
        <v>22</v>
      </c>
      <c r="D276">
        <v>33</v>
      </c>
      <c r="E276" t="s">
        <v>15</v>
      </c>
      <c r="F276">
        <v>7</v>
      </c>
      <c r="G276">
        <v>42725</v>
      </c>
      <c r="H276">
        <v>3</v>
      </c>
      <c r="I276">
        <v>48</v>
      </c>
      <c r="J276">
        <v>3</v>
      </c>
      <c r="K276">
        <v>85</v>
      </c>
      <c r="L276" t="s">
        <v>32</v>
      </c>
    </row>
    <row r="277" spans="1:12" x14ac:dyDescent="0.25">
      <c r="A277" t="s">
        <v>319</v>
      </c>
      <c r="B277" t="s">
        <v>43</v>
      </c>
      <c r="C277" t="s">
        <v>29</v>
      </c>
      <c r="D277">
        <v>27</v>
      </c>
      <c r="E277" t="s">
        <v>15</v>
      </c>
      <c r="F277">
        <v>5</v>
      </c>
      <c r="G277">
        <v>73427</v>
      </c>
      <c r="H277">
        <v>3</v>
      </c>
      <c r="I277">
        <v>41</v>
      </c>
      <c r="J277">
        <v>4</v>
      </c>
      <c r="K277">
        <v>89</v>
      </c>
      <c r="L277" t="s">
        <v>23</v>
      </c>
    </row>
    <row r="278" spans="1:12" x14ac:dyDescent="0.25">
      <c r="A278" t="s">
        <v>320</v>
      </c>
      <c r="B278" t="s">
        <v>81</v>
      </c>
      <c r="C278" t="s">
        <v>22</v>
      </c>
      <c r="D278">
        <v>38</v>
      </c>
      <c r="E278" t="s">
        <v>19</v>
      </c>
      <c r="F278">
        <v>11</v>
      </c>
      <c r="G278">
        <v>79357</v>
      </c>
      <c r="H278">
        <v>14</v>
      </c>
      <c r="I278">
        <v>46</v>
      </c>
      <c r="J278">
        <v>1</v>
      </c>
      <c r="K278">
        <v>94</v>
      </c>
      <c r="L278" t="s">
        <v>23</v>
      </c>
    </row>
    <row r="279" spans="1:12" x14ac:dyDescent="0.25">
      <c r="A279" t="s">
        <v>321</v>
      </c>
      <c r="B279" t="s">
        <v>75</v>
      </c>
      <c r="C279" t="s">
        <v>14</v>
      </c>
      <c r="D279">
        <v>38</v>
      </c>
      <c r="E279" t="s">
        <v>19</v>
      </c>
      <c r="F279">
        <v>4</v>
      </c>
      <c r="G279">
        <v>64491</v>
      </c>
      <c r="H279">
        <v>8</v>
      </c>
      <c r="I279">
        <v>39</v>
      </c>
      <c r="J279">
        <v>3</v>
      </c>
      <c r="K279">
        <v>97</v>
      </c>
      <c r="L279" t="s">
        <v>32</v>
      </c>
    </row>
    <row r="280" spans="1:12" x14ac:dyDescent="0.25">
      <c r="A280" t="s">
        <v>322</v>
      </c>
      <c r="B280" t="s">
        <v>65</v>
      </c>
      <c r="C280" t="s">
        <v>25</v>
      </c>
      <c r="D280">
        <v>29</v>
      </c>
      <c r="E280" t="s">
        <v>15</v>
      </c>
      <c r="F280">
        <v>12</v>
      </c>
      <c r="G280">
        <v>72940</v>
      </c>
      <c r="H280">
        <v>14</v>
      </c>
      <c r="I280">
        <v>36</v>
      </c>
      <c r="J280">
        <v>5</v>
      </c>
      <c r="K280">
        <v>99</v>
      </c>
      <c r="L280" t="s">
        <v>32</v>
      </c>
    </row>
    <row r="281" spans="1:12" x14ac:dyDescent="0.25">
      <c r="A281" t="s">
        <v>323</v>
      </c>
      <c r="B281" t="s">
        <v>45</v>
      </c>
      <c r="C281" t="s">
        <v>25</v>
      </c>
      <c r="D281">
        <v>30</v>
      </c>
      <c r="E281" t="s">
        <v>15</v>
      </c>
      <c r="F281">
        <v>2</v>
      </c>
      <c r="G281">
        <v>42326</v>
      </c>
      <c r="H281">
        <v>9</v>
      </c>
      <c r="I281">
        <v>41</v>
      </c>
      <c r="J281">
        <v>1</v>
      </c>
      <c r="K281">
        <v>99</v>
      </c>
      <c r="L281" t="s">
        <v>51</v>
      </c>
    </row>
    <row r="282" spans="1:12" x14ac:dyDescent="0.25">
      <c r="A282" t="s">
        <v>324</v>
      </c>
      <c r="B282" t="s">
        <v>77</v>
      </c>
      <c r="C282" t="s">
        <v>29</v>
      </c>
      <c r="D282">
        <v>40</v>
      </c>
      <c r="E282" t="s">
        <v>15</v>
      </c>
      <c r="F282">
        <v>3</v>
      </c>
      <c r="G282">
        <v>34670</v>
      </c>
      <c r="H282">
        <v>7</v>
      </c>
      <c r="I282">
        <v>46</v>
      </c>
      <c r="J282">
        <v>4</v>
      </c>
      <c r="K282">
        <v>92</v>
      </c>
      <c r="L282" t="s">
        <v>32</v>
      </c>
    </row>
    <row r="283" spans="1:12" x14ac:dyDescent="0.25">
      <c r="A283" t="s">
        <v>325</v>
      </c>
      <c r="B283" t="s">
        <v>77</v>
      </c>
      <c r="C283" t="s">
        <v>14</v>
      </c>
      <c r="D283">
        <v>33</v>
      </c>
      <c r="E283" t="s">
        <v>19</v>
      </c>
      <c r="F283">
        <v>7</v>
      </c>
      <c r="G283">
        <v>75863</v>
      </c>
      <c r="H283">
        <v>3</v>
      </c>
      <c r="I283">
        <v>41</v>
      </c>
      <c r="J283">
        <v>4</v>
      </c>
      <c r="K283">
        <v>85</v>
      </c>
      <c r="L283" t="s">
        <v>37</v>
      </c>
    </row>
    <row r="284" spans="1:12" x14ac:dyDescent="0.25">
      <c r="A284" t="s">
        <v>326</v>
      </c>
      <c r="B284" t="s">
        <v>36</v>
      </c>
      <c r="C284" t="s">
        <v>25</v>
      </c>
      <c r="D284">
        <v>40</v>
      </c>
      <c r="E284" t="s">
        <v>15</v>
      </c>
      <c r="F284">
        <v>12</v>
      </c>
      <c r="G284">
        <v>68631</v>
      </c>
      <c r="H284">
        <v>6</v>
      </c>
      <c r="I284">
        <v>38</v>
      </c>
      <c r="J284">
        <v>5</v>
      </c>
      <c r="K284">
        <v>86</v>
      </c>
      <c r="L284" t="s">
        <v>51</v>
      </c>
    </row>
    <row r="285" spans="1:12" x14ac:dyDescent="0.25">
      <c r="A285" t="s">
        <v>327</v>
      </c>
      <c r="B285" t="s">
        <v>13</v>
      </c>
      <c r="C285" t="s">
        <v>25</v>
      </c>
      <c r="D285">
        <v>37</v>
      </c>
      <c r="E285" t="s">
        <v>19</v>
      </c>
      <c r="F285">
        <v>8</v>
      </c>
      <c r="G285">
        <v>29631</v>
      </c>
      <c r="H285">
        <v>6</v>
      </c>
      <c r="I285">
        <v>35</v>
      </c>
      <c r="J285">
        <v>3</v>
      </c>
      <c r="K285">
        <v>89</v>
      </c>
      <c r="L285" t="s">
        <v>16</v>
      </c>
    </row>
    <row r="286" spans="1:12" x14ac:dyDescent="0.25">
      <c r="A286" t="s">
        <v>328</v>
      </c>
      <c r="B286" t="s">
        <v>81</v>
      </c>
      <c r="C286" t="s">
        <v>29</v>
      </c>
      <c r="D286">
        <v>27</v>
      </c>
      <c r="E286" t="s">
        <v>15</v>
      </c>
      <c r="F286">
        <v>6</v>
      </c>
      <c r="G286">
        <v>25214</v>
      </c>
      <c r="H286">
        <v>5</v>
      </c>
      <c r="I286">
        <v>48</v>
      </c>
      <c r="J286">
        <v>2</v>
      </c>
      <c r="K286">
        <v>99</v>
      </c>
      <c r="L286" t="s">
        <v>51</v>
      </c>
    </row>
    <row r="287" spans="1:12" x14ac:dyDescent="0.25">
      <c r="A287" t="s">
        <v>329</v>
      </c>
      <c r="B287" t="s">
        <v>53</v>
      </c>
      <c r="C287" t="s">
        <v>29</v>
      </c>
      <c r="D287">
        <v>29</v>
      </c>
      <c r="E287" t="s">
        <v>15</v>
      </c>
      <c r="F287">
        <v>13</v>
      </c>
      <c r="G287">
        <v>42399</v>
      </c>
      <c r="H287">
        <v>11</v>
      </c>
      <c r="I287">
        <v>42</v>
      </c>
      <c r="J287">
        <v>3</v>
      </c>
      <c r="K287">
        <v>100</v>
      </c>
      <c r="L287" t="s">
        <v>32</v>
      </c>
    </row>
    <row r="288" spans="1:12" x14ac:dyDescent="0.25">
      <c r="A288" t="s">
        <v>330</v>
      </c>
      <c r="B288" t="s">
        <v>13</v>
      </c>
      <c r="C288" t="s">
        <v>29</v>
      </c>
      <c r="D288">
        <v>22</v>
      </c>
      <c r="E288" t="s">
        <v>19</v>
      </c>
      <c r="F288">
        <v>15</v>
      </c>
      <c r="G288">
        <v>52695</v>
      </c>
      <c r="H288">
        <v>14</v>
      </c>
      <c r="I288">
        <v>37</v>
      </c>
      <c r="J288">
        <v>1</v>
      </c>
      <c r="K288">
        <v>96</v>
      </c>
      <c r="L288" t="s">
        <v>23</v>
      </c>
    </row>
    <row r="289" spans="1:12" x14ac:dyDescent="0.25">
      <c r="A289" t="s">
        <v>331</v>
      </c>
      <c r="B289" t="s">
        <v>31</v>
      </c>
      <c r="C289" t="s">
        <v>22</v>
      </c>
      <c r="D289">
        <v>26</v>
      </c>
      <c r="E289" t="s">
        <v>15</v>
      </c>
      <c r="F289">
        <v>13</v>
      </c>
      <c r="G289">
        <v>56603</v>
      </c>
      <c r="H289">
        <v>5</v>
      </c>
      <c r="I289">
        <v>38</v>
      </c>
      <c r="J289">
        <v>3</v>
      </c>
      <c r="K289">
        <v>91</v>
      </c>
      <c r="L289" t="s">
        <v>23</v>
      </c>
    </row>
    <row r="290" spans="1:12" x14ac:dyDescent="0.25">
      <c r="A290" t="s">
        <v>332</v>
      </c>
      <c r="B290" t="s">
        <v>21</v>
      </c>
      <c r="C290" t="s">
        <v>25</v>
      </c>
      <c r="D290">
        <v>31</v>
      </c>
      <c r="E290" t="s">
        <v>15</v>
      </c>
      <c r="F290">
        <v>9</v>
      </c>
      <c r="G290">
        <v>41282</v>
      </c>
      <c r="H290">
        <v>15</v>
      </c>
      <c r="I290">
        <v>41</v>
      </c>
      <c r="J290">
        <v>4</v>
      </c>
      <c r="K290">
        <v>99</v>
      </c>
      <c r="L290" t="s">
        <v>37</v>
      </c>
    </row>
    <row r="291" spans="1:12" x14ac:dyDescent="0.25">
      <c r="A291" t="s">
        <v>333</v>
      </c>
      <c r="B291" t="s">
        <v>83</v>
      </c>
      <c r="C291" t="s">
        <v>29</v>
      </c>
      <c r="D291">
        <v>38</v>
      </c>
      <c r="E291" t="s">
        <v>19</v>
      </c>
      <c r="F291">
        <v>3</v>
      </c>
      <c r="G291">
        <v>43288</v>
      </c>
      <c r="H291">
        <v>3</v>
      </c>
      <c r="I291">
        <v>48</v>
      </c>
      <c r="J291">
        <v>1</v>
      </c>
      <c r="K291">
        <v>95</v>
      </c>
      <c r="L291" t="s">
        <v>16</v>
      </c>
    </row>
    <row r="292" spans="1:12" x14ac:dyDescent="0.25">
      <c r="A292" t="s">
        <v>334</v>
      </c>
      <c r="B292" t="s">
        <v>89</v>
      </c>
      <c r="C292" t="s">
        <v>25</v>
      </c>
      <c r="D292">
        <v>35</v>
      </c>
      <c r="E292" t="s">
        <v>15</v>
      </c>
      <c r="F292">
        <v>9</v>
      </c>
      <c r="G292">
        <v>52185</v>
      </c>
      <c r="H292">
        <v>10</v>
      </c>
      <c r="I292">
        <v>46</v>
      </c>
      <c r="J292">
        <v>4</v>
      </c>
      <c r="K292">
        <v>92</v>
      </c>
      <c r="L292" t="s">
        <v>32</v>
      </c>
    </row>
    <row r="293" spans="1:12" x14ac:dyDescent="0.25">
      <c r="A293" t="s">
        <v>335</v>
      </c>
      <c r="B293" t="s">
        <v>31</v>
      </c>
      <c r="C293" t="s">
        <v>29</v>
      </c>
      <c r="D293">
        <v>24</v>
      </c>
      <c r="E293" t="s">
        <v>15</v>
      </c>
      <c r="F293">
        <v>10</v>
      </c>
      <c r="G293">
        <v>64625</v>
      </c>
      <c r="H293">
        <v>14</v>
      </c>
      <c r="I293">
        <v>46</v>
      </c>
      <c r="J293">
        <v>2</v>
      </c>
      <c r="K293">
        <v>87</v>
      </c>
      <c r="L293" t="s">
        <v>23</v>
      </c>
    </row>
    <row r="294" spans="1:12" x14ac:dyDescent="0.25">
      <c r="A294" t="s">
        <v>336</v>
      </c>
      <c r="B294" t="s">
        <v>40</v>
      </c>
      <c r="C294" t="s">
        <v>25</v>
      </c>
      <c r="D294">
        <v>31</v>
      </c>
      <c r="E294" t="s">
        <v>15</v>
      </c>
      <c r="F294">
        <v>15</v>
      </c>
      <c r="G294">
        <v>76389</v>
      </c>
      <c r="H294">
        <v>6</v>
      </c>
      <c r="I294">
        <v>36</v>
      </c>
      <c r="J294">
        <v>2</v>
      </c>
      <c r="K294">
        <v>95</v>
      </c>
      <c r="L294" t="s">
        <v>23</v>
      </c>
    </row>
    <row r="295" spans="1:12" x14ac:dyDescent="0.25">
      <c r="A295" t="s">
        <v>337</v>
      </c>
      <c r="B295" t="s">
        <v>31</v>
      </c>
      <c r="C295" t="s">
        <v>14</v>
      </c>
      <c r="D295">
        <v>39</v>
      </c>
      <c r="E295" t="s">
        <v>19</v>
      </c>
      <c r="F295">
        <v>8</v>
      </c>
      <c r="G295">
        <v>37060</v>
      </c>
      <c r="H295">
        <v>8</v>
      </c>
      <c r="I295">
        <v>36</v>
      </c>
      <c r="J295">
        <v>1</v>
      </c>
      <c r="K295">
        <v>89</v>
      </c>
      <c r="L295" t="s">
        <v>37</v>
      </c>
    </row>
    <row r="296" spans="1:12" x14ac:dyDescent="0.25">
      <c r="A296" t="s">
        <v>338</v>
      </c>
      <c r="B296" t="s">
        <v>83</v>
      </c>
      <c r="C296" t="s">
        <v>25</v>
      </c>
      <c r="D296">
        <v>31</v>
      </c>
      <c r="E296" t="s">
        <v>19</v>
      </c>
      <c r="F296">
        <v>6</v>
      </c>
      <c r="G296">
        <v>50711</v>
      </c>
      <c r="H296">
        <v>3</v>
      </c>
      <c r="I296">
        <v>37</v>
      </c>
      <c r="J296">
        <v>2</v>
      </c>
      <c r="K296">
        <v>95</v>
      </c>
      <c r="L296" t="s">
        <v>26</v>
      </c>
    </row>
    <row r="297" spans="1:12" x14ac:dyDescent="0.25">
      <c r="A297" t="s">
        <v>339</v>
      </c>
      <c r="B297" t="s">
        <v>77</v>
      </c>
      <c r="C297" t="s">
        <v>29</v>
      </c>
      <c r="D297">
        <v>36</v>
      </c>
      <c r="E297" t="s">
        <v>19</v>
      </c>
      <c r="F297">
        <v>3</v>
      </c>
      <c r="G297">
        <v>47028</v>
      </c>
      <c r="H297">
        <v>5</v>
      </c>
      <c r="I297">
        <v>50</v>
      </c>
      <c r="J297">
        <v>3</v>
      </c>
      <c r="K297">
        <v>89</v>
      </c>
      <c r="L297" t="s">
        <v>37</v>
      </c>
    </row>
    <row r="298" spans="1:12" x14ac:dyDescent="0.25">
      <c r="A298" t="s">
        <v>340</v>
      </c>
      <c r="B298" t="s">
        <v>89</v>
      </c>
      <c r="C298" t="s">
        <v>22</v>
      </c>
      <c r="D298">
        <v>31</v>
      </c>
      <c r="E298" t="s">
        <v>15</v>
      </c>
      <c r="F298">
        <v>4</v>
      </c>
      <c r="G298">
        <v>59236</v>
      </c>
      <c r="H298">
        <v>3</v>
      </c>
      <c r="I298">
        <v>50</v>
      </c>
      <c r="J298">
        <v>4</v>
      </c>
      <c r="K298">
        <v>85</v>
      </c>
      <c r="L298" t="s">
        <v>26</v>
      </c>
    </row>
    <row r="299" spans="1:12" x14ac:dyDescent="0.25">
      <c r="A299" t="s">
        <v>341</v>
      </c>
      <c r="B299" t="s">
        <v>75</v>
      </c>
      <c r="C299" t="s">
        <v>14</v>
      </c>
      <c r="D299">
        <v>25</v>
      </c>
      <c r="E299" t="s">
        <v>19</v>
      </c>
      <c r="F299">
        <v>5</v>
      </c>
      <c r="G299">
        <v>69679</v>
      </c>
      <c r="H299">
        <v>8</v>
      </c>
      <c r="I299">
        <v>44</v>
      </c>
      <c r="J299">
        <v>5</v>
      </c>
      <c r="K299">
        <v>92</v>
      </c>
      <c r="L299" t="s">
        <v>32</v>
      </c>
    </row>
    <row r="300" spans="1:12" x14ac:dyDescent="0.25">
      <c r="A300" t="s">
        <v>342</v>
      </c>
      <c r="B300" t="s">
        <v>31</v>
      </c>
      <c r="C300" t="s">
        <v>29</v>
      </c>
      <c r="D300">
        <v>37</v>
      </c>
      <c r="E300" t="s">
        <v>15</v>
      </c>
      <c r="F300">
        <v>12</v>
      </c>
      <c r="G300">
        <v>55382</v>
      </c>
      <c r="H300">
        <v>4</v>
      </c>
      <c r="I300">
        <v>35</v>
      </c>
      <c r="J300">
        <v>2</v>
      </c>
      <c r="K300">
        <v>91</v>
      </c>
      <c r="L300" t="s">
        <v>23</v>
      </c>
    </row>
    <row r="301" spans="1:12" x14ac:dyDescent="0.25">
      <c r="A301" t="s">
        <v>343</v>
      </c>
      <c r="B301" t="s">
        <v>83</v>
      </c>
      <c r="C301" t="s">
        <v>25</v>
      </c>
      <c r="D301">
        <v>33</v>
      </c>
      <c r="E301" t="s">
        <v>15</v>
      </c>
      <c r="F301">
        <v>9</v>
      </c>
      <c r="G301">
        <v>31007</v>
      </c>
      <c r="H301">
        <v>4</v>
      </c>
      <c r="I301">
        <v>40</v>
      </c>
      <c r="J301">
        <v>4</v>
      </c>
      <c r="K301">
        <v>88</v>
      </c>
      <c r="L301" t="s">
        <v>37</v>
      </c>
    </row>
    <row r="302" spans="1:12" x14ac:dyDescent="0.25">
      <c r="A302" t="s">
        <v>344</v>
      </c>
      <c r="B302" t="s">
        <v>18</v>
      </c>
      <c r="C302" t="s">
        <v>22</v>
      </c>
      <c r="D302">
        <v>39</v>
      </c>
      <c r="E302" t="s">
        <v>15</v>
      </c>
      <c r="F302">
        <v>6</v>
      </c>
      <c r="G302">
        <v>38424</v>
      </c>
      <c r="H302">
        <v>10</v>
      </c>
      <c r="I302">
        <v>35</v>
      </c>
      <c r="J302">
        <v>2</v>
      </c>
      <c r="K302">
        <v>89</v>
      </c>
      <c r="L302" t="s">
        <v>32</v>
      </c>
    </row>
    <row r="303" spans="1:12" x14ac:dyDescent="0.25">
      <c r="A303" t="s">
        <v>345</v>
      </c>
      <c r="B303" t="s">
        <v>34</v>
      </c>
      <c r="C303" t="s">
        <v>29</v>
      </c>
      <c r="D303">
        <v>31</v>
      </c>
      <c r="E303" t="s">
        <v>15</v>
      </c>
      <c r="F303">
        <v>12</v>
      </c>
      <c r="G303">
        <v>48510</v>
      </c>
      <c r="H303">
        <v>6</v>
      </c>
      <c r="I303">
        <v>48</v>
      </c>
      <c r="J303">
        <v>5</v>
      </c>
      <c r="K303">
        <v>86</v>
      </c>
      <c r="L303" t="s">
        <v>26</v>
      </c>
    </row>
    <row r="304" spans="1:12" x14ac:dyDescent="0.25">
      <c r="A304" t="s">
        <v>346</v>
      </c>
      <c r="B304" t="s">
        <v>18</v>
      </c>
      <c r="C304" t="s">
        <v>14</v>
      </c>
      <c r="D304">
        <v>35</v>
      </c>
      <c r="E304" t="s">
        <v>15</v>
      </c>
      <c r="F304">
        <v>7</v>
      </c>
      <c r="G304">
        <v>51309</v>
      </c>
      <c r="H304">
        <v>11</v>
      </c>
      <c r="I304">
        <v>49</v>
      </c>
      <c r="J304">
        <v>2</v>
      </c>
      <c r="K304">
        <v>85</v>
      </c>
      <c r="L304" t="s">
        <v>16</v>
      </c>
    </row>
    <row r="305" spans="1:12" x14ac:dyDescent="0.25">
      <c r="A305" t="s">
        <v>347</v>
      </c>
      <c r="B305" t="s">
        <v>43</v>
      </c>
      <c r="C305" t="s">
        <v>29</v>
      </c>
      <c r="D305">
        <v>35</v>
      </c>
      <c r="E305" t="s">
        <v>15</v>
      </c>
      <c r="F305">
        <v>12</v>
      </c>
      <c r="G305">
        <v>55540</v>
      </c>
      <c r="H305">
        <v>7</v>
      </c>
      <c r="I305">
        <v>49</v>
      </c>
      <c r="J305">
        <v>2</v>
      </c>
      <c r="K305">
        <v>88</v>
      </c>
      <c r="L305" t="s">
        <v>51</v>
      </c>
    </row>
    <row r="306" spans="1:12" x14ac:dyDescent="0.25">
      <c r="A306" t="s">
        <v>348</v>
      </c>
      <c r="B306" t="s">
        <v>28</v>
      </c>
      <c r="C306" t="s">
        <v>22</v>
      </c>
      <c r="D306">
        <v>40</v>
      </c>
      <c r="E306" t="s">
        <v>19</v>
      </c>
      <c r="F306">
        <v>4</v>
      </c>
      <c r="G306">
        <v>34140</v>
      </c>
      <c r="H306">
        <v>9</v>
      </c>
      <c r="I306">
        <v>47</v>
      </c>
      <c r="J306">
        <v>4</v>
      </c>
      <c r="K306">
        <v>92</v>
      </c>
      <c r="L306" t="s">
        <v>16</v>
      </c>
    </row>
    <row r="307" spans="1:12" x14ac:dyDescent="0.25">
      <c r="A307" t="s">
        <v>349</v>
      </c>
      <c r="B307" t="s">
        <v>63</v>
      </c>
      <c r="C307" t="s">
        <v>25</v>
      </c>
      <c r="D307">
        <v>25</v>
      </c>
      <c r="E307" t="s">
        <v>15</v>
      </c>
      <c r="F307">
        <v>13</v>
      </c>
      <c r="G307">
        <v>43901</v>
      </c>
      <c r="H307">
        <v>7</v>
      </c>
      <c r="I307">
        <v>35</v>
      </c>
      <c r="J307">
        <v>5</v>
      </c>
      <c r="K307">
        <v>86</v>
      </c>
      <c r="L307" t="s">
        <v>26</v>
      </c>
    </row>
    <row r="308" spans="1:12" x14ac:dyDescent="0.25">
      <c r="A308" t="s">
        <v>350</v>
      </c>
      <c r="B308" t="s">
        <v>28</v>
      </c>
      <c r="C308" t="s">
        <v>14</v>
      </c>
      <c r="D308">
        <v>26</v>
      </c>
      <c r="E308" t="s">
        <v>19</v>
      </c>
      <c r="F308">
        <v>4</v>
      </c>
      <c r="G308">
        <v>65485</v>
      </c>
      <c r="H308">
        <v>13</v>
      </c>
      <c r="I308">
        <v>44</v>
      </c>
      <c r="J308">
        <v>5</v>
      </c>
      <c r="K308">
        <v>93</v>
      </c>
      <c r="L308" t="s">
        <v>51</v>
      </c>
    </row>
    <row r="309" spans="1:12" x14ac:dyDescent="0.25">
      <c r="A309" t="s">
        <v>351</v>
      </c>
      <c r="B309" t="s">
        <v>18</v>
      </c>
      <c r="C309" t="s">
        <v>29</v>
      </c>
      <c r="D309">
        <v>29</v>
      </c>
      <c r="E309" t="s">
        <v>15</v>
      </c>
      <c r="F309">
        <v>3</v>
      </c>
      <c r="G309">
        <v>52732</v>
      </c>
      <c r="H309">
        <v>5</v>
      </c>
      <c r="I309">
        <v>43</v>
      </c>
      <c r="J309">
        <v>4</v>
      </c>
      <c r="K309">
        <v>91</v>
      </c>
      <c r="L309" t="s">
        <v>16</v>
      </c>
    </row>
    <row r="310" spans="1:12" x14ac:dyDescent="0.25">
      <c r="A310" t="s">
        <v>352</v>
      </c>
      <c r="B310" t="s">
        <v>40</v>
      </c>
      <c r="C310" t="s">
        <v>25</v>
      </c>
      <c r="D310">
        <v>32</v>
      </c>
      <c r="E310" t="s">
        <v>19</v>
      </c>
      <c r="F310">
        <v>7</v>
      </c>
      <c r="G310">
        <v>57164</v>
      </c>
      <c r="H310">
        <v>5</v>
      </c>
      <c r="I310">
        <v>45</v>
      </c>
      <c r="J310">
        <v>1</v>
      </c>
      <c r="K310">
        <v>94</v>
      </c>
      <c r="L310" t="s">
        <v>23</v>
      </c>
    </row>
    <row r="311" spans="1:12" x14ac:dyDescent="0.25">
      <c r="A311" t="s">
        <v>353</v>
      </c>
      <c r="B311" t="s">
        <v>81</v>
      </c>
      <c r="C311" t="s">
        <v>25</v>
      </c>
      <c r="D311">
        <v>35</v>
      </c>
      <c r="E311" t="s">
        <v>19</v>
      </c>
      <c r="F311">
        <v>3</v>
      </c>
      <c r="G311">
        <v>77950</v>
      </c>
      <c r="H311">
        <v>10</v>
      </c>
      <c r="I311">
        <v>46</v>
      </c>
      <c r="J311">
        <v>4</v>
      </c>
      <c r="K311">
        <v>92</v>
      </c>
      <c r="L311" t="s">
        <v>23</v>
      </c>
    </row>
    <row r="312" spans="1:12" x14ac:dyDescent="0.25">
      <c r="A312" t="s">
        <v>354</v>
      </c>
      <c r="B312" t="s">
        <v>21</v>
      </c>
      <c r="C312" t="s">
        <v>25</v>
      </c>
      <c r="D312">
        <v>40</v>
      </c>
      <c r="E312" t="s">
        <v>15</v>
      </c>
      <c r="F312">
        <v>13</v>
      </c>
      <c r="G312">
        <v>78385</v>
      </c>
      <c r="H312">
        <v>10</v>
      </c>
      <c r="I312">
        <v>44</v>
      </c>
      <c r="J312">
        <v>4</v>
      </c>
      <c r="K312">
        <v>85</v>
      </c>
      <c r="L312" t="s">
        <v>37</v>
      </c>
    </row>
    <row r="313" spans="1:12" x14ac:dyDescent="0.25">
      <c r="A313" t="s">
        <v>355</v>
      </c>
      <c r="B313" t="s">
        <v>65</v>
      </c>
      <c r="C313" t="s">
        <v>25</v>
      </c>
      <c r="D313">
        <v>37</v>
      </c>
      <c r="E313" t="s">
        <v>19</v>
      </c>
      <c r="F313">
        <v>4</v>
      </c>
      <c r="G313">
        <v>79602</v>
      </c>
      <c r="H313">
        <v>10</v>
      </c>
      <c r="I313">
        <v>47</v>
      </c>
      <c r="J313">
        <v>1</v>
      </c>
      <c r="K313">
        <v>85</v>
      </c>
      <c r="L313" t="s">
        <v>37</v>
      </c>
    </row>
    <row r="314" spans="1:12" x14ac:dyDescent="0.25">
      <c r="A314" t="s">
        <v>356</v>
      </c>
      <c r="B314" t="s">
        <v>83</v>
      </c>
      <c r="C314" t="s">
        <v>29</v>
      </c>
      <c r="D314">
        <v>37</v>
      </c>
      <c r="E314" t="s">
        <v>15</v>
      </c>
      <c r="F314">
        <v>1</v>
      </c>
      <c r="G314">
        <v>71074</v>
      </c>
      <c r="H314">
        <v>11</v>
      </c>
      <c r="I314">
        <v>50</v>
      </c>
      <c r="J314">
        <v>4</v>
      </c>
      <c r="K314">
        <v>97</v>
      </c>
      <c r="L314" t="s">
        <v>26</v>
      </c>
    </row>
    <row r="315" spans="1:12" x14ac:dyDescent="0.25">
      <c r="A315" t="s">
        <v>357</v>
      </c>
      <c r="B315" t="s">
        <v>65</v>
      </c>
      <c r="C315" t="s">
        <v>25</v>
      </c>
      <c r="D315">
        <v>25</v>
      </c>
      <c r="E315" t="s">
        <v>19</v>
      </c>
      <c r="F315">
        <v>13</v>
      </c>
      <c r="G315">
        <v>70293</v>
      </c>
      <c r="H315">
        <v>9</v>
      </c>
      <c r="I315">
        <v>48</v>
      </c>
      <c r="J315">
        <v>4</v>
      </c>
      <c r="K315">
        <v>100</v>
      </c>
      <c r="L315" t="s">
        <v>51</v>
      </c>
    </row>
    <row r="316" spans="1:12" x14ac:dyDescent="0.25">
      <c r="A316" t="s">
        <v>358</v>
      </c>
      <c r="B316" t="s">
        <v>45</v>
      </c>
      <c r="C316" t="s">
        <v>29</v>
      </c>
      <c r="D316">
        <v>26</v>
      </c>
      <c r="E316" t="s">
        <v>19</v>
      </c>
      <c r="F316">
        <v>4</v>
      </c>
      <c r="G316">
        <v>75412</v>
      </c>
      <c r="H316">
        <v>6</v>
      </c>
      <c r="I316">
        <v>42</v>
      </c>
      <c r="J316">
        <v>2</v>
      </c>
      <c r="K316">
        <v>92</v>
      </c>
      <c r="L316" t="s">
        <v>51</v>
      </c>
    </row>
    <row r="317" spans="1:12" x14ac:dyDescent="0.25">
      <c r="A317" t="s">
        <v>359</v>
      </c>
      <c r="B317" t="s">
        <v>83</v>
      </c>
      <c r="C317" t="s">
        <v>14</v>
      </c>
      <c r="D317">
        <v>26</v>
      </c>
      <c r="E317" t="s">
        <v>15</v>
      </c>
      <c r="F317">
        <v>3</v>
      </c>
      <c r="G317">
        <v>38375</v>
      </c>
      <c r="H317">
        <v>9</v>
      </c>
      <c r="I317">
        <v>41</v>
      </c>
      <c r="J317">
        <v>2</v>
      </c>
      <c r="K317">
        <v>91</v>
      </c>
      <c r="L317" t="s">
        <v>23</v>
      </c>
    </row>
    <row r="318" spans="1:12" x14ac:dyDescent="0.25">
      <c r="A318" t="s">
        <v>360</v>
      </c>
      <c r="B318" t="s">
        <v>81</v>
      </c>
      <c r="C318" t="s">
        <v>22</v>
      </c>
      <c r="D318">
        <v>24</v>
      </c>
      <c r="E318" t="s">
        <v>19</v>
      </c>
      <c r="F318">
        <v>1</v>
      </c>
      <c r="G318">
        <v>44230</v>
      </c>
      <c r="H318">
        <v>10</v>
      </c>
      <c r="I318">
        <v>35</v>
      </c>
      <c r="J318">
        <v>3</v>
      </c>
      <c r="K318">
        <v>96</v>
      </c>
      <c r="L318" t="s">
        <v>51</v>
      </c>
    </row>
    <row r="319" spans="1:12" x14ac:dyDescent="0.25">
      <c r="A319" t="s">
        <v>361</v>
      </c>
      <c r="B319" t="s">
        <v>65</v>
      </c>
      <c r="C319" t="s">
        <v>22</v>
      </c>
      <c r="D319">
        <v>27</v>
      </c>
      <c r="E319" t="s">
        <v>19</v>
      </c>
      <c r="F319">
        <v>13</v>
      </c>
      <c r="G319">
        <v>42308</v>
      </c>
      <c r="H319">
        <v>3</v>
      </c>
      <c r="I319">
        <v>48</v>
      </c>
      <c r="J319">
        <v>5</v>
      </c>
      <c r="K319">
        <v>92</v>
      </c>
      <c r="L319" t="s">
        <v>23</v>
      </c>
    </row>
    <row r="320" spans="1:12" x14ac:dyDescent="0.25">
      <c r="A320" t="s">
        <v>362</v>
      </c>
      <c r="B320" t="s">
        <v>45</v>
      </c>
      <c r="C320" t="s">
        <v>29</v>
      </c>
      <c r="D320">
        <v>26</v>
      </c>
      <c r="E320" t="s">
        <v>19</v>
      </c>
      <c r="F320">
        <v>1</v>
      </c>
      <c r="G320">
        <v>37330</v>
      </c>
      <c r="H320">
        <v>5</v>
      </c>
      <c r="I320">
        <v>35</v>
      </c>
      <c r="J320">
        <v>2</v>
      </c>
      <c r="K320">
        <v>93</v>
      </c>
      <c r="L320" t="s">
        <v>23</v>
      </c>
    </row>
    <row r="321" spans="1:12" x14ac:dyDescent="0.25">
      <c r="A321" t="s">
        <v>363</v>
      </c>
      <c r="B321" t="s">
        <v>89</v>
      </c>
      <c r="C321" t="s">
        <v>25</v>
      </c>
      <c r="D321">
        <v>23</v>
      </c>
      <c r="E321" t="s">
        <v>19</v>
      </c>
      <c r="F321">
        <v>15</v>
      </c>
      <c r="G321">
        <v>37337</v>
      </c>
      <c r="H321">
        <v>9</v>
      </c>
      <c r="I321">
        <v>48</v>
      </c>
      <c r="J321">
        <v>1</v>
      </c>
      <c r="K321">
        <v>93</v>
      </c>
      <c r="L321" t="s">
        <v>51</v>
      </c>
    </row>
    <row r="322" spans="1:12" x14ac:dyDescent="0.25">
      <c r="A322" t="s">
        <v>364</v>
      </c>
      <c r="B322" t="s">
        <v>36</v>
      </c>
      <c r="C322" t="s">
        <v>25</v>
      </c>
      <c r="D322">
        <v>24</v>
      </c>
      <c r="E322" t="s">
        <v>15</v>
      </c>
      <c r="F322">
        <v>7</v>
      </c>
      <c r="G322">
        <v>55142</v>
      </c>
      <c r="H322">
        <v>9</v>
      </c>
      <c r="I322">
        <v>35</v>
      </c>
      <c r="J322">
        <v>2</v>
      </c>
      <c r="K322">
        <v>97</v>
      </c>
      <c r="L322" t="s">
        <v>23</v>
      </c>
    </row>
    <row r="323" spans="1:12" x14ac:dyDescent="0.25">
      <c r="A323" t="s">
        <v>365</v>
      </c>
      <c r="B323" t="s">
        <v>45</v>
      </c>
      <c r="C323" t="s">
        <v>22</v>
      </c>
      <c r="D323">
        <v>22</v>
      </c>
      <c r="E323" t="s">
        <v>15</v>
      </c>
      <c r="F323">
        <v>5</v>
      </c>
      <c r="G323">
        <v>28942</v>
      </c>
      <c r="H323">
        <v>15</v>
      </c>
      <c r="I323">
        <v>49</v>
      </c>
      <c r="J323">
        <v>5</v>
      </c>
      <c r="K323">
        <v>100</v>
      </c>
      <c r="L323" t="s">
        <v>26</v>
      </c>
    </row>
    <row r="324" spans="1:12" x14ac:dyDescent="0.25">
      <c r="A324" t="s">
        <v>366</v>
      </c>
      <c r="B324" t="s">
        <v>34</v>
      </c>
      <c r="C324" t="s">
        <v>22</v>
      </c>
      <c r="D324">
        <v>35</v>
      </c>
      <c r="E324" t="s">
        <v>15</v>
      </c>
      <c r="F324">
        <v>1</v>
      </c>
      <c r="G324">
        <v>60357</v>
      </c>
      <c r="H324">
        <v>14</v>
      </c>
      <c r="I324">
        <v>39</v>
      </c>
      <c r="J324">
        <v>5</v>
      </c>
      <c r="K324">
        <v>100</v>
      </c>
      <c r="L324" t="s">
        <v>37</v>
      </c>
    </row>
    <row r="325" spans="1:12" x14ac:dyDescent="0.25">
      <c r="A325" t="s">
        <v>367</v>
      </c>
      <c r="B325" t="s">
        <v>13</v>
      </c>
      <c r="C325" t="s">
        <v>29</v>
      </c>
      <c r="D325">
        <v>37</v>
      </c>
      <c r="E325" t="s">
        <v>15</v>
      </c>
      <c r="F325">
        <v>10</v>
      </c>
      <c r="G325">
        <v>54611</v>
      </c>
      <c r="H325">
        <v>7</v>
      </c>
      <c r="I325">
        <v>39</v>
      </c>
      <c r="J325">
        <v>5</v>
      </c>
      <c r="K325">
        <v>95</v>
      </c>
      <c r="L325" t="s">
        <v>26</v>
      </c>
    </row>
    <row r="326" spans="1:12" x14ac:dyDescent="0.25">
      <c r="A326" t="s">
        <v>368</v>
      </c>
      <c r="B326" t="s">
        <v>77</v>
      </c>
      <c r="C326" t="s">
        <v>14</v>
      </c>
      <c r="D326">
        <v>27</v>
      </c>
      <c r="E326" t="s">
        <v>19</v>
      </c>
      <c r="F326">
        <v>11</v>
      </c>
      <c r="G326">
        <v>57960</v>
      </c>
      <c r="H326">
        <v>13</v>
      </c>
      <c r="I326">
        <v>39</v>
      </c>
      <c r="J326">
        <v>1</v>
      </c>
      <c r="K326">
        <v>95</v>
      </c>
      <c r="L326" t="s">
        <v>26</v>
      </c>
    </row>
    <row r="327" spans="1:12" x14ac:dyDescent="0.25">
      <c r="A327" t="s">
        <v>369</v>
      </c>
      <c r="B327" t="s">
        <v>28</v>
      </c>
      <c r="C327" t="s">
        <v>14</v>
      </c>
      <c r="D327">
        <v>32</v>
      </c>
      <c r="E327" t="s">
        <v>19</v>
      </c>
      <c r="F327">
        <v>4</v>
      </c>
      <c r="G327">
        <v>65350</v>
      </c>
      <c r="H327">
        <v>11</v>
      </c>
      <c r="I327">
        <v>40</v>
      </c>
      <c r="J327">
        <v>5</v>
      </c>
      <c r="K327">
        <v>96</v>
      </c>
      <c r="L327" t="s">
        <v>23</v>
      </c>
    </row>
    <row r="328" spans="1:12" x14ac:dyDescent="0.25">
      <c r="A328" t="s">
        <v>370</v>
      </c>
      <c r="B328" t="s">
        <v>65</v>
      </c>
      <c r="C328" t="s">
        <v>22</v>
      </c>
      <c r="D328">
        <v>40</v>
      </c>
      <c r="E328" t="s">
        <v>15</v>
      </c>
      <c r="F328">
        <v>12</v>
      </c>
      <c r="G328">
        <v>30640</v>
      </c>
      <c r="H328">
        <v>5</v>
      </c>
      <c r="I328">
        <v>44</v>
      </c>
      <c r="J328">
        <v>4</v>
      </c>
      <c r="K328">
        <v>92</v>
      </c>
      <c r="L328" t="s">
        <v>37</v>
      </c>
    </row>
    <row r="329" spans="1:12" x14ac:dyDescent="0.25">
      <c r="A329" t="s">
        <v>371</v>
      </c>
      <c r="B329" t="s">
        <v>45</v>
      </c>
      <c r="C329" t="s">
        <v>25</v>
      </c>
      <c r="D329">
        <v>25</v>
      </c>
      <c r="E329" t="s">
        <v>15</v>
      </c>
      <c r="F329">
        <v>10</v>
      </c>
      <c r="G329">
        <v>53098</v>
      </c>
      <c r="H329">
        <v>15</v>
      </c>
      <c r="I329">
        <v>45</v>
      </c>
      <c r="J329">
        <v>4</v>
      </c>
      <c r="K329">
        <v>85</v>
      </c>
      <c r="L329" t="s">
        <v>51</v>
      </c>
    </row>
    <row r="330" spans="1:12" x14ac:dyDescent="0.25">
      <c r="A330" t="s">
        <v>372</v>
      </c>
      <c r="B330" t="s">
        <v>45</v>
      </c>
      <c r="C330" t="s">
        <v>29</v>
      </c>
      <c r="D330">
        <v>29</v>
      </c>
      <c r="E330" t="s">
        <v>19</v>
      </c>
      <c r="F330">
        <v>10</v>
      </c>
      <c r="G330">
        <v>77522</v>
      </c>
      <c r="H330">
        <v>4</v>
      </c>
      <c r="I330">
        <v>48</v>
      </c>
      <c r="J330">
        <v>5</v>
      </c>
      <c r="K330">
        <v>99</v>
      </c>
      <c r="L330" t="s">
        <v>26</v>
      </c>
    </row>
    <row r="331" spans="1:12" x14ac:dyDescent="0.25">
      <c r="A331" t="s">
        <v>373</v>
      </c>
      <c r="B331" t="s">
        <v>83</v>
      </c>
      <c r="C331" t="s">
        <v>14</v>
      </c>
      <c r="D331">
        <v>24</v>
      </c>
      <c r="E331" t="s">
        <v>15</v>
      </c>
      <c r="F331">
        <v>10</v>
      </c>
      <c r="G331">
        <v>51438</v>
      </c>
      <c r="H331">
        <v>13</v>
      </c>
      <c r="I331">
        <v>38</v>
      </c>
      <c r="J331">
        <v>5</v>
      </c>
      <c r="K331">
        <v>89</v>
      </c>
      <c r="L331" t="s">
        <v>32</v>
      </c>
    </row>
    <row r="332" spans="1:12" x14ac:dyDescent="0.25">
      <c r="A332" t="s">
        <v>374</v>
      </c>
      <c r="B332" t="s">
        <v>21</v>
      </c>
      <c r="C332" t="s">
        <v>22</v>
      </c>
      <c r="D332">
        <v>30</v>
      </c>
      <c r="E332" t="s">
        <v>19</v>
      </c>
      <c r="F332">
        <v>1</v>
      </c>
      <c r="G332">
        <v>63521</v>
      </c>
      <c r="H332">
        <v>15</v>
      </c>
      <c r="I332">
        <v>39</v>
      </c>
      <c r="J332">
        <v>4</v>
      </c>
      <c r="K332">
        <v>91</v>
      </c>
      <c r="L332" t="s">
        <v>23</v>
      </c>
    </row>
    <row r="333" spans="1:12" x14ac:dyDescent="0.25">
      <c r="A333" t="s">
        <v>375</v>
      </c>
      <c r="B333" t="s">
        <v>89</v>
      </c>
      <c r="C333" t="s">
        <v>14</v>
      </c>
      <c r="D333">
        <v>36</v>
      </c>
      <c r="E333" t="s">
        <v>19</v>
      </c>
      <c r="F333">
        <v>4</v>
      </c>
      <c r="G333">
        <v>78873</v>
      </c>
      <c r="H333">
        <v>13</v>
      </c>
      <c r="I333">
        <v>35</v>
      </c>
      <c r="J333">
        <v>4</v>
      </c>
      <c r="K333">
        <v>99</v>
      </c>
      <c r="L333" t="s">
        <v>37</v>
      </c>
    </row>
    <row r="334" spans="1:12" x14ac:dyDescent="0.25">
      <c r="A334" t="s">
        <v>376</v>
      </c>
      <c r="B334" t="s">
        <v>34</v>
      </c>
      <c r="C334" t="s">
        <v>29</v>
      </c>
      <c r="D334">
        <v>30</v>
      </c>
      <c r="E334" t="s">
        <v>15</v>
      </c>
      <c r="F334">
        <v>1</v>
      </c>
      <c r="G334">
        <v>66651</v>
      </c>
      <c r="H334">
        <v>14</v>
      </c>
      <c r="I334">
        <v>35</v>
      </c>
      <c r="J334">
        <v>2</v>
      </c>
      <c r="K334">
        <v>89</v>
      </c>
      <c r="L334" t="s">
        <v>37</v>
      </c>
    </row>
    <row r="335" spans="1:12" x14ac:dyDescent="0.25">
      <c r="A335" t="s">
        <v>377</v>
      </c>
      <c r="B335" t="s">
        <v>65</v>
      </c>
      <c r="C335" t="s">
        <v>14</v>
      </c>
      <c r="D335">
        <v>22</v>
      </c>
      <c r="E335" t="s">
        <v>19</v>
      </c>
      <c r="F335">
        <v>1</v>
      </c>
      <c r="G335">
        <v>33510</v>
      </c>
      <c r="H335">
        <v>12</v>
      </c>
      <c r="I335">
        <v>43</v>
      </c>
      <c r="J335">
        <v>2</v>
      </c>
      <c r="K335">
        <v>88</v>
      </c>
      <c r="L335" t="s">
        <v>51</v>
      </c>
    </row>
    <row r="336" spans="1:12" x14ac:dyDescent="0.25">
      <c r="A336" t="s">
        <v>378</v>
      </c>
      <c r="B336" t="s">
        <v>34</v>
      </c>
      <c r="C336" t="s">
        <v>29</v>
      </c>
      <c r="D336">
        <v>23</v>
      </c>
      <c r="E336" t="s">
        <v>15</v>
      </c>
      <c r="F336">
        <v>8</v>
      </c>
      <c r="G336">
        <v>32651</v>
      </c>
      <c r="H336">
        <v>3</v>
      </c>
      <c r="I336">
        <v>37</v>
      </c>
      <c r="J336">
        <v>2</v>
      </c>
      <c r="K336">
        <v>100</v>
      </c>
      <c r="L336" t="s">
        <v>23</v>
      </c>
    </row>
    <row r="337" spans="1:12" x14ac:dyDescent="0.25">
      <c r="A337" t="s">
        <v>379</v>
      </c>
      <c r="B337" t="s">
        <v>81</v>
      </c>
      <c r="C337" t="s">
        <v>14</v>
      </c>
      <c r="D337">
        <v>26</v>
      </c>
      <c r="E337" t="s">
        <v>19</v>
      </c>
      <c r="F337">
        <v>1</v>
      </c>
      <c r="G337">
        <v>34503</v>
      </c>
      <c r="H337">
        <v>3</v>
      </c>
      <c r="I337">
        <v>48</v>
      </c>
      <c r="J337">
        <v>2</v>
      </c>
      <c r="K337">
        <v>94</v>
      </c>
      <c r="L337" t="s">
        <v>37</v>
      </c>
    </row>
    <row r="338" spans="1:12" x14ac:dyDescent="0.25">
      <c r="A338" t="s">
        <v>380</v>
      </c>
      <c r="B338" t="s">
        <v>70</v>
      </c>
      <c r="C338" t="s">
        <v>29</v>
      </c>
      <c r="D338">
        <v>32</v>
      </c>
      <c r="E338" t="s">
        <v>15</v>
      </c>
      <c r="F338">
        <v>5</v>
      </c>
      <c r="G338">
        <v>33493</v>
      </c>
      <c r="H338">
        <v>9</v>
      </c>
      <c r="I338">
        <v>40</v>
      </c>
      <c r="J338">
        <v>3</v>
      </c>
      <c r="K338">
        <v>88</v>
      </c>
      <c r="L338" t="s">
        <v>16</v>
      </c>
    </row>
    <row r="339" spans="1:12" x14ac:dyDescent="0.25">
      <c r="A339" t="s">
        <v>381</v>
      </c>
      <c r="B339" t="s">
        <v>18</v>
      </c>
      <c r="C339" t="s">
        <v>29</v>
      </c>
      <c r="D339">
        <v>29</v>
      </c>
      <c r="E339" t="s">
        <v>19</v>
      </c>
      <c r="F339">
        <v>10</v>
      </c>
      <c r="G339">
        <v>64660</v>
      </c>
      <c r="H339">
        <v>12</v>
      </c>
      <c r="I339">
        <v>48</v>
      </c>
      <c r="J339">
        <v>5</v>
      </c>
      <c r="K339">
        <v>95</v>
      </c>
      <c r="L339" t="s">
        <v>32</v>
      </c>
    </row>
    <row r="340" spans="1:12" x14ac:dyDescent="0.25">
      <c r="A340" t="s">
        <v>382</v>
      </c>
      <c r="B340" t="s">
        <v>77</v>
      </c>
      <c r="C340" t="s">
        <v>22</v>
      </c>
      <c r="D340">
        <v>29</v>
      </c>
      <c r="E340" t="s">
        <v>15</v>
      </c>
      <c r="F340">
        <v>8</v>
      </c>
      <c r="G340">
        <v>72387</v>
      </c>
      <c r="H340">
        <v>5</v>
      </c>
      <c r="I340">
        <v>41</v>
      </c>
      <c r="J340">
        <v>3</v>
      </c>
      <c r="K340">
        <v>92</v>
      </c>
      <c r="L340" t="s">
        <v>23</v>
      </c>
    </row>
    <row r="341" spans="1:12" x14ac:dyDescent="0.25">
      <c r="A341" t="s">
        <v>383</v>
      </c>
      <c r="B341" t="s">
        <v>65</v>
      </c>
      <c r="C341" t="s">
        <v>22</v>
      </c>
      <c r="D341">
        <v>22</v>
      </c>
      <c r="E341" t="s">
        <v>19</v>
      </c>
      <c r="F341">
        <v>1</v>
      </c>
      <c r="G341">
        <v>70765</v>
      </c>
      <c r="H341">
        <v>11</v>
      </c>
      <c r="I341">
        <v>39</v>
      </c>
      <c r="J341">
        <v>5</v>
      </c>
      <c r="K341">
        <v>92</v>
      </c>
      <c r="L341" t="s">
        <v>51</v>
      </c>
    </row>
    <row r="342" spans="1:12" x14ac:dyDescent="0.25">
      <c r="A342" t="s">
        <v>384</v>
      </c>
      <c r="B342" t="s">
        <v>34</v>
      </c>
      <c r="C342" t="s">
        <v>29</v>
      </c>
      <c r="D342">
        <v>34</v>
      </c>
      <c r="E342" t="s">
        <v>19</v>
      </c>
      <c r="F342">
        <v>8</v>
      </c>
      <c r="G342">
        <v>62224</v>
      </c>
      <c r="H342">
        <v>6</v>
      </c>
      <c r="I342">
        <v>44</v>
      </c>
      <c r="J342">
        <v>1</v>
      </c>
      <c r="K342">
        <v>87</v>
      </c>
      <c r="L342" t="s">
        <v>32</v>
      </c>
    </row>
    <row r="343" spans="1:12" x14ac:dyDescent="0.25">
      <c r="A343" t="s">
        <v>385</v>
      </c>
      <c r="B343" t="s">
        <v>83</v>
      </c>
      <c r="C343" t="s">
        <v>14</v>
      </c>
      <c r="D343">
        <v>32</v>
      </c>
      <c r="E343" t="s">
        <v>15</v>
      </c>
      <c r="F343">
        <v>13</v>
      </c>
      <c r="G343">
        <v>58740</v>
      </c>
      <c r="H343">
        <v>7</v>
      </c>
      <c r="I343">
        <v>44</v>
      </c>
      <c r="J343">
        <v>2</v>
      </c>
      <c r="K343">
        <v>95</v>
      </c>
      <c r="L343" t="s">
        <v>51</v>
      </c>
    </row>
    <row r="344" spans="1:12" x14ac:dyDescent="0.25">
      <c r="A344" t="s">
        <v>386</v>
      </c>
      <c r="B344" t="s">
        <v>89</v>
      </c>
      <c r="C344" t="s">
        <v>29</v>
      </c>
      <c r="D344">
        <v>22</v>
      </c>
      <c r="E344" t="s">
        <v>15</v>
      </c>
      <c r="F344">
        <v>13</v>
      </c>
      <c r="G344">
        <v>40391</v>
      </c>
      <c r="H344">
        <v>4</v>
      </c>
      <c r="I344">
        <v>43</v>
      </c>
      <c r="J344">
        <v>2</v>
      </c>
      <c r="K344">
        <v>100</v>
      </c>
      <c r="L344" t="s">
        <v>23</v>
      </c>
    </row>
    <row r="345" spans="1:12" x14ac:dyDescent="0.25">
      <c r="A345" t="s">
        <v>387</v>
      </c>
      <c r="B345" t="s">
        <v>81</v>
      </c>
      <c r="C345" t="s">
        <v>22</v>
      </c>
      <c r="D345">
        <v>39</v>
      </c>
      <c r="E345" t="s">
        <v>19</v>
      </c>
      <c r="F345">
        <v>11</v>
      </c>
      <c r="G345">
        <v>30914</v>
      </c>
      <c r="H345">
        <v>15</v>
      </c>
      <c r="I345">
        <v>44</v>
      </c>
      <c r="J345">
        <v>4</v>
      </c>
      <c r="K345">
        <v>96</v>
      </c>
      <c r="L345" t="s">
        <v>16</v>
      </c>
    </row>
    <row r="346" spans="1:12" x14ac:dyDescent="0.25">
      <c r="A346" t="s">
        <v>388</v>
      </c>
      <c r="B346" t="s">
        <v>81</v>
      </c>
      <c r="C346" t="s">
        <v>25</v>
      </c>
      <c r="D346">
        <v>27</v>
      </c>
      <c r="E346" t="s">
        <v>19</v>
      </c>
      <c r="F346">
        <v>9</v>
      </c>
      <c r="G346">
        <v>45524</v>
      </c>
      <c r="H346">
        <v>9</v>
      </c>
      <c r="I346">
        <v>36</v>
      </c>
      <c r="J346">
        <v>2</v>
      </c>
      <c r="K346">
        <v>89</v>
      </c>
      <c r="L346" t="s">
        <v>32</v>
      </c>
    </row>
    <row r="347" spans="1:12" x14ac:dyDescent="0.25">
      <c r="A347" t="s">
        <v>389</v>
      </c>
      <c r="B347" t="s">
        <v>45</v>
      </c>
      <c r="C347" t="s">
        <v>29</v>
      </c>
      <c r="D347">
        <v>23</v>
      </c>
      <c r="E347" t="s">
        <v>19</v>
      </c>
      <c r="F347">
        <v>14</v>
      </c>
      <c r="G347">
        <v>61777</v>
      </c>
      <c r="H347">
        <v>13</v>
      </c>
      <c r="I347">
        <v>44</v>
      </c>
      <c r="J347">
        <v>4</v>
      </c>
      <c r="K347">
        <v>86</v>
      </c>
      <c r="L347" t="s">
        <v>26</v>
      </c>
    </row>
    <row r="348" spans="1:12" x14ac:dyDescent="0.25">
      <c r="A348" t="s">
        <v>390</v>
      </c>
      <c r="B348" t="s">
        <v>53</v>
      </c>
      <c r="C348" t="s">
        <v>14</v>
      </c>
      <c r="D348">
        <v>28</v>
      </c>
      <c r="E348" t="s">
        <v>15</v>
      </c>
      <c r="F348">
        <v>6</v>
      </c>
      <c r="G348">
        <v>40744</v>
      </c>
      <c r="H348">
        <v>8</v>
      </c>
      <c r="I348">
        <v>43</v>
      </c>
      <c r="J348">
        <v>4</v>
      </c>
      <c r="K348">
        <v>87</v>
      </c>
      <c r="L348" t="s">
        <v>51</v>
      </c>
    </row>
    <row r="349" spans="1:12" x14ac:dyDescent="0.25">
      <c r="A349" t="s">
        <v>391</v>
      </c>
      <c r="B349" t="s">
        <v>83</v>
      </c>
      <c r="C349" t="s">
        <v>22</v>
      </c>
      <c r="D349">
        <v>27</v>
      </c>
      <c r="E349" t="s">
        <v>15</v>
      </c>
      <c r="F349">
        <v>8</v>
      </c>
      <c r="G349">
        <v>43018</v>
      </c>
      <c r="H349">
        <v>6</v>
      </c>
      <c r="I349">
        <v>45</v>
      </c>
      <c r="J349">
        <v>3</v>
      </c>
      <c r="K349">
        <v>95</v>
      </c>
      <c r="L349" t="s">
        <v>26</v>
      </c>
    </row>
    <row r="350" spans="1:12" x14ac:dyDescent="0.25">
      <c r="A350" t="s">
        <v>392</v>
      </c>
      <c r="B350" t="s">
        <v>21</v>
      </c>
      <c r="C350" t="s">
        <v>22</v>
      </c>
      <c r="D350">
        <v>34</v>
      </c>
      <c r="E350" t="s">
        <v>19</v>
      </c>
      <c r="F350">
        <v>3</v>
      </c>
      <c r="G350">
        <v>48030</v>
      </c>
      <c r="H350">
        <v>13</v>
      </c>
      <c r="I350">
        <v>44</v>
      </c>
      <c r="J350">
        <v>2</v>
      </c>
      <c r="K350">
        <v>89</v>
      </c>
      <c r="L350" t="s">
        <v>32</v>
      </c>
    </row>
    <row r="351" spans="1:12" x14ac:dyDescent="0.25">
      <c r="A351" t="s">
        <v>393</v>
      </c>
      <c r="B351" t="s">
        <v>21</v>
      </c>
      <c r="C351" t="s">
        <v>14</v>
      </c>
      <c r="D351">
        <v>34</v>
      </c>
      <c r="E351" t="s">
        <v>15</v>
      </c>
      <c r="F351">
        <v>11</v>
      </c>
      <c r="G351">
        <v>67715</v>
      </c>
      <c r="H351">
        <v>13</v>
      </c>
      <c r="I351">
        <v>48</v>
      </c>
      <c r="J351">
        <v>5</v>
      </c>
      <c r="K351">
        <v>88</v>
      </c>
      <c r="L351" t="s">
        <v>32</v>
      </c>
    </row>
    <row r="352" spans="1:12" x14ac:dyDescent="0.25">
      <c r="A352" t="s">
        <v>394</v>
      </c>
      <c r="B352" t="s">
        <v>89</v>
      </c>
      <c r="C352" t="s">
        <v>25</v>
      </c>
      <c r="D352">
        <v>40</v>
      </c>
      <c r="E352" t="s">
        <v>15</v>
      </c>
      <c r="F352">
        <v>10</v>
      </c>
      <c r="G352">
        <v>57993</v>
      </c>
      <c r="H352">
        <v>13</v>
      </c>
      <c r="I352">
        <v>50</v>
      </c>
      <c r="J352">
        <v>4</v>
      </c>
      <c r="K352">
        <v>96</v>
      </c>
      <c r="L352" t="s">
        <v>37</v>
      </c>
    </row>
    <row r="353" spans="1:12" x14ac:dyDescent="0.25">
      <c r="A353" t="s">
        <v>395</v>
      </c>
      <c r="B353" t="s">
        <v>81</v>
      </c>
      <c r="C353" t="s">
        <v>14</v>
      </c>
      <c r="D353">
        <v>30</v>
      </c>
      <c r="E353" t="s">
        <v>19</v>
      </c>
      <c r="F353">
        <v>9</v>
      </c>
      <c r="G353">
        <v>40382</v>
      </c>
      <c r="H353">
        <v>9</v>
      </c>
      <c r="I353">
        <v>40</v>
      </c>
      <c r="J353">
        <v>5</v>
      </c>
      <c r="K353">
        <v>86</v>
      </c>
      <c r="L353" t="s">
        <v>23</v>
      </c>
    </row>
    <row r="354" spans="1:12" x14ac:dyDescent="0.25">
      <c r="A354" t="s">
        <v>396</v>
      </c>
      <c r="B354" t="s">
        <v>13</v>
      </c>
      <c r="C354" t="s">
        <v>25</v>
      </c>
      <c r="D354">
        <v>28</v>
      </c>
      <c r="E354" t="s">
        <v>19</v>
      </c>
      <c r="F354">
        <v>5</v>
      </c>
      <c r="G354">
        <v>38114</v>
      </c>
      <c r="H354">
        <v>4</v>
      </c>
      <c r="I354">
        <v>39</v>
      </c>
      <c r="J354">
        <v>1</v>
      </c>
      <c r="K354">
        <v>92</v>
      </c>
      <c r="L354" t="s">
        <v>16</v>
      </c>
    </row>
    <row r="355" spans="1:12" x14ac:dyDescent="0.25">
      <c r="A355" t="s">
        <v>397</v>
      </c>
      <c r="B355" t="s">
        <v>63</v>
      </c>
      <c r="C355" t="s">
        <v>22</v>
      </c>
      <c r="D355">
        <v>37</v>
      </c>
      <c r="E355" t="s">
        <v>15</v>
      </c>
      <c r="F355">
        <v>3</v>
      </c>
      <c r="G355">
        <v>51542</v>
      </c>
      <c r="H355">
        <v>8</v>
      </c>
      <c r="I355">
        <v>36</v>
      </c>
      <c r="J355">
        <v>3</v>
      </c>
      <c r="K355">
        <v>90</v>
      </c>
      <c r="L355" t="s">
        <v>16</v>
      </c>
    </row>
    <row r="356" spans="1:12" x14ac:dyDescent="0.25">
      <c r="A356" t="s">
        <v>398</v>
      </c>
      <c r="B356" t="s">
        <v>43</v>
      </c>
      <c r="C356" t="s">
        <v>29</v>
      </c>
      <c r="D356">
        <v>37</v>
      </c>
      <c r="E356" t="s">
        <v>15</v>
      </c>
      <c r="F356">
        <v>11</v>
      </c>
      <c r="G356">
        <v>34744</v>
      </c>
      <c r="H356">
        <v>7</v>
      </c>
      <c r="I356">
        <v>45</v>
      </c>
      <c r="J356">
        <v>4</v>
      </c>
      <c r="K356">
        <v>89</v>
      </c>
      <c r="L356" t="s">
        <v>32</v>
      </c>
    </row>
    <row r="357" spans="1:12" x14ac:dyDescent="0.25">
      <c r="A357" t="s">
        <v>399</v>
      </c>
      <c r="B357" t="s">
        <v>53</v>
      </c>
      <c r="C357" t="s">
        <v>25</v>
      </c>
      <c r="D357">
        <v>28</v>
      </c>
      <c r="E357" t="s">
        <v>19</v>
      </c>
      <c r="F357">
        <v>7</v>
      </c>
      <c r="G357">
        <v>66771</v>
      </c>
      <c r="H357">
        <v>5</v>
      </c>
      <c r="I357">
        <v>35</v>
      </c>
      <c r="J357">
        <v>2</v>
      </c>
      <c r="K357">
        <v>93</v>
      </c>
      <c r="L357" t="s">
        <v>51</v>
      </c>
    </row>
    <row r="358" spans="1:12" x14ac:dyDescent="0.25">
      <c r="A358" t="s">
        <v>400</v>
      </c>
      <c r="B358" t="s">
        <v>40</v>
      </c>
      <c r="C358" t="s">
        <v>29</v>
      </c>
      <c r="D358">
        <v>39</v>
      </c>
      <c r="E358" t="s">
        <v>15</v>
      </c>
      <c r="F358">
        <v>1</v>
      </c>
      <c r="G358">
        <v>34985</v>
      </c>
      <c r="H358">
        <v>7</v>
      </c>
      <c r="I358">
        <v>42</v>
      </c>
      <c r="J358">
        <v>1</v>
      </c>
      <c r="K358">
        <v>94</v>
      </c>
      <c r="L358" t="s">
        <v>51</v>
      </c>
    </row>
    <row r="359" spans="1:12" x14ac:dyDescent="0.25">
      <c r="A359" t="s">
        <v>401</v>
      </c>
      <c r="B359" t="s">
        <v>34</v>
      </c>
      <c r="C359" t="s">
        <v>22</v>
      </c>
      <c r="D359">
        <v>33</v>
      </c>
      <c r="E359" t="s">
        <v>15</v>
      </c>
      <c r="F359">
        <v>10</v>
      </c>
      <c r="G359">
        <v>55647</v>
      </c>
      <c r="H359">
        <v>15</v>
      </c>
      <c r="I359">
        <v>45</v>
      </c>
      <c r="J359">
        <v>2</v>
      </c>
      <c r="K359">
        <v>100</v>
      </c>
      <c r="L359" t="s">
        <v>26</v>
      </c>
    </row>
    <row r="360" spans="1:12" x14ac:dyDescent="0.25">
      <c r="A360" t="s">
        <v>402</v>
      </c>
      <c r="B360" t="s">
        <v>31</v>
      </c>
      <c r="C360" t="s">
        <v>29</v>
      </c>
      <c r="D360">
        <v>30</v>
      </c>
      <c r="E360" t="s">
        <v>19</v>
      </c>
      <c r="F360">
        <v>3</v>
      </c>
      <c r="G360">
        <v>58120</v>
      </c>
      <c r="H360">
        <v>14</v>
      </c>
      <c r="I360">
        <v>49</v>
      </c>
      <c r="J360">
        <v>1</v>
      </c>
      <c r="K360">
        <v>92</v>
      </c>
      <c r="L360" t="s">
        <v>23</v>
      </c>
    </row>
    <row r="361" spans="1:12" x14ac:dyDescent="0.25">
      <c r="A361" t="s">
        <v>403</v>
      </c>
      <c r="B361" t="s">
        <v>75</v>
      </c>
      <c r="C361" t="s">
        <v>25</v>
      </c>
      <c r="D361">
        <v>22</v>
      </c>
      <c r="E361" t="s">
        <v>19</v>
      </c>
      <c r="F361">
        <v>3</v>
      </c>
      <c r="G361">
        <v>70112</v>
      </c>
      <c r="H361">
        <v>15</v>
      </c>
      <c r="I361">
        <v>42</v>
      </c>
      <c r="J361">
        <v>1</v>
      </c>
      <c r="K361">
        <v>98</v>
      </c>
      <c r="L361" t="s">
        <v>51</v>
      </c>
    </row>
    <row r="362" spans="1:12" x14ac:dyDescent="0.25">
      <c r="A362" t="s">
        <v>404</v>
      </c>
      <c r="B362" t="s">
        <v>75</v>
      </c>
      <c r="C362" t="s">
        <v>25</v>
      </c>
      <c r="D362">
        <v>39</v>
      </c>
      <c r="E362" t="s">
        <v>19</v>
      </c>
      <c r="F362">
        <v>15</v>
      </c>
      <c r="G362">
        <v>55974</v>
      </c>
      <c r="H362">
        <v>6</v>
      </c>
      <c r="I362">
        <v>41</v>
      </c>
      <c r="J362">
        <v>3</v>
      </c>
      <c r="K362">
        <v>89</v>
      </c>
      <c r="L362" t="s">
        <v>37</v>
      </c>
    </row>
    <row r="363" spans="1:12" x14ac:dyDescent="0.25">
      <c r="A363" t="s">
        <v>405</v>
      </c>
      <c r="B363" t="s">
        <v>34</v>
      </c>
      <c r="C363" t="s">
        <v>29</v>
      </c>
      <c r="D363">
        <v>37</v>
      </c>
      <c r="E363" t="s">
        <v>15</v>
      </c>
      <c r="F363">
        <v>2</v>
      </c>
      <c r="G363">
        <v>33005</v>
      </c>
      <c r="H363">
        <v>7</v>
      </c>
      <c r="I363">
        <v>50</v>
      </c>
      <c r="J363">
        <v>3</v>
      </c>
      <c r="K363">
        <v>100</v>
      </c>
      <c r="L363" t="s">
        <v>37</v>
      </c>
    </row>
    <row r="364" spans="1:12" x14ac:dyDescent="0.25">
      <c r="A364" t="s">
        <v>406</v>
      </c>
      <c r="B364" t="s">
        <v>34</v>
      </c>
      <c r="C364" t="s">
        <v>22</v>
      </c>
      <c r="D364">
        <v>26</v>
      </c>
      <c r="E364" t="s">
        <v>15</v>
      </c>
      <c r="F364">
        <v>6</v>
      </c>
      <c r="G364">
        <v>76256</v>
      </c>
      <c r="H364">
        <v>7</v>
      </c>
      <c r="I364">
        <v>35</v>
      </c>
      <c r="J364">
        <v>1</v>
      </c>
      <c r="K364">
        <v>96</v>
      </c>
      <c r="L364" t="s">
        <v>32</v>
      </c>
    </row>
    <row r="365" spans="1:12" x14ac:dyDescent="0.25">
      <c r="A365" t="s">
        <v>407</v>
      </c>
      <c r="B365" t="s">
        <v>65</v>
      </c>
      <c r="C365" t="s">
        <v>29</v>
      </c>
      <c r="D365">
        <v>38</v>
      </c>
      <c r="E365" t="s">
        <v>19</v>
      </c>
      <c r="F365">
        <v>8</v>
      </c>
      <c r="G365">
        <v>50527</v>
      </c>
      <c r="H365">
        <v>14</v>
      </c>
      <c r="I365">
        <v>43</v>
      </c>
      <c r="J365">
        <v>3</v>
      </c>
      <c r="K365">
        <v>94</v>
      </c>
      <c r="L365" t="s">
        <v>37</v>
      </c>
    </row>
    <row r="366" spans="1:12" x14ac:dyDescent="0.25">
      <c r="A366" t="s">
        <v>408</v>
      </c>
      <c r="B366" t="s">
        <v>94</v>
      </c>
      <c r="C366" t="s">
        <v>14</v>
      </c>
      <c r="D366">
        <v>27</v>
      </c>
      <c r="E366" t="s">
        <v>15</v>
      </c>
      <c r="F366">
        <v>2</v>
      </c>
      <c r="G366">
        <v>43594</v>
      </c>
      <c r="H366">
        <v>8</v>
      </c>
      <c r="I366">
        <v>44</v>
      </c>
      <c r="J366">
        <v>5</v>
      </c>
      <c r="K366">
        <v>97</v>
      </c>
      <c r="L366" t="s">
        <v>32</v>
      </c>
    </row>
    <row r="367" spans="1:12" x14ac:dyDescent="0.25">
      <c r="A367" t="s">
        <v>409</v>
      </c>
      <c r="B367" t="s">
        <v>77</v>
      </c>
      <c r="C367" t="s">
        <v>25</v>
      </c>
      <c r="D367">
        <v>28</v>
      </c>
      <c r="E367" t="s">
        <v>15</v>
      </c>
      <c r="F367">
        <v>10</v>
      </c>
      <c r="G367">
        <v>28948</v>
      </c>
      <c r="H367">
        <v>3</v>
      </c>
      <c r="I367">
        <v>37</v>
      </c>
      <c r="J367">
        <v>1</v>
      </c>
      <c r="K367">
        <v>97</v>
      </c>
      <c r="L367" t="s">
        <v>23</v>
      </c>
    </row>
    <row r="368" spans="1:12" x14ac:dyDescent="0.25">
      <c r="A368" t="s">
        <v>410</v>
      </c>
      <c r="B368" t="s">
        <v>31</v>
      </c>
      <c r="C368" t="s">
        <v>29</v>
      </c>
      <c r="D368">
        <v>24</v>
      </c>
      <c r="E368" t="s">
        <v>19</v>
      </c>
      <c r="F368">
        <v>6</v>
      </c>
      <c r="G368">
        <v>39049</v>
      </c>
      <c r="H368">
        <v>3</v>
      </c>
      <c r="I368">
        <v>43</v>
      </c>
      <c r="J368">
        <v>3</v>
      </c>
      <c r="K368">
        <v>91</v>
      </c>
      <c r="L368" t="s">
        <v>23</v>
      </c>
    </row>
    <row r="369" spans="1:12" x14ac:dyDescent="0.25">
      <c r="A369" t="s">
        <v>411</v>
      </c>
      <c r="B369" t="s">
        <v>36</v>
      </c>
      <c r="C369" t="s">
        <v>25</v>
      </c>
      <c r="D369">
        <v>30</v>
      </c>
      <c r="E369" t="s">
        <v>15</v>
      </c>
      <c r="F369">
        <v>12</v>
      </c>
      <c r="G369">
        <v>28049</v>
      </c>
      <c r="H369">
        <v>14</v>
      </c>
      <c r="I369">
        <v>43</v>
      </c>
      <c r="J369">
        <v>1</v>
      </c>
      <c r="K369">
        <v>92</v>
      </c>
      <c r="L369" t="s">
        <v>37</v>
      </c>
    </row>
    <row r="370" spans="1:12" x14ac:dyDescent="0.25">
      <c r="A370" t="s">
        <v>412</v>
      </c>
      <c r="B370" t="s">
        <v>45</v>
      </c>
      <c r="C370" t="s">
        <v>29</v>
      </c>
      <c r="D370">
        <v>30</v>
      </c>
      <c r="E370" t="s">
        <v>15</v>
      </c>
      <c r="F370">
        <v>2</v>
      </c>
      <c r="G370">
        <v>65525</v>
      </c>
      <c r="H370">
        <v>5</v>
      </c>
      <c r="I370">
        <v>46</v>
      </c>
      <c r="J370">
        <v>1</v>
      </c>
      <c r="K370">
        <v>92</v>
      </c>
      <c r="L370" t="s">
        <v>26</v>
      </c>
    </row>
    <row r="371" spans="1:12" x14ac:dyDescent="0.25">
      <c r="A371" t="s">
        <v>413</v>
      </c>
      <c r="B371" t="s">
        <v>53</v>
      </c>
      <c r="C371" t="s">
        <v>14</v>
      </c>
      <c r="D371">
        <v>38</v>
      </c>
      <c r="E371" t="s">
        <v>15</v>
      </c>
      <c r="F371">
        <v>4</v>
      </c>
      <c r="G371">
        <v>37773</v>
      </c>
      <c r="H371">
        <v>10</v>
      </c>
      <c r="I371">
        <v>43</v>
      </c>
      <c r="J371">
        <v>1</v>
      </c>
      <c r="K371">
        <v>92</v>
      </c>
      <c r="L371" t="s">
        <v>23</v>
      </c>
    </row>
    <row r="372" spans="1:12" x14ac:dyDescent="0.25">
      <c r="A372" t="s">
        <v>414</v>
      </c>
      <c r="B372" t="s">
        <v>43</v>
      </c>
      <c r="C372" t="s">
        <v>29</v>
      </c>
      <c r="D372">
        <v>38</v>
      </c>
      <c r="E372" t="s">
        <v>15</v>
      </c>
      <c r="F372">
        <v>14</v>
      </c>
      <c r="G372">
        <v>45664</v>
      </c>
      <c r="H372">
        <v>3</v>
      </c>
      <c r="I372">
        <v>40</v>
      </c>
      <c r="J372">
        <v>1</v>
      </c>
      <c r="K372">
        <v>95</v>
      </c>
      <c r="L372" t="s">
        <v>51</v>
      </c>
    </row>
    <row r="373" spans="1:12" x14ac:dyDescent="0.25">
      <c r="A373" t="s">
        <v>415</v>
      </c>
      <c r="B373" t="s">
        <v>18</v>
      </c>
      <c r="C373" t="s">
        <v>14</v>
      </c>
      <c r="D373">
        <v>23</v>
      </c>
      <c r="E373" t="s">
        <v>19</v>
      </c>
      <c r="F373">
        <v>13</v>
      </c>
      <c r="G373">
        <v>72046</v>
      </c>
      <c r="H373">
        <v>6</v>
      </c>
      <c r="I373">
        <v>36</v>
      </c>
      <c r="J373">
        <v>2</v>
      </c>
      <c r="K373">
        <v>97</v>
      </c>
      <c r="L373" t="s">
        <v>23</v>
      </c>
    </row>
    <row r="374" spans="1:12" x14ac:dyDescent="0.25">
      <c r="A374" t="s">
        <v>416</v>
      </c>
      <c r="B374" t="s">
        <v>21</v>
      </c>
      <c r="C374" t="s">
        <v>14</v>
      </c>
      <c r="D374">
        <v>22</v>
      </c>
      <c r="E374" t="s">
        <v>15</v>
      </c>
      <c r="F374">
        <v>8</v>
      </c>
      <c r="G374">
        <v>34615</v>
      </c>
      <c r="H374">
        <v>6</v>
      </c>
      <c r="I374">
        <v>50</v>
      </c>
      <c r="J374">
        <v>2</v>
      </c>
      <c r="K374">
        <v>91</v>
      </c>
      <c r="L374" t="s">
        <v>32</v>
      </c>
    </row>
    <row r="375" spans="1:12" x14ac:dyDescent="0.25">
      <c r="A375" t="s">
        <v>417</v>
      </c>
      <c r="B375" t="s">
        <v>53</v>
      </c>
      <c r="C375" t="s">
        <v>25</v>
      </c>
      <c r="D375">
        <v>30</v>
      </c>
      <c r="E375" t="s">
        <v>19</v>
      </c>
      <c r="F375">
        <v>15</v>
      </c>
      <c r="G375">
        <v>60197</v>
      </c>
      <c r="H375">
        <v>9</v>
      </c>
      <c r="I375">
        <v>42</v>
      </c>
      <c r="J375">
        <v>5</v>
      </c>
      <c r="K375">
        <v>96</v>
      </c>
      <c r="L375" t="s">
        <v>16</v>
      </c>
    </row>
    <row r="376" spans="1:12" x14ac:dyDescent="0.25">
      <c r="A376" t="s">
        <v>418</v>
      </c>
      <c r="B376" t="s">
        <v>70</v>
      </c>
      <c r="C376" t="s">
        <v>22</v>
      </c>
      <c r="D376">
        <v>33</v>
      </c>
      <c r="E376" t="s">
        <v>19</v>
      </c>
      <c r="F376">
        <v>12</v>
      </c>
      <c r="G376">
        <v>49385</v>
      </c>
      <c r="H376">
        <v>11</v>
      </c>
      <c r="I376">
        <v>40</v>
      </c>
      <c r="J376">
        <v>5</v>
      </c>
      <c r="K376">
        <v>91</v>
      </c>
      <c r="L376" t="s">
        <v>51</v>
      </c>
    </row>
    <row r="377" spans="1:12" x14ac:dyDescent="0.25">
      <c r="A377" t="s">
        <v>419</v>
      </c>
      <c r="B377" t="s">
        <v>13</v>
      </c>
      <c r="C377" t="s">
        <v>14</v>
      </c>
      <c r="D377">
        <v>24</v>
      </c>
      <c r="E377" t="s">
        <v>19</v>
      </c>
      <c r="F377">
        <v>10</v>
      </c>
      <c r="G377">
        <v>31355</v>
      </c>
      <c r="H377">
        <v>15</v>
      </c>
      <c r="I377">
        <v>50</v>
      </c>
      <c r="J377">
        <v>5</v>
      </c>
      <c r="K377">
        <v>87</v>
      </c>
      <c r="L377" t="s">
        <v>16</v>
      </c>
    </row>
    <row r="378" spans="1:12" x14ac:dyDescent="0.25">
      <c r="A378" t="s">
        <v>420</v>
      </c>
      <c r="B378" t="s">
        <v>13</v>
      </c>
      <c r="C378" t="s">
        <v>14</v>
      </c>
      <c r="D378">
        <v>36</v>
      </c>
      <c r="E378" t="s">
        <v>15</v>
      </c>
      <c r="F378">
        <v>5</v>
      </c>
      <c r="G378">
        <v>26410</v>
      </c>
      <c r="H378">
        <v>4</v>
      </c>
      <c r="I378">
        <v>41</v>
      </c>
      <c r="J378">
        <v>3</v>
      </c>
      <c r="K378">
        <v>92</v>
      </c>
      <c r="L378" t="s">
        <v>23</v>
      </c>
    </row>
    <row r="379" spans="1:12" x14ac:dyDescent="0.25">
      <c r="A379" t="s">
        <v>421</v>
      </c>
      <c r="B379" t="s">
        <v>75</v>
      </c>
      <c r="C379" t="s">
        <v>22</v>
      </c>
      <c r="D379">
        <v>40</v>
      </c>
      <c r="E379" t="s">
        <v>19</v>
      </c>
      <c r="F379">
        <v>6</v>
      </c>
      <c r="G379">
        <v>79076</v>
      </c>
      <c r="H379">
        <v>5</v>
      </c>
      <c r="I379">
        <v>46</v>
      </c>
      <c r="J379">
        <v>2</v>
      </c>
      <c r="K379">
        <v>100</v>
      </c>
      <c r="L379" t="s">
        <v>26</v>
      </c>
    </row>
    <row r="380" spans="1:12" x14ac:dyDescent="0.25">
      <c r="A380" t="s">
        <v>422</v>
      </c>
      <c r="B380" t="s">
        <v>13</v>
      </c>
      <c r="C380" t="s">
        <v>25</v>
      </c>
      <c r="D380">
        <v>37</v>
      </c>
      <c r="E380" t="s">
        <v>15</v>
      </c>
      <c r="F380">
        <v>2</v>
      </c>
      <c r="G380">
        <v>69879</v>
      </c>
      <c r="H380">
        <v>4</v>
      </c>
      <c r="I380">
        <v>36</v>
      </c>
      <c r="J380">
        <v>1</v>
      </c>
      <c r="K380">
        <v>96</v>
      </c>
      <c r="L380" t="s">
        <v>26</v>
      </c>
    </row>
    <row r="381" spans="1:12" x14ac:dyDescent="0.25">
      <c r="A381" t="s">
        <v>423</v>
      </c>
      <c r="B381" t="s">
        <v>34</v>
      </c>
      <c r="C381" t="s">
        <v>14</v>
      </c>
      <c r="D381">
        <v>37</v>
      </c>
      <c r="E381" t="s">
        <v>19</v>
      </c>
      <c r="F381">
        <v>3</v>
      </c>
      <c r="G381">
        <v>39087</v>
      </c>
      <c r="H381">
        <v>10</v>
      </c>
      <c r="I381">
        <v>44</v>
      </c>
      <c r="J381">
        <v>5</v>
      </c>
      <c r="K381">
        <v>89</v>
      </c>
      <c r="L381" t="s">
        <v>37</v>
      </c>
    </row>
    <row r="382" spans="1:12" x14ac:dyDescent="0.25">
      <c r="A382" t="s">
        <v>424</v>
      </c>
      <c r="B382" t="s">
        <v>89</v>
      </c>
      <c r="C382" t="s">
        <v>22</v>
      </c>
      <c r="D382">
        <v>28</v>
      </c>
      <c r="E382" t="s">
        <v>15</v>
      </c>
      <c r="F382">
        <v>8</v>
      </c>
      <c r="G382">
        <v>39471</v>
      </c>
      <c r="H382">
        <v>15</v>
      </c>
      <c r="I382">
        <v>40</v>
      </c>
      <c r="J382">
        <v>5</v>
      </c>
      <c r="K382">
        <v>90</v>
      </c>
      <c r="L382" t="s">
        <v>37</v>
      </c>
    </row>
    <row r="383" spans="1:12" x14ac:dyDescent="0.25">
      <c r="A383" t="s">
        <v>425</v>
      </c>
      <c r="B383" t="s">
        <v>53</v>
      </c>
      <c r="C383" t="s">
        <v>29</v>
      </c>
      <c r="D383">
        <v>35</v>
      </c>
      <c r="E383" t="s">
        <v>19</v>
      </c>
      <c r="F383">
        <v>12</v>
      </c>
      <c r="G383">
        <v>50779</v>
      </c>
      <c r="H383">
        <v>4</v>
      </c>
      <c r="I383">
        <v>50</v>
      </c>
      <c r="J383">
        <v>4</v>
      </c>
      <c r="K383">
        <v>99</v>
      </c>
      <c r="L383" t="s">
        <v>23</v>
      </c>
    </row>
    <row r="384" spans="1:12" x14ac:dyDescent="0.25">
      <c r="A384" t="s">
        <v>426</v>
      </c>
      <c r="B384" t="s">
        <v>70</v>
      </c>
      <c r="C384" t="s">
        <v>25</v>
      </c>
      <c r="D384">
        <v>35</v>
      </c>
      <c r="E384" t="s">
        <v>19</v>
      </c>
      <c r="F384">
        <v>14</v>
      </c>
      <c r="G384">
        <v>79906</v>
      </c>
      <c r="H384">
        <v>9</v>
      </c>
      <c r="I384">
        <v>49</v>
      </c>
      <c r="J384">
        <v>2</v>
      </c>
      <c r="K384">
        <v>85</v>
      </c>
      <c r="L384" t="s">
        <v>32</v>
      </c>
    </row>
    <row r="385" spans="1:12" x14ac:dyDescent="0.25">
      <c r="A385" t="s">
        <v>427</v>
      </c>
      <c r="B385" t="s">
        <v>75</v>
      </c>
      <c r="C385" t="s">
        <v>29</v>
      </c>
      <c r="D385">
        <v>32</v>
      </c>
      <c r="E385" t="s">
        <v>19</v>
      </c>
      <c r="F385">
        <v>9</v>
      </c>
      <c r="G385">
        <v>42136</v>
      </c>
      <c r="H385">
        <v>5</v>
      </c>
      <c r="I385">
        <v>38</v>
      </c>
      <c r="J385">
        <v>3</v>
      </c>
      <c r="K385">
        <v>95</v>
      </c>
      <c r="L385" t="s">
        <v>51</v>
      </c>
    </row>
    <row r="386" spans="1:12" x14ac:dyDescent="0.25">
      <c r="A386" t="s">
        <v>428</v>
      </c>
      <c r="B386" t="s">
        <v>53</v>
      </c>
      <c r="C386" t="s">
        <v>29</v>
      </c>
      <c r="D386">
        <v>33</v>
      </c>
      <c r="E386" t="s">
        <v>15</v>
      </c>
      <c r="F386">
        <v>6</v>
      </c>
      <c r="G386">
        <v>26608</v>
      </c>
      <c r="H386">
        <v>14</v>
      </c>
      <c r="I386">
        <v>47</v>
      </c>
      <c r="J386">
        <v>4</v>
      </c>
      <c r="K386">
        <v>91</v>
      </c>
      <c r="L386" t="s">
        <v>32</v>
      </c>
    </row>
    <row r="387" spans="1:12" x14ac:dyDescent="0.25">
      <c r="A387" t="s">
        <v>429</v>
      </c>
      <c r="B387" t="s">
        <v>36</v>
      </c>
      <c r="C387" t="s">
        <v>25</v>
      </c>
      <c r="D387">
        <v>40</v>
      </c>
      <c r="E387" t="s">
        <v>15</v>
      </c>
      <c r="F387">
        <v>13</v>
      </c>
      <c r="G387">
        <v>50507</v>
      </c>
      <c r="H387">
        <v>13</v>
      </c>
      <c r="I387">
        <v>44</v>
      </c>
      <c r="J387">
        <v>4</v>
      </c>
      <c r="K387">
        <v>85</v>
      </c>
      <c r="L387" t="s">
        <v>37</v>
      </c>
    </row>
    <row r="388" spans="1:12" x14ac:dyDescent="0.25">
      <c r="A388" t="s">
        <v>430</v>
      </c>
      <c r="B388" t="s">
        <v>63</v>
      </c>
      <c r="C388" t="s">
        <v>25</v>
      </c>
      <c r="D388">
        <v>30</v>
      </c>
      <c r="E388" t="s">
        <v>19</v>
      </c>
      <c r="F388">
        <v>12</v>
      </c>
      <c r="G388">
        <v>50030</v>
      </c>
      <c r="H388">
        <v>9</v>
      </c>
      <c r="I388">
        <v>39</v>
      </c>
      <c r="J388">
        <v>1</v>
      </c>
      <c r="K388">
        <v>94</v>
      </c>
      <c r="L388" t="s">
        <v>26</v>
      </c>
    </row>
    <row r="389" spans="1:12" x14ac:dyDescent="0.25">
      <c r="A389" t="s">
        <v>431</v>
      </c>
      <c r="B389" t="s">
        <v>89</v>
      </c>
      <c r="C389" t="s">
        <v>14</v>
      </c>
      <c r="D389">
        <v>33</v>
      </c>
      <c r="E389" t="s">
        <v>15</v>
      </c>
      <c r="F389">
        <v>5</v>
      </c>
      <c r="G389">
        <v>53985</v>
      </c>
      <c r="H389">
        <v>15</v>
      </c>
      <c r="I389">
        <v>48</v>
      </c>
      <c r="J389">
        <v>2</v>
      </c>
      <c r="K389">
        <v>85</v>
      </c>
      <c r="L389" t="s">
        <v>23</v>
      </c>
    </row>
    <row r="390" spans="1:12" x14ac:dyDescent="0.25">
      <c r="A390" t="s">
        <v>432</v>
      </c>
      <c r="B390" t="s">
        <v>94</v>
      </c>
      <c r="C390" t="s">
        <v>25</v>
      </c>
      <c r="D390">
        <v>28</v>
      </c>
      <c r="E390" t="s">
        <v>15</v>
      </c>
      <c r="F390">
        <v>15</v>
      </c>
      <c r="G390">
        <v>34788</v>
      </c>
      <c r="H390">
        <v>4</v>
      </c>
      <c r="I390">
        <v>42</v>
      </c>
      <c r="J390">
        <v>3</v>
      </c>
      <c r="K390">
        <v>97</v>
      </c>
      <c r="L390" t="s">
        <v>32</v>
      </c>
    </row>
    <row r="391" spans="1:12" x14ac:dyDescent="0.25">
      <c r="A391" t="s">
        <v>433</v>
      </c>
      <c r="B391" t="s">
        <v>31</v>
      </c>
      <c r="C391" t="s">
        <v>22</v>
      </c>
      <c r="D391">
        <v>29</v>
      </c>
      <c r="E391" t="s">
        <v>19</v>
      </c>
      <c r="F391">
        <v>10</v>
      </c>
      <c r="G391">
        <v>79102</v>
      </c>
      <c r="H391">
        <v>13</v>
      </c>
      <c r="I391">
        <v>43</v>
      </c>
      <c r="J391">
        <v>1</v>
      </c>
      <c r="K391">
        <v>88</v>
      </c>
      <c r="L391" t="s">
        <v>37</v>
      </c>
    </row>
    <row r="392" spans="1:12" x14ac:dyDescent="0.25">
      <c r="A392" t="s">
        <v>434</v>
      </c>
      <c r="B392" t="s">
        <v>45</v>
      </c>
      <c r="C392" t="s">
        <v>25</v>
      </c>
      <c r="D392">
        <v>39</v>
      </c>
      <c r="E392" t="s">
        <v>15</v>
      </c>
      <c r="F392">
        <v>2</v>
      </c>
      <c r="G392">
        <v>72928</v>
      </c>
      <c r="H392">
        <v>9</v>
      </c>
      <c r="I392">
        <v>44</v>
      </c>
      <c r="J392">
        <v>5</v>
      </c>
      <c r="K392">
        <v>99</v>
      </c>
      <c r="L392" t="s">
        <v>51</v>
      </c>
    </row>
    <row r="393" spans="1:12" x14ac:dyDescent="0.25">
      <c r="A393" t="s">
        <v>435</v>
      </c>
      <c r="B393" t="s">
        <v>83</v>
      </c>
      <c r="C393" t="s">
        <v>25</v>
      </c>
      <c r="D393">
        <v>39</v>
      </c>
      <c r="E393" t="s">
        <v>15</v>
      </c>
      <c r="F393">
        <v>2</v>
      </c>
      <c r="G393">
        <v>66607</v>
      </c>
      <c r="H393">
        <v>11</v>
      </c>
      <c r="I393">
        <v>48</v>
      </c>
      <c r="J393">
        <v>1</v>
      </c>
      <c r="K393">
        <v>96</v>
      </c>
      <c r="L393" t="s">
        <v>16</v>
      </c>
    </row>
    <row r="394" spans="1:12" x14ac:dyDescent="0.25">
      <c r="A394" t="s">
        <v>436</v>
      </c>
      <c r="B394" t="s">
        <v>21</v>
      </c>
      <c r="C394" t="s">
        <v>14</v>
      </c>
      <c r="D394">
        <v>23</v>
      </c>
      <c r="E394" t="s">
        <v>19</v>
      </c>
      <c r="F394">
        <v>15</v>
      </c>
      <c r="G394">
        <v>67166</v>
      </c>
      <c r="H394">
        <v>15</v>
      </c>
      <c r="I394">
        <v>48</v>
      </c>
      <c r="J394">
        <v>4</v>
      </c>
      <c r="K394">
        <v>87</v>
      </c>
      <c r="L394" t="s">
        <v>51</v>
      </c>
    </row>
    <row r="395" spans="1:12" x14ac:dyDescent="0.25">
      <c r="A395" t="s">
        <v>437</v>
      </c>
      <c r="B395" t="s">
        <v>36</v>
      </c>
      <c r="C395" t="s">
        <v>14</v>
      </c>
      <c r="D395">
        <v>26</v>
      </c>
      <c r="E395" t="s">
        <v>15</v>
      </c>
      <c r="F395">
        <v>4</v>
      </c>
      <c r="G395">
        <v>76658</v>
      </c>
      <c r="H395">
        <v>8</v>
      </c>
      <c r="I395">
        <v>47</v>
      </c>
      <c r="J395">
        <v>4</v>
      </c>
      <c r="K395">
        <v>93</v>
      </c>
      <c r="L395" t="s">
        <v>23</v>
      </c>
    </row>
    <row r="396" spans="1:12" x14ac:dyDescent="0.25">
      <c r="A396" t="s">
        <v>438</v>
      </c>
      <c r="B396" t="s">
        <v>70</v>
      </c>
      <c r="C396" t="s">
        <v>14</v>
      </c>
      <c r="D396">
        <v>22</v>
      </c>
      <c r="E396" t="s">
        <v>15</v>
      </c>
      <c r="F396">
        <v>2</v>
      </c>
      <c r="G396">
        <v>31673</v>
      </c>
      <c r="H396">
        <v>8</v>
      </c>
      <c r="I396">
        <v>35</v>
      </c>
      <c r="J396">
        <v>3</v>
      </c>
      <c r="K396">
        <v>94</v>
      </c>
      <c r="L396" t="s">
        <v>32</v>
      </c>
    </row>
    <row r="397" spans="1:12" x14ac:dyDescent="0.25">
      <c r="A397" t="s">
        <v>439</v>
      </c>
      <c r="B397" t="s">
        <v>70</v>
      </c>
      <c r="C397" t="s">
        <v>22</v>
      </c>
      <c r="D397">
        <v>34</v>
      </c>
      <c r="E397" t="s">
        <v>19</v>
      </c>
      <c r="F397">
        <v>10</v>
      </c>
      <c r="G397">
        <v>39641</v>
      </c>
      <c r="H397">
        <v>4</v>
      </c>
      <c r="I397">
        <v>40</v>
      </c>
      <c r="J397">
        <v>3</v>
      </c>
      <c r="K397">
        <v>93</v>
      </c>
      <c r="L397" t="s">
        <v>16</v>
      </c>
    </row>
    <row r="398" spans="1:12" x14ac:dyDescent="0.25">
      <c r="A398" t="s">
        <v>440</v>
      </c>
      <c r="B398" t="s">
        <v>43</v>
      </c>
      <c r="C398" t="s">
        <v>25</v>
      </c>
      <c r="D398">
        <v>24</v>
      </c>
      <c r="E398" t="s">
        <v>15</v>
      </c>
      <c r="F398">
        <v>9</v>
      </c>
      <c r="G398">
        <v>49186</v>
      </c>
      <c r="H398">
        <v>3</v>
      </c>
      <c r="I398">
        <v>35</v>
      </c>
      <c r="J398">
        <v>3</v>
      </c>
      <c r="K398">
        <v>89</v>
      </c>
      <c r="L398" t="s">
        <v>23</v>
      </c>
    </row>
    <row r="399" spans="1:12" x14ac:dyDescent="0.25">
      <c r="A399" t="s">
        <v>441</v>
      </c>
      <c r="B399" t="s">
        <v>28</v>
      </c>
      <c r="C399" t="s">
        <v>25</v>
      </c>
      <c r="D399">
        <v>33</v>
      </c>
      <c r="E399" t="s">
        <v>19</v>
      </c>
      <c r="F399">
        <v>6</v>
      </c>
      <c r="G399">
        <v>28023</v>
      </c>
      <c r="H399">
        <v>7</v>
      </c>
      <c r="I399">
        <v>49</v>
      </c>
      <c r="J399">
        <v>5</v>
      </c>
      <c r="K399">
        <v>93</v>
      </c>
      <c r="L399" t="s">
        <v>26</v>
      </c>
    </row>
    <row r="400" spans="1:12" x14ac:dyDescent="0.25">
      <c r="A400" t="s">
        <v>442</v>
      </c>
      <c r="B400" t="s">
        <v>21</v>
      </c>
      <c r="C400" t="s">
        <v>14</v>
      </c>
      <c r="D400">
        <v>30</v>
      </c>
      <c r="E400" t="s">
        <v>19</v>
      </c>
      <c r="F400">
        <v>9</v>
      </c>
      <c r="G400">
        <v>34403</v>
      </c>
      <c r="H400">
        <v>15</v>
      </c>
      <c r="I400">
        <v>47</v>
      </c>
      <c r="J400">
        <v>1</v>
      </c>
      <c r="K400">
        <v>95</v>
      </c>
      <c r="L400" t="s">
        <v>51</v>
      </c>
    </row>
    <row r="401" spans="1:12" x14ac:dyDescent="0.25">
      <c r="A401" t="s">
        <v>443</v>
      </c>
      <c r="B401" t="s">
        <v>18</v>
      </c>
      <c r="C401" t="s">
        <v>22</v>
      </c>
      <c r="D401">
        <v>31</v>
      </c>
      <c r="E401" t="s">
        <v>19</v>
      </c>
      <c r="F401">
        <v>2</v>
      </c>
      <c r="G401">
        <v>78092</v>
      </c>
      <c r="H401">
        <v>15</v>
      </c>
      <c r="I401">
        <v>48</v>
      </c>
      <c r="J401">
        <v>2</v>
      </c>
      <c r="K401">
        <v>86</v>
      </c>
      <c r="L401" t="s">
        <v>37</v>
      </c>
    </row>
    <row r="402" spans="1:12" x14ac:dyDescent="0.25">
      <c r="A402" t="s">
        <v>444</v>
      </c>
      <c r="B402" t="s">
        <v>31</v>
      </c>
      <c r="C402" t="s">
        <v>25</v>
      </c>
      <c r="D402">
        <v>33</v>
      </c>
      <c r="E402" t="s">
        <v>19</v>
      </c>
      <c r="F402">
        <v>13</v>
      </c>
      <c r="G402">
        <v>58452</v>
      </c>
      <c r="H402">
        <v>5</v>
      </c>
      <c r="I402">
        <v>49</v>
      </c>
      <c r="J402">
        <v>1</v>
      </c>
      <c r="K402">
        <v>90</v>
      </c>
      <c r="L402" t="s">
        <v>37</v>
      </c>
    </row>
    <row r="403" spans="1:12" x14ac:dyDescent="0.25">
      <c r="A403" t="s">
        <v>445</v>
      </c>
      <c r="B403" t="s">
        <v>31</v>
      </c>
      <c r="C403" t="s">
        <v>25</v>
      </c>
      <c r="D403">
        <v>27</v>
      </c>
      <c r="E403" t="s">
        <v>19</v>
      </c>
      <c r="F403">
        <v>9</v>
      </c>
      <c r="G403">
        <v>55207</v>
      </c>
      <c r="H403">
        <v>3</v>
      </c>
      <c r="I403">
        <v>47</v>
      </c>
      <c r="J403">
        <v>2</v>
      </c>
      <c r="K403">
        <v>99</v>
      </c>
      <c r="L403" t="s">
        <v>16</v>
      </c>
    </row>
    <row r="404" spans="1:12" x14ac:dyDescent="0.25">
      <c r="A404" t="s">
        <v>446</v>
      </c>
      <c r="B404" t="s">
        <v>81</v>
      </c>
      <c r="C404" t="s">
        <v>14</v>
      </c>
      <c r="D404">
        <v>25</v>
      </c>
      <c r="E404" t="s">
        <v>15</v>
      </c>
      <c r="F404">
        <v>1</v>
      </c>
      <c r="G404">
        <v>62920</v>
      </c>
      <c r="H404">
        <v>3</v>
      </c>
      <c r="I404">
        <v>49</v>
      </c>
      <c r="J404">
        <v>4</v>
      </c>
      <c r="K404">
        <v>85</v>
      </c>
      <c r="L404" t="s">
        <v>16</v>
      </c>
    </row>
    <row r="405" spans="1:12" x14ac:dyDescent="0.25">
      <c r="A405" t="s">
        <v>447</v>
      </c>
      <c r="B405" t="s">
        <v>94</v>
      </c>
      <c r="C405" t="s">
        <v>25</v>
      </c>
      <c r="D405">
        <v>32</v>
      </c>
      <c r="E405" t="s">
        <v>19</v>
      </c>
      <c r="F405">
        <v>2</v>
      </c>
      <c r="G405">
        <v>45317</v>
      </c>
      <c r="H405">
        <v>6</v>
      </c>
      <c r="I405">
        <v>37</v>
      </c>
      <c r="J405">
        <v>1</v>
      </c>
      <c r="K405">
        <v>96</v>
      </c>
      <c r="L405" t="s">
        <v>16</v>
      </c>
    </row>
    <row r="406" spans="1:12" x14ac:dyDescent="0.25">
      <c r="A406" t="s">
        <v>448</v>
      </c>
      <c r="B406" t="s">
        <v>45</v>
      </c>
      <c r="C406" t="s">
        <v>29</v>
      </c>
      <c r="D406">
        <v>25</v>
      </c>
      <c r="E406" t="s">
        <v>19</v>
      </c>
      <c r="F406">
        <v>14</v>
      </c>
      <c r="G406">
        <v>59355</v>
      </c>
      <c r="H406">
        <v>12</v>
      </c>
      <c r="I406">
        <v>36</v>
      </c>
      <c r="J406">
        <v>1</v>
      </c>
      <c r="K406">
        <v>97</v>
      </c>
      <c r="L406" t="s">
        <v>26</v>
      </c>
    </row>
    <row r="407" spans="1:12" x14ac:dyDescent="0.25">
      <c r="A407" t="s">
        <v>449</v>
      </c>
      <c r="B407" t="s">
        <v>13</v>
      </c>
      <c r="C407" t="s">
        <v>14</v>
      </c>
      <c r="D407">
        <v>25</v>
      </c>
      <c r="E407" t="s">
        <v>19</v>
      </c>
      <c r="F407">
        <v>7</v>
      </c>
      <c r="G407">
        <v>35049</v>
      </c>
      <c r="H407">
        <v>6</v>
      </c>
      <c r="I407">
        <v>50</v>
      </c>
      <c r="J407">
        <v>1</v>
      </c>
      <c r="K407">
        <v>89</v>
      </c>
      <c r="L407" t="s">
        <v>37</v>
      </c>
    </row>
    <row r="408" spans="1:12" x14ac:dyDescent="0.25">
      <c r="A408" t="s">
        <v>450</v>
      </c>
      <c r="B408" t="s">
        <v>18</v>
      </c>
      <c r="C408" t="s">
        <v>14</v>
      </c>
      <c r="D408">
        <v>29</v>
      </c>
      <c r="E408" t="s">
        <v>19</v>
      </c>
      <c r="F408">
        <v>9</v>
      </c>
      <c r="G408">
        <v>66813</v>
      </c>
      <c r="H408">
        <v>12</v>
      </c>
      <c r="I408">
        <v>48</v>
      </c>
      <c r="J408">
        <v>3</v>
      </c>
      <c r="K408">
        <v>95</v>
      </c>
      <c r="L408" t="s">
        <v>51</v>
      </c>
    </row>
    <row r="409" spans="1:12" x14ac:dyDescent="0.25">
      <c r="A409" t="s">
        <v>451</v>
      </c>
      <c r="B409" t="s">
        <v>40</v>
      </c>
      <c r="C409" t="s">
        <v>25</v>
      </c>
      <c r="D409">
        <v>35</v>
      </c>
      <c r="E409" t="s">
        <v>15</v>
      </c>
      <c r="F409">
        <v>13</v>
      </c>
      <c r="G409">
        <v>36776</v>
      </c>
      <c r="H409">
        <v>13</v>
      </c>
      <c r="I409">
        <v>41</v>
      </c>
      <c r="J409">
        <v>2</v>
      </c>
      <c r="K409">
        <v>99</v>
      </c>
      <c r="L409" t="s">
        <v>32</v>
      </c>
    </row>
    <row r="410" spans="1:12" x14ac:dyDescent="0.25">
      <c r="A410" t="s">
        <v>452</v>
      </c>
      <c r="B410" t="s">
        <v>45</v>
      </c>
      <c r="C410" t="s">
        <v>14</v>
      </c>
      <c r="D410">
        <v>26</v>
      </c>
      <c r="E410" t="s">
        <v>19</v>
      </c>
      <c r="F410">
        <v>12</v>
      </c>
      <c r="G410">
        <v>55889</v>
      </c>
      <c r="H410">
        <v>12</v>
      </c>
      <c r="I410">
        <v>35</v>
      </c>
      <c r="J410">
        <v>3</v>
      </c>
      <c r="K410">
        <v>95</v>
      </c>
      <c r="L410" t="s">
        <v>37</v>
      </c>
    </row>
    <row r="411" spans="1:12" x14ac:dyDescent="0.25">
      <c r="A411" t="s">
        <v>453</v>
      </c>
      <c r="B411" t="s">
        <v>83</v>
      </c>
      <c r="C411" t="s">
        <v>14</v>
      </c>
      <c r="D411">
        <v>23</v>
      </c>
      <c r="E411" t="s">
        <v>19</v>
      </c>
      <c r="F411">
        <v>3</v>
      </c>
      <c r="G411">
        <v>30226</v>
      </c>
      <c r="H411">
        <v>4</v>
      </c>
      <c r="I411">
        <v>47</v>
      </c>
      <c r="J411">
        <v>2</v>
      </c>
      <c r="K411">
        <v>96</v>
      </c>
      <c r="L411" t="s">
        <v>23</v>
      </c>
    </row>
    <row r="412" spans="1:12" x14ac:dyDescent="0.25">
      <c r="A412" t="s">
        <v>454</v>
      </c>
      <c r="B412" t="s">
        <v>45</v>
      </c>
      <c r="C412" t="s">
        <v>29</v>
      </c>
      <c r="D412">
        <v>34</v>
      </c>
      <c r="E412" t="s">
        <v>19</v>
      </c>
      <c r="F412">
        <v>15</v>
      </c>
      <c r="G412">
        <v>46601</v>
      </c>
      <c r="H412">
        <v>13</v>
      </c>
      <c r="I412">
        <v>37</v>
      </c>
      <c r="J412">
        <v>2</v>
      </c>
      <c r="K412">
        <v>96</v>
      </c>
      <c r="L412" t="s">
        <v>26</v>
      </c>
    </row>
    <row r="413" spans="1:12" x14ac:dyDescent="0.25">
      <c r="A413" t="s">
        <v>455</v>
      </c>
      <c r="B413" t="s">
        <v>43</v>
      </c>
      <c r="C413" t="s">
        <v>14</v>
      </c>
      <c r="D413">
        <v>31</v>
      </c>
      <c r="E413" t="s">
        <v>19</v>
      </c>
      <c r="F413">
        <v>10</v>
      </c>
      <c r="G413">
        <v>43860</v>
      </c>
      <c r="H413">
        <v>5</v>
      </c>
      <c r="I413">
        <v>42</v>
      </c>
      <c r="J413">
        <v>5</v>
      </c>
      <c r="K413">
        <v>86</v>
      </c>
      <c r="L413" t="s">
        <v>32</v>
      </c>
    </row>
    <row r="414" spans="1:12" x14ac:dyDescent="0.25">
      <c r="A414" t="s">
        <v>456</v>
      </c>
      <c r="B414" t="s">
        <v>21</v>
      </c>
      <c r="C414" t="s">
        <v>22</v>
      </c>
      <c r="D414">
        <v>24</v>
      </c>
      <c r="E414" t="s">
        <v>15</v>
      </c>
      <c r="F414">
        <v>8</v>
      </c>
      <c r="G414">
        <v>68682</v>
      </c>
      <c r="H414">
        <v>12</v>
      </c>
      <c r="I414">
        <v>46</v>
      </c>
      <c r="J414">
        <v>3</v>
      </c>
      <c r="K414">
        <v>87</v>
      </c>
      <c r="L414" t="s">
        <v>16</v>
      </c>
    </row>
    <row r="415" spans="1:12" x14ac:dyDescent="0.25">
      <c r="A415" t="s">
        <v>457</v>
      </c>
      <c r="B415" t="s">
        <v>34</v>
      </c>
      <c r="C415" t="s">
        <v>29</v>
      </c>
      <c r="D415">
        <v>38</v>
      </c>
      <c r="E415" t="s">
        <v>19</v>
      </c>
      <c r="F415">
        <v>1</v>
      </c>
      <c r="G415">
        <v>69349</v>
      </c>
      <c r="H415">
        <v>10</v>
      </c>
      <c r="I415">
        <v>38</v>
      </c>
      <c r="J415">
        <v>2</v>
      </c>
      <c r="K415">
        <v>91</v>
      </c>
      <c r="L415" t="s">
        <v>32</v>
      </c>
    </row>
    <row r="416" spans="1:12" x14ac:dyDescent="0.25">
      <c r="A416" t="s">
        <v>458</v>
      </c>
      <c r="B416" t="s">
        <v>21</v>
      </c>
      <c r="C416" t="s">
        <v>29</v>
      </c>
      <c r="D416">
        <v>40</v>
      </c>
      <c r="E416" t="s">
        <v>19</v>
      </c>
      <c r="F416">
        <v>14</v>
      </c>
      <c r="G416">
        <v>26602</v>
      </c>
      <c r="H416">
        <v>15</v>
      </c>
      <c r="I416">
        <v>37</v>
      </c>
      <c r="J416">
        <v>1</v>
      </c>
      <c r="K416">
        <v>86</v>
      </c>
      <c r="L416" t="s">
        <v>32</v>
      </c>
    </row>
    <row r="417" spans="1:12" x14ac:dyDescent="0.25">
      <c r="A417" t="s">
        <v>459</v>
      </c>
      <c r="B417" t="s">
        <v>77</v>
      </c>
      <c r="C417" t="s">
        <v>14</v>
      </c>
      <c r="D417">
        <v>23</v>
      </c>
      <c r="E417" t="s">
        <v>15</v>
      </c>
      <c r="F417">
        <v>12</v>
      </c>
      <c r="G417">
        <v>54057</v>
      </c>
      <c r="H417">
        <v>10</v>
      </c>
      <c r="I417">
        <v>47</v>
      </c>
      <c r="J417">
        <v>2</v>
      </c>
      <c r="K417">
        <v>85</v>
      </c>
      <c r="L417" t="s">
        <v>16</v>
      </c>
    </row>
    <row r="418" spans="1:12" x14ac:dyDescent="0.25">
      <c r="A418" t="s">
        <v>460</v>
      </c>
      <c r="B418" t="s">
        <v>89</v>
      </c>
      <c r="C418" t="s">
        <v>22</v>
      </c>
      <c r="D418">
        <v>28</v>
      </c>
      <c r="E418" t="s">
        <v>15</v>
      </c>
      <c r="F418">
        <v>13</v>
      </c>
      <c r="G418">
        <v>64041</v>
      </c>
      <c r="H418">
        <v>12</v>
      </c>
      <c r="I418">
        <v>48</v>
      </c>
      <c r="J418">
        <v>3</v>
      </c>
      <c r="K418">
        <v>96</v>
      </c>
      <c r="L418" t="s">
        <v>23</v>
      </c>
    </row>
    <row r="419" spans="1:12" x14ac:dyDescent="0.25">
      <c r="A419" t="s">
        <v>461</v>
      </c>
      <c r="B419" t="s">
        <v>63</v>
      </c>
      <c r="C419" t="s">
        <v>22</v>
      </c>
      <c r="D419">
        <v>40</v>
      </c>
      <c r="E419" t="s">
        <v>19</v>
      </c>
      <c r="F419">
        <v>4</v>
      </c>
      <c r="G419">
        <v>64630</v>
      </c>
      <c r="H419">
        <v>4</v>
      </c>
      <c r="I419">
        <v>48</v>
      </c>
      <c r="J419">
        <v>1</v>
      </c>
      <c r="K419">
        <v>97</v>
      </c>
      <c r="L419" t="s">
        <v>37</v>
      </c>
    </row>
    <row r="420" spans="1:12" x14ac:dyDescent="0.25">
      <c r="A420" t="s">
        <v>462</v>
      </c>
      <c r="B420" t="s">
        <v>75</v>
      </c>
      <c r="C420" t="s">
        <v>22</v>
      </c>
      <c r="D420">
        <v>28</v>
      </c>
      <c r="E420" t="s">
        <v>15</v>
      </c>
      <c r="F420">
        <v>10</v>
      </c>
      <c r="G420">
        <v>26780</v>
      </c>
      <c r="H420">
        <v>8</v>
      </c>
      <c r="I420">
        <v>47</v>
      </c>
      <c r="J420">
        <v>4</v>
      </c>
      <c r="K420">
        <v>85</v>
      </c>
      <c r="L420" t="s">
        <v>23</v>
      </c>
    </row>
    <row r="421" spans="1:12" x14ac:dyDescent="0.25">
      <c r="A421" t="s">
        <v>463</v>
      </c>
      <c r="B421" t="s">
        <v>43</v>
      </c>
      <c r="C421" t="s">
        <v>14</v>
      </c>
      <c r="D421">
        <v>40</v>
      </c>
      <c r="E421" t="s">
        <v>19</v>
      </c>
      <c r="F421">
        <v>7</v>
      </c>
      <c r="G421">
        <v>32647</v>
      </c>
      <c r="H421">
        <v>6</v>
      </c>
      <c r="I421">
        <v>37</v>
      </c>
      <c r="J421">
        <v>2</v>
      </c>
      <c r="K421">
        <v>97</v>
      </c>
      <c r="L421" t="s">
        <v>23</v>
      </c>
    </row>
    <row r="422" spans="1:12" x14ac:dyDescent="0.25">
      <c r="A422" t="s">
        <v>464</v>
      </c>
      <c r="B422" t="s">
        <v>83</v>
      </c>
      <c r="C422" t="s">
        <v>29</v>
      </c>
      <c r="D422">
        <v>24</v>
      </c>
      <c r="E422" t="s">
        <v>19</v>
      </c>
      <c r="F422">
        <v>4</v>
      </c>
      <c r="G422">
        <v>26664</v>
      </c>
      <c r="H422">
        <v>14</v>
      </c>
      <c r="I422">
        <v>40</v>
      </c>
      <c r="J422">
        <v>2</v>
      </c>
      <c r="K422">
        <v>86</v>
      </c>
      <c r="L422" t="s">
        <v>16</v>
      </c>
    </row>
    <row r="423" spans="1:12" x14ac:dyDescent="0.25">
      <c r="A423" t="s">
        <v>465</v>
      </c>
      <c r="B423" t="s">
        <v>13</v>
      </c>
      <c r="C423" t="s">
        <v>25</v>
      </c>
      <c r="D423">
        <v>40</v>
      </c>
      <c r="E423" t="s">
        <v>15</v>
      </c>
      <c r="F423">
        <v>12</v>
      </c>
      <c r="G423">
        <v>38087</v>
      </c>
      <c r="H423">
        <v>6</v>
      </c>
      <c r="I423">
        <v>35</v>
      </c>
      <c r="J423">
        <v>4</v>
      </c>
      <c r="K423">
        <v>88</v>
      </c>
      <c r="L423" t="s">
        <v>26</v>
      </c>
    </row>
    <row r="424" spans="1:12" x14ac:dyDescent="0.25">
      <c r="A424" t="s">
        <v>466</v>
      </c>
      <c r="B424" t="s">
        <v>31</v>
      </c>
      <c r="C424" t="s">
        <v>22</v>
      </c>
      <c r="D424">
        <v>29</v>
      </c>
      <c r="E424" t="s">
        <v>19</v>
      </c>
      <c r="F424">
        <v>3</v>
      </c>
      <c r="G424">
        <v>57668</v>
      </c>
      <c r="H424">
        <v>4</v>
      </c>
      <c r="I424">
        <v>48</v>
      </c>
      <c r="J424">
        <v>4</v>
      </c>
      <c r="K424">
        <v>100</v>
      </c>
      <c r="L424" t="s">
        <v>16</v>
      </c>
    </row>
    <row r="425" spans="1:12" x14ac:dyDescent="0.25">
      <c r="A425" t="s">
        <v>467</v>
      </c>
      <c r="B425" t="s">
        <v>89</v>
      </c>
      <c r="C425" t="s">
        <v>14</v>
      </c>
      <c r="D425">
        <v>38</v>
      </c>
      <c r="E425" t="s">
        <v>15</v>
      </c>
      <c r="F425">
        <v>8</v>
      </c>
      <c r="G425">
        <v>25435</v>
      </c>
      <c r="H425">
        <v>15</v>
      </c>
      <c r="I425">
        <v>48</v>
      </c>
      <c r="J425">
        <v>3</v>
      </c>
      <c r="K425">
        <v>95</v>
      </c>
      <c r="L425" t="s">
        <v>26</v>
      </c>
    </row>
    <row r="426" spans="1:12" x14ac:dyDescent="0.25">
      <c r="A426" t="s">
        <v>468</v>
      </c>
      <c r="B426" t="s">
        <v>63</v>
      </c>
      <c r="C426" t="s">
        <v>29</v>
      </c>
      <c r="D426">
        <v>29</v>
      </c>
      <c r="E426" t="s">
        <v>15</v>
      </c>
      <c r="F426">
        <v>6</v>
      </c>
      <c r="G426">
        <v>36149</v>
      </c>
      <c r="H426">
        <v>6</v>
      </c>
      <c r="I426">
        <v>45</v>
      </c>
      <c r="J426">
        <v>2</v>
      </c>
      <c r="K426">
        <v>93</v>
      </c>
      <c r="L426" t="s">
        <v>37</v>
      </c>
    </row>
    <row r="427" spans="1:12" x14ac:dyDescent="0.25">
      <c r="A427" t="s">
        <v>469</v>
      </c>
      <c r="B427" t="s">
        <v>21</v>
      </c>
      <c r="C427" t="s">
        <v>14</v>
      </c>
      <c r="D427">
        <v>38</v>
      </c>
      <c r="E427" t="s">
        <v>19</v>
      </c>
      <c r="F427">
        <v>8</v>
      </c>
      <c r="G427">
        <v>71490</v>
      </c>
      <c r="H427">
        <v>11</v>
      </c>
      <c r="I427">
        <v>46</v>
      </c>
      <c r="J427">
        <v>1</v>
      </c>
      <c r="K427">
        <v>94</v>
      </c>
      <c r="L427" t="s">
        <v>32</v>
      </c>
    </row>
    <row r="428" spans="1:12" x14ac:dyDescent="0.25">
      <c r="A428" t="s">
        <v>470</v>
      </c>
      <c r="B428" t="s">
        <v>63</v>
      </c>
      <c r="C428" t="s">
        <v>25</v>
      </c>
      <c r="D428">
        <v>32</v>
      </c>
      <c r="E428" t="s">
        <v>15</v>
      </c>
      <c r="F428">
        <v>6</v>
      </c>
      <c r="G428">
        <v>55647</v>
      </c>
      <c r="H428">
        <v>13</v>
      </c>
      <c r="I428">
        <v>47</v>
      </c>
      <c r="J428">
        <v>5</v>
      </c>
      <c r="K428">
        <v>94</v>
      </c>
      <c r="L428" t="s">
        <v>16</v>
      </c>
    </row>
    <row r="429" spans="1:12" x14ac:dyDescent="0.25">
      <c r="A429" t="s">
        <v>471</v>
      </c>
      <c r="B429" t="s">
        <v>31</v>
      </c>
      <c r="C429" t="s">
        <v>22</v>
      </c>
      <c r="D429">
        <v>33</v>
      </c>
      <c r="E429" t="s">
        <v>15</v>
      </c>
      <c r="F429">
        <v>9</v>
      </c>
      <c r="G429">
        <v>74134</v>
      </c>
      <c r="H429">
        <v>4</v>
      </c>
      <c r="I429">
        <v>47</v>
      </c>
      <c r="J429">
        <v>5</v>
      </c>
      <c r="K429">
        <v>90</v>
      </c>
      <c r="L429" t="s">
        <v>37</v>
      </c>
    </row>
    <row r="430" spans="1:12" x14ac:dyDescent="0.25">
      <c r="A430" t="s">
        <v>472</v>
      </c>
      <c r="B430" t="s">
        <v>13</v>
      </c>
      <c r="C430" t="s">
        <v>22</v>
      </c>
      <c r="D430">
        <v>36</v>
      </c>
      <c r="E430" t="s">
        <v>15</v>
      </c>
      <c r="F430">
        <v>4</v>
      </c>
      <c r="G430">
        <v>71194</v>
      </c>
      <c r="H430">
        <v>5</v>
      </c>
      <c r="I430">
        <v>50</v>
      </c>
      <c r="J430">
        <v>3</v>
      </c>
      <c r="K430">
        <v>92</v>
      </c>
      <c r="L430" t="s">
        <v>16</v>
      </c>
    </row>
    <row r="431" spans="1:12" x14ac:dyDescent="0.25">
      <c r="A431" t="s">
        <v>473</v>
      </c>
      <c r="B431" t="s">
        <v>63</v>
      </c>
      <c r="C431" t="s">
        <v>22</v>
      </c>
      <c r="D431">
        <v>38</v>
      </c>
      <c r="E431" t="s">
        <v>19</v>
      </c>
      <c r="F431">
        <v>3</v>
      </c>
      <c r="G431">
        <v>54123</v>
      </c>
      <c r="H431">
        <v>6</v>
      </c>
      <c r="I431">
        <v>50</v>
      </c>
      <c r="J431">
        <v>4</v>
      </c>
      <c r="K431">
        <v>97</v>
      </c>
      <c r="L431" t="s">
        <v>16</v>
      </c>
    </row>
    <row r="432" spans="1:12" x14ac:dyDescent="0.25">
      <c r="A432" t="s">
        <v>474</v>
      </c>
      <c r="B432" t="s">
        <v>70</v>
      </c>
      <c r="C432" t="s">
        <v>25</v>
      </c>
      <c r="D432">
        <v>39</v>
      </c>
      <c r="E432" t="s">
        <v>15</v>
      </c>
      <c r="F432">
        <v>1</v>
      </c>
      <c r="G432">
        <v>31389</v>
      </c>
      <c r="H432">
        <v>12</v>
      </c>
      <c r="I432">
        <v>50</v>
      </c>
      <c r="J432">
        <v>4</v>
      </c>
      <c r="K432">
        <v>99</v>
      </c>
      <c r="L432" t="s">
        <v>32</v>
      </c>
    </row>
    <row r="433" spans="1:12" x14ac:dyDescent="0.25">
      <c r="A433" t="s">
        <v>475</v>
      </c>
      <c r="B433" t="s">
        <v>21</v>
      </c>
      <c r="C433" t="s">
        <v>29</v>
      </c>
      <c r="D433">
        <v>35</v>
      </c>
      <c r="E433" t="s">
        <v>19</v>
      </c>
      <c r="F433">
        <v>6</v>
      </c>
      <c r="G433">
        <v>38949</v>
      </c>
      <c r="H433">
        <v>8</v>
      </c>
      <c r="I433">
        <v>39</v>
      </c>
      <c r="J433">
        <v>5</v>
      </c>
      <c r="K433">
        <v>99</v>
      </c>
      <c r="L433" t="s">
        <v>16</v>
      </c>
    </row>
    <row r="434" spans="1:12" x14ac:dyDescent="0.25">
      <c r="A434" t="s">
        <v>476</v>
      </c>
      <c r="B434" t="s">
        <v>13</v>
      </c>
      <c r="C434" t="s">
        <v>22</v>
      </c>
      <c r="D434">
        <v>35</v>
      </c>
      <c r="E434" t="s">
        <v>15</v>
      </c>
      <c r="F434">
        <v>12</v>
      </c>
      <c r="G434">
        <v>48783</v>
      </c>
      <c r="H434">
        <v>14</v>
      </c>
      <c r="I434">
        <v>40</v>
      </c>
      <c r="J434">
        <v>4</v>
      </c>
      <c r="K434">
        <v>88</v>
      </c>
      <c r="L434" t="s">
        <v>26</v>
      </c>
    </row>
    <row r="435" spans="1:12" x14ac:dyDescent="0.25">
      <c r="A435" t="s">
        <v>477</v>
      </c>
      <c r="B435" t="s">
        <v>36</v>
      </c>
      <c r="C435" t="s">
        <v>22</v>
      </c>
      <c r="D435">
        <v>24</v>
      </c>
      <c r="E435" t="s">
        <v>19</v>
      </c>
      <c r="F435">
        <v>11</v>
      </c>
      <c r="G435">
        <v>25991</v>
      </c>
      <c r="H435">
        <v>14</v>
      </c>
      <c r="I435">
        <v>49</v>
      </c>
      <c r="J435">
        <v>1</v>
      </c>
      <c r="K435">
        <v>86</v>
      </c>
      <c r="L435" t="s">
        <v>26</v>
      </c>
    </row>
    <row r="436" spans="1:12" x14ac:dyDescent="0.25">
      <c r="A436" t="s">
        <v>478</v>
      </c>
      <c r="B436" t="s">
        <v>28</v>
      </c>
      <c r="C436" t="s">
        <v>29</v>
      </c>
      <c r="D436">
        <v>25</v>
      </c>
      <c r="E436" t="s">
        <v>15</v>
      </c>
      <c r="F436">
        <v>7</v>
      </c>
      <c r="G436">
        <v>32586</v>
      </c>
      <c r="H436">
        <v>13</v>
      </c>
      <c r="I436">
        <v>48</v>
      </c>
      <c r="J436">
        <v>5</v>
      </c>
      <c r="K436">
        <v>96</v>
      </c>
      <c r="L436" t="s">
        <v>23</v>
      </c>
    </row>
    <row r="437" spans="1:12" x14ac:dyDescent="0.25">
      <c r="A437" t="s">
        <v>479</v>
      </c>
      <c r="B437" t="s">
        <v>13</v>
      </c>
      <c r="C437" t="s">
        <v>25</v>
      </c>
      <c r="D437">
        <v>38</v>
      </c>
      <c r="E437" t="s">
        <v>15</v>
      </c>
      <c r="F437">
        <v>2</v>
      </c>
      <c r="G437">
        <v>52688</v>
      </c>
      <c r="H437">
        <v>9</v>
      </c>
      <c r="I437">
        <v>44</v>
      </c>
      <c r="J437">
        <v>2</v>
      </c>
      <c r="K437">
        <v>89</v>
      </c>
      <c r="L437" t="s">
        <v>23</v>
      </c>
    </row>
    <row r="438" spans="1:12" x14ac:dyDescent="0.25">
      <c r="A438" t="s">
        <v>480</v>
      </c>
      <c r="B438" t="s">
        <v>63</v>
      </c>
      <c r="C438" t="s">
        <v>29</v>
      </c>
      <c r="D438">
        <v>33</v>
      </c>
      <c r="E438" t="s">
        <v>15</v>
      </c>
      <c r="F438">
        <v>13</v>
      </c>
      <c r="G438">
        <v>40258</v>
      </c>
      <c r="H438">
        <v>8</v>
      </c>
      <c r="I438">
        <v>47</v>
      </c>
      <c r="J438">
        <v>2</v>
      </c>
      <c r="K438">
        <v>86</v>
      </c>
      <c r="L438" t="s">
        <v>26</v>
      </c>
    </row>
    <row r="439" spans="1:12" x14ac:dyDescent="0.25">
      <c r="A439" t="s">
        <v>481</v>
      </c>
      <c r="B439" t="s">
        <v>89</v>
      </c>
      <c r="C439" t="s">
        <v>22</v>
      </c>
      <c r="D439">
        <v>22</v>
      </c>
      <c r="E439" t="s">
        <v>19</v>
      </c>
      <c r="F439">
        <v>15</v>
      </c>
      <c r="G439">
        <v>72494</v>
      </c>
      <c r="H439">
        <v>5</v>
      </c>
      <c r="I439">
        <v>45</v>
      </c>
      <c r="J439">
        <v>2</v>
      </c>
      <c r="K439">
        <v>96</v>
      </c>
      <c r="L439" t="s">
        <v>32</v>
      </c>
    </row>
    <row r="440" spans="1:12" x14ac:dyDescent="0.25">
      <c r="A440" t="s">
        <v>482</v>
      </c>
      <c r="B440" t="s">
        <v>53</v>
      </c>
      <c r="C440" t="s">
        <v>22</v>
      </c>
      <c r="D440">
        <v>25</v>
      </c>
      <c r="E440" t="s">
        <v>15</v>
      </c>
      <c r="F440">
        <v>7</v>
      </c>
      <c r="G440">
        <v>79600</v>
      </c>
      <c r="H440">
        <v>12</v>
      </c>
      <c r="I440">
        <v>42</v>
      </c>
      <c r="J440">
        <v>5</v>
      </c>
      <c r="K440">
        <v>91</v>
      </c>
      <c r="L440" t="s">
        <v>32</v>
      </c>
    </row>
    <row r="441" spans="1:12" x14ac:dyDescent="0.25">
      <c r="A441" t="s">
        <v>483</v>
      </c>
      <c r="B441" t="s">
        <v>18</v>
      </c>
      <c r="C441" t="s">
        <v>14</v>
      </c>
      <c r="D441">
        <v>32</v>
      </c>
      <c r="E441" t="s">
        <v>19</v>
      </c>
      <c r="F441">
        <v>6</v>
      </c>
      <c r="G441">
        <v>58694</v>
      </c>
      <c r="H441">
        <v>13</v>
      </c>
      <c r="I441">
        <v>48</v>
      </c>
      <c r="J441">
        <v>3</v>
      </c>
      <c r="K441">
        <v>98</v>
      </c>
      <c r="L441" t="s">
        <v>23</v>
      </c>
    </row>
    <row r="442" spans="1:12" x14ac:dyDescent="0.25">
      <c r="A442" t="s">
        <v>484</v>
      </c>
      <c r="B442" t="s">
        <v>18</v>
      </c>
      <c r="C442" t="s">
        <v>29</v>
      </c>
      <c r="D442">
        <v>38</v>
      </c>
      <c r="E442" t="s">
        <v>19</v>
      </c>
      <c r="F442">
        <v>9</v>
      </c>
      <c r="G442">
        <v>32912</v>
      </c>
      <c r="H442">
        <v>13</v>
      </c>
      <c r="I442">
        <v>44</v>
      </c>
      <c r="J442">
        <v>5</v>
      </c>
      <c r="K442">
        <v>90</v>
      </c>
      <c r="L442" t="s">
        <v>51</v>
      </c>
    </row>
    <row r="443" spans="1:12" x14ac:dyDescent="0.25">
      <c r="A443" t="s">
        <v>485</v>
      </c>
      <c r="B443" t="s">
        <v>43</v>
      </c>
      <c r="C443" t="s">
        <v>25</v>
      </c>
      <c r="D443">
        <v>39</v>
      </c>
      <c r="E443" t="s">
        <v>19</v>
      </c>
      <c r="F443">
        <v>7</v>
      </c>
      <c r="G443">
        <v>50193</v>
      </c>
      <c r="H443">
        <v>9</v>
      </c>
      <c r="I443">
        <v>43</v>
      </c>
      <c r="J443">
        <v>1</v>
      </c>
      <c r="K443">
        <v>96</v>
      </c>
      <c r="L443" t="s">
        <v>51</v>
      </c>
    </row>
    <row r="444" spans="1:12" x14ac:dyDescent="0.25">
      <c r="A444" t="s">
        <v>486</v>
      </c>
      <c r="B444" t="s">
        <v>43</v>
      </c>
      <c r="C444" t="s">
        <v>22</v>
      </c>
      <c r="D444">
        <v>30</v>
      </c>
      <c r="E444" t="s">
        <v>15</v>
      </c>
      <c r="F444">
        <v>11</v>
      </c>
      <c r="G444">
        <v>65189</v>
      </c>
      <c r="H444">
        <v>15</v>
      </c>
      <c r="I444">
        <v>50</v>
      </c>
      <c r="J444">
        <v>2</v>
      </c>
      <c r="K444">
        <v>86</v>
      </c>
      <c r="L444" t="s">
        <v>16</v>
      </c>
    </row>
    <row r="445" spans="1:12" x14ac:dyDescent="0.25">
      <c r="A445" t="s">
        <v>487</v>
      </c>
      <c r="B445" t="s">
        <v>70</v>
      </c>
      <c r="C445" t="s">
        <v>22</v>
      </c>
      <c r="D445">
        <v>34</v>
      </c>
      <c r="E445" t="s">
        <v>19</v>
      </c>
      <c r="F445">
        <v>14</v>
      </c>
      <c r="G445">
        <v>75484</v>
      </c>
      <c r="H445">
        <v>12</v>
      </c>
      <c r="I445">
        <v>40</v>
      </c>
      <c r="J445">
        <v>1</v>
      </c>
      <c r="K445">
        <v>86</v>
      </c>
      <c r="L445" t="s">
        <v>32</v>
      </c>
    </row>
    <row r="446" spans="1:12" x14ac:dyDescent="0.25">
      <c r="A446" t="s">
        <v>488</v>
      </c>
      <c r="B446" t="s">
        <v>94</v>
      </c>
      <c r="C446" t="s">
        <v>22</v>
      </c>
      <c r="D446">
        <v>25</v>
      </c>
      <c r="E446" t="s">
        <v>19</v>
      </c>
      <c r="F446">
        <v>3</v>
      </c>
      <c r="G446">
        <v>55469</v>
      </c>
      <c r="H446">
        <v>9</v>
      </c>
      <c r="I446">
        <v>37</v>
      </c>
      <c r="J446">
        <v>1</v>
      </c>
      <c r="K446">
        <v>85</v>
      </c>
      <c r="L446" t="s">
        <v>16</v>
      </c>
    </row>
    <row r="447" spans="1:12" x14ac:dyDescent="0.25">
      <c r="A447" t="s">
        <v>489</v>
      </c>
      <c r="B447" t="s">
        <v>18</v>
      </c>
      <c r="C447" t="s">
        <v>22</v>
      </c>
      <c r="D447">
        <v>36</v>
      </c>
      <c r="E447" t="s">
        <v>15</v>
      </c>
      <c r="F447">
        <v>14</v>
      </c>
      <c r="G447">
        <v>44631</v>
      </c>
      <c r="H447">
        <v>8</v>
      </c>
      <c r="I447">
        <v>35</v>
      </c>
      <c r="J447">
        <v>2</v>
      </c>
      <c r="K447">
        <v>87</v>
      </c>
      <c r="L447" t="s">
        <v>51</v>
      </c>
    </row>
    <row r="448" spans="1:12" x14ac:dyDescent="0.25">
      <c r="A448" t="s">
        <v>490</v>
      </c>
      <c r="B448" t="s">
        <v>13</v>
      </c>
      <c r="C448" t="s">
        <v>22</v>
      </c>
      <c r="D448">
        <v>34</v>
      </c>
      <c r="E448" t="s">
        <v>15</v>
      </c>
      <c r="F448">
        <v>3</v>
      </c>
      <c r="G448">
        <v>67031</v>
      </c>
      <c r="H448">
        <v>12</v>
      </c>
      <c r="I448">
        <v>38</v>
      </c>
      <c r="J448">
        <v>1</v>
      </c>
      <c r="K448">
        <v>99</v>
      </c>
      <c r="L448" t="s">
        <v>32</v>
      </c>
    </row>
    <row r="449" spans="1:12" x14ac:dyDescent="0.25">
      <c r="A449" t="s">
        <v>491</v>
      </c>
      <c r="B449" t="s">
        <v>63</v>
      </c>
      <c r="C449" t="s">
        <v>14</v>
      </c>
      <c r="D449">
        <v>30</v>
      </c>
      <c r="E449" t="s">
        <v>15</v>
      </c>
      <c r="F449">
        <v>12</v>
      </c>
      <c r="G449">
        <v>29477</v>
      </c>
      <c r="H449">
        <v>4</v>
      </c>
      <c r="I449">
        <v>43</v>
      </c>
      <c r="J449">
        <v>4</v>
      </c>
      <c r="K449">
        <v>94</v>
      </c>
      <c r="L449" t="s">
        <v>23</v>
      </c>
    </row>
    <row r="450" spans="1:12" x14ac:dyDescent="0.25">
      <c r="A450" t="s">
        <v>492</v>
      </c>
      <c r="B450" t="s">
        <v>40</v>
      </c>
      <c r="C450" t="s">
        <v>14</v>
      </c>
      <c r="D450">
        <v>26</v>
      </c>
      <c r="E450" t="s">
        <v>19</v>
      </c>
      <c r="F450">
        <v>7</v>
      </c>
      <c r="G450">
        <v>29325</v>
      </c>
      <c r="H450">
        <v>4</v>
      </c>
      <c r="I450">
        <v>48</v>
      </c>
      <c r="J450">
        <v>5</v>
      </c>
      <c r="K450">
        <v>85</v>
      </c>
      <c r="L450" t="s">
        <v>32</v>
      </c>
    </row>
    <row r="451" spans="1:12" x14ac:dyDescent="0.25">
      <c r="A451" t="s">
        <v>493</v>
      </c>
      <c r="B451" t="s">
        <v>65</v>
      </c>
      <c r="C451" t="s">
        <v>14</v>
      </c>
      <c r="D451">
        <v>24</v>
      </c>
      <c r="E451" t="s">
        <v>15</v>
      </c>
      <c r="F451">
        <v>5</v>
      </c>
      <c r="G451">
        <v>36879</v>
      </c>
      <c r="H451">
        <v>15</v>
      </c>
      <c r="I451">
        <v>40</v>
      </c>
      <c r="J451">
        <v>2</v>
      </c>
      <c r="K451">
        <v>87</v>
      </c>
      <c r="L451" t="s">
        <v>51</v>
      </c>
    </row>
    <row r="452" spans="1:12" x14ac:dyDescent="0.25">
      <c r="A452" t="s">
        <v>494</v>
      </c>
      <c r="B452" t="s">
        <v>31</v>
      </c>
      <c r="C452" t="s">
        <v>22</v>
      </c>
      <c r="D452">
        <v>34</v>
      </c>
      <c r="E452" t="s">
        <v>15</v>
      </c>
      <c r="F452">
        <v>13</v>
      </c>
      <c r="G452">
        <v>63016</v>
      </c>
      <c r="H452">
        <v>13</v>
      </c>
      <c r="I452">
        <v>46</v>
      </c>
      <c r="J452">
        <v>4</v>
      </c>
      <c r="K452">
        <v>93</v>
      </c>
      <c r="L452" t="s">
        <v>26</v>
      </c>
    </row>
    <row r="453" spans="1:12" x14ac:dyDescent="0.25">
      <c r="A453" t="s">
        <v>495</v>
      </c>
      <c r="B453" t="s">
        <v>53</v>
      </c>
      <c r="C453" t="s">
        <v>25</v>
      </c>
      <c r="D453">
        <v>32</v>
      </c>
      <c r="E453" t="s">
        <v>15</v>
      </c>
      <c r="F453">
        <v>3</v>
      </c>
      <c r="G453">
        <v>78971</v>
      </c>
      <c r="H453">
        <v>5</v>
      </c>
      <c r="I453">
        <v>40</v>
      </c>
      <c r="J453">
        <v>3</v>
      </c>
      <c r="K453">
        <v>96</v>
      </c>
      <c r="L453" t="s">
        <v>23</v>
      </c>
    </row>
    <row r="454" spans="1:12" x14ac:dyDescent="0.25">
      <c r="A454" t="s">
        <v>496</v>
      </c>
      <c r="B454" t="s">
        <v>77</v>
      </c>
      <c r="C454" t="s">
        <v>25</v>
      </c>
      <c r="D454">
        <v>30</v>
      </c>
      <c r="E454" t="s">
        <v>15</v>
      </c>
      <c r="F454">
        <v>4</v>
      </c>
      <c r="G454">
        <v>28161</v>
      </c>
      <c r="H454">
        <v>5</v>
      </c>
      <c r="I454">
        <v>38</v>
      </c>
      <c r="J454">
        <v>5</v>
      </c>
      <c r="K454">
        <v>89</v>
      </c>
      <c r="L454" t="s">
        <v>16</v>
      </c>
    </row>
    <row r="455" spans="1:12" x14ac:dyDescent="0.25">
      <c r="A455" t="s">
        <v>497</v>
      </c>
      <c r="B455" t="s">
        <v>34</v>
      </c>
      <c r="C455" t="s">
        <v>25</v>
      </c>
      <c r="D455">
        <v>33</v>
      </c>
      <c r="E455" t="s">
        <v>15</v>
      </c>
      <c r="F455">
        <v>9</v>
      </c>
      <c r="G455">
        <v>60842</v>
      </c>
      <c r="H455">
        <v>5</v>
      </c>
      <c r="I455">
        <v>36</v>
      </c>
      <c r="J455">
        <v>2</v>
      </c>
      <c r="K455">
        <v>87</v>
      </c>
      <c r="L455" t="s">
        <v>32</v>
      </c>
    </row>
    <row r="456" spans="1:12" x14ac:dyDescent="0.25">
      <c r="A456" t="s">
        <v>498</v>
      </c>
      <c r="B456" t="s">
        <v>94</v>
      </c>
      <c r="C456" t="s">
        <v>22</v>
      </c>
      <c r="D456">
        <v>39</v>
      </c>
      <c r="E456" t="s">
        <v>15</v>
      </c>
      <c r="F456">
        <v>3</v>
      </c>
      <c r="G456">
        <v>51327</v>
      </c>
      <c r="H456">
        <v>3</v>
      </c>
      <c r="I456">
        <v>35</v>
      </c>
      <c r="J456">
        <v>3</v>
      </c>
      <c r="K456">
        <v>97</v>
      </c>
      <c r="L456" t="s">
        <v>16</v>
      </c>
    </row>
    <row r="457" spans="1:12" x14ac:dyDescent="0.25">
      <c r="A457" t="s">
        <v>499</v>
      </c>
      <c r="B457" t="s">
        <v>63</v>
      </c>
      <c r="C457" t="s">
        <v>25</v>
      </c>
      <c r="D457">
        <v>36</v>
      </c>
      <c r="E457" t="s">
        <v>15</v>
      </c>
      <c r="F457">
        <v>6</v>
      </c>
      <c r="G457">
        <v>62694</v>
      </c>
      <c r="H457">
        <v>7</v>
      </c>
      <c r="I457">
        <v>39</v>
      </c>
      <c r="J457">
        <v>2</v>
      </c>
      <c r="K457">
        <v>93</v>
      </c>
      <c r="L457" t="s">
        <v>26</v>
      </c>
    </row>
    <row r="458" spans="1:12" x14ac:dyDescent="0.25">
      <c r="A458" t="s">
        <v>500</v>
      </c>
      <c r="B458" t="s">
        <v>65</v>
      </c>
      <c r="C458" t="s">
        <v>22</v>
      </c>
      <c r="D458">
        <v>32</v>
      </c>
      <c r="E458" t="s">
        <v>19</v>
      </c>
      <c r="F458">
        <v>8</v>
      </c>
      <c r="G458">
        <v>62704</v>
      </c>
      <c r="H458">
        <v>10</v>
      </c>
      <c r="I458">
        <v>45</v>
      </c>
      <c r="J458">
        <v>3</v>
      </c>
      <c r="K458">
        <v>85</v>
      </c>
      <c r="L458" t="s">
        <v>32</v>
      </c>
    </row>
    <row r="459" spans="1:12" x14ac:dyDescent="0.25">
      <c r="A459" t="s">
        <v>501</v>
      </c>
      <c r="B459" t="s">
        <v>31</v>
      </c>
      <c r="C459" t="s">
        <v>22</v>
      </c>
      <c r="D459">
        <v>38</v>
      </c>
      <c r="E459" t="s">
        <v>15</v>
      </c>
      <c r="F459">
        <v>13</v>
      </c>
      <c r="G459">
        <v>47053</v>
      </c>
      <c r="H459">
        <v>7</v>
      </c>
      <c r="I459">
        <v>49</v>
      </c>
      <c r="J459">
        <v>1</v>
      </c>
      <c r="K459">
        <v>96</v>
      </c>
      <c r="L459" t="s">
        <v>37</v>
      </c>
    </row>
    <row r="460" spans="1:12" x14ac:dyDescent="0.25">
      <c r="A460" t="s">
        <v>502</v>
      </c>
      <c r="B460" t="s">
        <v>18</v>
      </c>
      <c r="C460" t="s">
        <v>22</v>
      </c>
      <c r="D460">
        <v>40</v>
      </c>
      <c r="E460" t="s">
        <v>15</v>
      </c>
      <c r="F460">
        <v>3</v>
      </c>
      <c r="G460">
        <v>71868</v>
      </c>
      <c r="H460">
        <v>5</v>
      </c>
      <c r="I460">
        <v>41</v>
      </c>
      <c r="J460">
        <v>2</v>
      </c>
      <c r="K460">
        <v>88</v>
      </c>
      <c r="L460" t="s">
        <v>32</v>
      </c>
    </row>
    <row r="461" spans="1:12" x14ac:dyDescent="0.25">
      <c r="A461" t="s">
        <v>503</v>
      </c>
      <c r="B461" t="s">
        <v>75</v>
      </c>
      <c r="C461" t="s">
        <v>14</v>
      </c>
      <c r="D461">
        <v>24</v>
      </c>
      <c r="E461" t="s">
        <v>15</v>
      </c>
      <c r="F461">
        <v>11</v>
      </c>
      <c r="G461">
        <v>32583</v>
      </c>
      <c r="H461">
        <v>13</v>
      </c>
      <c r="I461">
        <v>48</v>
      </c>
      <c r="J461">
        <v>5</v>
      </c>
      <c r="K461">
        <v>85</v>
      </c>
      <c r="L461" t="s">
        <v>32</v>
      </c>
    </row>
    <row r="462" spans="1:12" x14ac:dyDescent="0.25">
      <c r="A462" t="s">
        <v>504</v>
      </c>
      <c r="B462" t="s">
        <v>53</v>
      </c>
      <c r="C462" t="s">
        <v>22</v>
      </c>
      <c r="D462">
        <v>23</v>
      </c>
      <c r="E462" t="s">
        <v>19</v>
      </c>
      <c r="F462">
        <v>8</v>
      </c>
      <c r="G462">
        <v>61982</v>
      </c>
      <c r="H462">
        <v>3</v>
      </c>
      <c r="I462">
        <v>42</v>
      </c>
      <c r="J462">
        <v>1</v>
      </c>
      <c r="K462">
        <v>85</v>
      </c>
      <c r="L462" t="s">
        <v>32</v>
      </c>
    </row>
    <row r="463" spans="1:12" x14ac:dyDescent="0.25">
      <c r="A463" t="s">
        <v>505</v>
      </c>
      <c r="B463" t="s">
        <v>43</v>
      </c>
      <c r="C463" t="s">
        <v>29</v>
      </c>
      <c r="D463">
        <v>34</v>
      </c>
      <c r="E463" t="s">
        <v>15</v>
      </c>
      <c r="F463">
        <v>3</v>
      </c>
      <c r="G463">
        <v>48449</v>
      </c>
      <c r="H463">
        <v>6</v>
      </c>
      <c r="I463">
        <v>50</v>
      </c>
      <c r="J463">
        <v>1</v>
      </c>
      <c r="K463">
        <v>95</v>
      </c>
      <c r="L463" t="s">
        <v>32</v>
      </c>
    </row>
    <row r="464" spans="1:12" x14ac:dyDescent="0.25">
      <c r="A464" t="s">
        <v>506</v>
      </c>
      <c r="B464" t="s">
        <v>21</v>
      </c>
      <c r="C464" t="s">
        <v>22</v>
      </c>
      <c r="D464">
        <v>26</v>
      </c>
      <c r="E464" t="s">
        <v>19</v>
      </c>
      <c r="F464">
        <v>5</v>
      </c>
      <c r="G464">
        <v>56972</v>
      </c>
      <c r="H464">
        <v>13</v>
      </c>
      <c r="I464">
        <v>50</v>
      </c>
      <c r="J464">
        <v>2</v>
      </c>
      <c r="K464">
        <v>89</v>
      </c>
      <c r="L464" t="s">
        <v>16</v>
      </c>
    </row>
    <row r="465" spans="1:12" x14ac:dyDescent="0.25">
      <c r="A465" t="s">
        <v>507</v>
      </c>
      <c r="B465" t="s">
        <v>75</v>
      </c>
      <c r="C465" t="s">
        <v>14</v>
      </c>
      <c r="D465">
        <v>28</v>
      </c>
      <c r="E465" t="s">
        <v>19</v>
      </c>
      <c r="F465">
        <v>15</v>
      </c>
      <c r="G465">
        <v>52074</v>
      </c>
      <c r="H465">
        <v>6</v>
      </c>
      <c r="I465">
        <v>46</v>
      </c>
      <c r="J465">
        <v>4</v>
      </c>
      <c r="K465">
        <v>87</v>
      </c>
      <c r="L465" t="s">
        <v>51</v>
      </c>
    </row>
    <row r="466" spans="1:12" x14ac:dyDescent="0.25">
      <c r="A466" t="s">
        <v>508</v>
      </c>
      <c r="B466" t="s">
        <v>43</v>
      </c>
      <c r="C466" t="s">
        <v>22</v>
      </c>
      <c r="D466">
        <v>39</v>
      </c>
      <c r="E466" t="s">
        <v>19</v>
      </c>
      <c r="F466">
        <v>15</v>
      </c>
      <c r="G466">
        <v>51488</v>
      </c>
      <c r="H466">
        <v>9</v>
      </c>
      <c r="I466">
        <v>40</v>
      </c>
      <c r="J466">
        <v>1</v>
      </c>
      <c r="K466">
        <v>88</v>
      </c>
      <c r="L466" t="s">
        <v>32</v>
      </c>
    </row>
    <row r="467" spans="1:12" x14ac:dyDescent="0.25">
      <c r="A467" t="s">
        <v>509</v>
      </c>
      <c r="B467" t="s">
        <v>13</v>
      </c>
      <c r="C467" t="s">
        <v>14</v>
      </c>
      <c r="D467">
        <v>37</v>
      </c>
      <c r="E467" t="s">
        <v>15</v>
      </c>
      <c r="F467">
        <v>10</v>
      </c>
      <c r="G467">
        <v>56540</v>
      </c>
      <c r="H467">
        <v>5</v>
      </c>
      <c r="I467">
        <v>43</v>
      </c>
      <c r="J467">
        <v>3</v>
      </c>
      <c r="K467">
        <v>86</v>
      </c>
      <c r="L467" t="s">
        <v>26</v>
      </c>
    </row>
    <row r="468" spans="1:12" x14ac:dyDescent="0.25">
      <c r="A468" t="s">
        <v>510</v>
      </c>
      <c r="B468" t="s">
        <v>31</v>
      </c>
      <c r="C468" t="s">
        <v>25</v>
      </c>
      <c r="D468">
        <v>24</v>
      </c>
      <c r="E468" t="s">
        <v>19</v>
      </c>
      <c r="F468">
        <v>14</v>
      </c>
      <c r="G468">
        <v>39097</v>
      </c>
      <c r="H468">
        <v>7</v>
      </c>
      <c r="I468">
        <v>47</v>
      </c>
      <c r="J468">
        <v>4</v>
      </c>
      <c r="K468">
        <v>87</v>
      </c>
      <c r="L468" t="s">
        <v>51</v>
      </c>
    </row>
    <row r="469" spans="1:12" x14ac:dyDescent="0.25">
      <c r="A469" t="s">
        <v>511</v>
      </c>
      <c r="B469" t="s">
        <v>89</v>
      </c>
      <c r="C469" t="s">
        <v>25</v>
      </c>
      <c r="D469">
        <v>38</v>
      </c>
      <c r="E469" t="s">
        <v>19</v>
      </c>
      <c r="F469">
        <v>6</v>
      </c>
      <c r="G469">
        <v>42305</v>
      </c>
      <c r="H469">
        <v>5</v>
      </c>
      <c r="I469">
        <v>42</v>
      </c>
      <c r="J469">
        <v>1</v>
      </c>
      <c r="K469">
        <v>96</v>
      </c>
      <c r="L469" t="s">
        <v>26</v>
      </c>
    </row>
    <row r="470" spans="1:12" x14ac:dyDescent="0.25">
      <c r="A470" t="s">
        <v>512</v>
      </c>
      <c r="B470" t="s">
        <v>13</v>
      </c>
      <c r="C470" t="s">
        <v>29</v>
      </c>
      <c r="D470">
        <v>26</v>
      </c>
      <c r="E470" t="s">
        <v>19</v>
      </c>
      <c r="F470">
        <v>6</v>
      </c>
      <c r="G470">
        <v>66767</v>
      </c>
      <c r="H470">
        <v>7</v>
      </c>
      <c r="I470">
        <v>45</v>
      </c>
      <c r="J470">
        <v>3</v>
      </c>
      <c r="K470">
        <v>85</v>
      </c>
      <c r="L470" t="s">
        <v>51</v>
      </c>
    </row>
    <row r="471" spans="1:12" x14ac:dyDescent="0.25">
      <c r="A471" t="s">
        <v>513</v>
      </c>
      <c r="B471" t="s">
        <v>45</v>
      </c>
      <c r="C471" t="s">
        <v>22</v>
      </c>
      <c r="D471">
        <v>39</v>
      </c>
      <c r="E471" t="s">
        <v>15</v>
      </c>
      <c r="F471">
        <v>7</v>
      </c>
      <c r="G471">
        <v>68953</v>
      </c>
      <c r="H471">
        <v>7</v>
      </c>
      <c r="I471">
        <v>44</v>
      </c>
      <c r="J471">
        <v>3</v>
      </c>
      <c r="K471">
        <v>97</v>
      </c>
      <c r="L471" t="s">
        <v>51</v>
      </c>
    </row>
    <row r="472" spans="1:12" x14ac:dyDescent="0.25">
      <c r="A472" t="s">
        <v>514</v>
      </c>
      <c r="B472" t="s">
        <v>65</v>
      </c>
      <c r="C472" t="s">
        <v>14</v>
      </c>
      <c r="D472">
        <v>28</v>
      </c>
      <c r="E472" t="s">
        <v>19</v>
      </c>
      <c r="F472">
        <v>3</v>
      </c>
      <c r="G472">
        <v>28485</v>
      </c>
      <c r="H472">
        <v>3</v>
      </c>
      <c r="I472">
        <v>36</v>
      </c>
      <c r="J472">
        <v>4</v>
      </c>
      <c r="K472">
        <v>91</v>
      </c>
      <c r="L472" t="s">
        <v>16</v>
      </c>
    </row>
    <row r="473" spans="1:12" x14ac:dyDescent="0.25">
      <c r="A473" t="s">
        <v>515</v>
      </c>
      <c r="B473" t="s">
        <v>89</v>
      </c>
      <c r="C473" t="s">
        <v>29</v>
      </c>
      <c r="D473">
        <v>28</v>
      </c>
      <c r="E473" t="s">
        <v>15</v>
      </c>
      <c r="F473">
        <v>11</v>
      </c>
      <c r="G473">
        <v>28417</v>
      </c>
      <c r="H473">
        <v>7</v>
      </c>
      <c r="I473">
        <v>48</v>
      </c>
      <c r="J473">
        <v>2</v>
      </c>
      <c r="K473">
        <v>91</v>
      </c>
      <c r="L473" t="s">
        <v>23</v>
      </c>
    </row>
    <row r="474" spans="1:12" x14ac:dyDescent="0.25">
      <c r="A474" t="s">
        <v>516</v>
      </c>
      <c r="B474" t="s">
        <v>89</v>
      </c>
      <c r="C474" t="s">
        <v>14</v>
      </c>
      <c r="D474">
        <v>28</v>
      </c>
      <c r="E474" t="s">
        <v>15</v>
      </c>
      <c r="F474">
        <v>3</v>
      </c>
      <c r="G474">
        <v>28307</v>
      </c>
      <c r="H474">
        <v>8</v>
      </c>
      <c r="I474">
        <v>46</v>
      </c>
      <c r="J474">
        <v>3</v>
      </c>
      <c r="K474">
        <v>91</v>
      </c>
      <c r="L474" t="s">
        <v>23</v>
      </c>
    </row>
    <row r="475" spans="1:12" x14ac:dyDescent="0.25">
      <c r="A475" t="s">
        <v>517</v>
      </c>
      <c r="B475" t="s">
        <v>77</v>
      </c>
      <c r="C475" t="s">
        <v>14</v>
      </c>
      <c r="D475">
        <v>37</v>
      </c>
      <c r="E475" t="s">
        <v>15</v>
      </c>
      <c r="F475">
        <v>4</v>
      </c>
      <c r="G475">
        <v>39334</v>
      </c>
      <c r="H475">
        <v>13</v>
      </c>
      <c r="I475">
        <v>49</v>
      </c>
      <c r="J475">
        <v>5</v>
      </c>
      <c r="K475">
        <v>93</v>
      </c>
      <c r="L475" t="s">
        <v>26</v>
      </c>
    </row>
    <row r="476" spans="1:12" x14ac:dyDescent="0.25">
      <c r="A476" t="s">
        <v>518</v>
      </c>
      <c r="B476" t="s">
        <v>34</v>
      </c>
      <c r="C476" t="s">
        <v>14</v>
      </c>
      <c r="D476">
        <v>31</v>
      </c>
      <c r="E476" t="s">
        <v>15</v>
      </c>
      <c r="F476">
        <v>15</v>
      </c>
      <c r="G476">
        <v>65275</v>
      </c>
      <c r="H476">
        <v>14</v>
      </c>
      <c r="I476">
        <v>43</v>
      </c>
      <c r="J476">
        <v>4</v>
      </c>
      <c r="K476">
        <v>97</v>
      </c>
      <c r="L476" t="s">
        <v>26</v>
      </c>
    </row>
    <row r="477" spans="1:12" x14ac:dyDescent="0.25">
      <c r="A477" t="s">
        <v>519</v>
      </c>
      <c r="B477" t="s">
        <v>63</v>
      </c>
      <c r="C477" t="s">
        <v>29</v>
      </c>
      <c r="D477">
        <v>31</v>
      </c>
      <c r="E477" t="s">
        <v>19</v>
      </c>
      <c r="F477">
        <v>10</v>
      </c>
      <c r="G477">
        <v>50363</v>
      </c>
      <c r="H477">
        <v>15</v>
      </c>
      <c r="I477">
        <v>49</v>
      </c>
      <c r="J477">
        <v>3</v>
      </c>
      <c r="K477">
        <v>99</v>
      </c>
      <c r="L477" t="s">
        <v>37</v>
      </c>
    </row>
    <row r="478" spans="1:12" x14ac:dyDescent="0.25">
      <c r="A478" t="s">
        <v>520</v>
      </c>
      <c r="B478" t="s">
        <v>36</v>
      </c>
      <c r="C478" t="s">
        <v>22</v>
      </c>
      <c r="D478">
        <v>30</v>
      </c>
      <c r="E478" t="s">
        <v>19</v>
      </c>
      <c r="F478">
        <v>6</v>
      </c>
      <c r="G478">
        <v>52334</v>
      </c>
      <c r="H478">
        <v>4</v>
      </c>
      <c r="I478">
        <v>36</v>
      </c>
      <c r="J478">
        <v>3</v>
      </c>
      <c r="K478">
        <v>88</v>
      </c>
      <c r="L478" t="s">
        <v>51</v>
      </c>
    </row>
    <row r="479" spans="1:12" x14ac:dyDescent="0.25">
      <c r="A479" t="s">
        <v>521</v>
      </c>
      <c r="B479" t="s">
        <v>36</v>
      </c>
      <c r="C479" t="s">
        <v>22</v>
      </c>
      <c r="D479">
        <v>30</v>
      </c>
      <c r="E479" t="s">
        <v>15</v>
      </c>
      <c r="F479">
        <v>8</v>
      </c>
      <c r="G479">
        <v>54721</v>
      </c>
      <c r="H479">
        <v>5</v>
      </c>
      <c r="I479">
        <v>35</v>
      </c>
      <c r="J479">
        <v>1</v>
      </c>
      <c r="K479">
        <v>89</v>
      </c>
      <c r="L479" t="s">
        <v>51</v>
      </c>
    </row>
    <row r="480" spans="1:12" x14ac:dyDescent="0.25">
      <c r="A480" t="s">
        <v>522</v>
      </c>
      <c r="B480" t="s">
        <v>89</v>
      </c>
      <c r="C480" t="s">
        <v>14</v>
      </c>
      <c r="D480">
        <v>40</v>
      </c>
      <c r="E480" t="s">
        <v>15</v>
      </c>
      <c r="F480">
        <v>5</v>
      </c>
      <c r="G480">
        <v>38462</v>
      </c>
      <c r="H480">
        <v>9</v>
      </c>
      <c r="I480">
        <v>41</v>
      </c>
      <c r="J480">
        <v>5</v>
      </c>
      <c r="K480">
        <v>98</v>
      </c>
      <c r="L480" t="s">
        <v>26</v>
      </c>
    </row>
    <row r="481" spans="1:12" x14ac:dyDescent="0.25">
      <c r="A481" t="s">
        <v>523</v>
      </c>
      <c r="B481" t="s">
        <v>94</v>
      </c>
      <c r="C481" t="s">
        <v>29</v>
      </c>
      <c r="D481">
        <v>34</v>
      </c>
      <c r="E481" t="s">
        <v>15</v>
      </c>
      <c r="F481">
        <v>11</v>
      </c>
      <c r="G481">
        <v>29748</v>
      </c>
      <c r="H481">
        <v>15</v>
      </c>
      <c r="I481">
        <v>41</v>
      </c>
      <c r="J481">
        <v>4</v>
      </c>
      <c r="K481">
        <v>98</v>
      </c>
      <c r="L481" t="s">
        <v>32</v>
      </c>
    </row>
    <row r="482" spans="1:12" x14ac:dyDescent="0.25">
      <c r="A482" t="s">
        <v>524</v>
      </c>
      <c r="B482" t="s">
        <v>36</v>
      </c>
      <c r="C482" t="s">
        <v>25</v>
      </c>
      <c r="D482">
        <v>25</v>
      </c>
      <c r="E482" t="s">
        <v>15</v>
      </c>
      <c r="F482">
        <v>5</v>
      </c>
      <c r="G482">
        <v>78987</v>
      </c>
      <c r="H482">
        <v>14</v>
      </c>
      <c r="I482">
        <v>49</v>
      </c>
      <c r="J482">
        <v>1</v>
      </c>
      <c r="K482">
        <v>99</v>
      </c>
      <c r="L482" t="s">
        <v>32</v>
      </c>
    </row>
    <row r="483" spans="1:12" x14ac:dyDescent="0.25">
      <c r="A483" t="s">
        <v>525</v>
      </c>
      <c r="B483" t="s">
        <v>28</v>
      </c>
      <c r="C483" t="s">
        <v>22</v>
      </c>
      <c r="D483">
        <v>38</v>
      </c>
      <c r="E483" t="s">
        <v>19</v>
      </c>
      <c r="F483">
        <v>12</v>
      </c>
      <c r="G483">
        <v>66323</v>
      </c>
      <c r="H483">
        <v>3</v>
      </c>
      <c r="I483">
        <v>39</v>
      </c>
      <c r="J483">
        <v>3</v>
      </c>
      <c r="K483">
        <v>98</v>
      </c>
      <c r="L483" t="s">
        <v>32</v>
      </c>
    </row>
    <row r="484" spans="1:12" x14ac:dyDescent="0.25">
      <c r="A484" t="s">
        <v>526</v>
      </c>
      <c r="B484" t="s">
        <v>53</v>
      </c>
      <c r="C484" t="s">
        <v>22</v>
      </c>
      <c r="D484">
        <v>32</v>
      </c>
      <c r="E484" t="s">
        <v>19</v>
      </c>
      <c r="F484">
        <v>9</v>
      </c>
      <c r="G484">
        <v>28455</v>
      </c>
      <c r="H484">
        <v>14</v>
      </c>
      <c r="I484">
        <v>39</v>
      </c>
      <c r="J484">
        <v>2</v>
      </c>
      <c r="K484">
        <v>95</v>
      </c>
      <c r="L484" t="s">
        <v>16</v>
      </c>
    </row>
    <row r="485" spans="1:12" x14ac:dyDescent="0.25">
      <c r="A485" t="s">
        <v>527</v>
      </c>
      <c r="B485" t="s">
        <v>89</v>
      </c>
      <c r="C485" t="s">
        <v>14</v>
      </c>
      <c r="D485">
        <v>24</v>
      </c>
      <c r="E485" t="s">
        <v>15</v>
      </c>
      <c r="F485">
        <v>14</v>
      </c>
      <c r="G485">
        <v>48017</v>
      </c>
      <c r="H485">
        <v>13</v>
      </c>
      <c r="I485">
        <v>36</v>
      </c>
      <c r="J485">
        <v>3</v>
      </c>
      <c r="K485">
        <v>87</v>
      </c>
      <c r="L485" t="s">
        <v>37</v>
      </c>
    </row>
    <row r="486" spans="1:12" x14ac:dyDescent="0.25">
      <c r="A486" t="s">
        <v>528</v>
      </c>
      <c r="B486" t="s">
        <v>65</v>
      </c>
      <c r="C486" t="s">
        <v>25</v>
      </c>
      <c r="D486">
        <v>36</v>
      </c>
      <c r="E486" t="s">
        <v>15</v>
      </c>
      <c r="F486">
        <v>11</v>
      </c>
      <c r="G486">
        <v>42023</v>
      </c>
      <c r="H486">
        <v>12</v>
      </c>
      <c r="I486">
        <v>40</v>
      </c>
      <c r="J486">
        <v>2</v>
      </c>
      <c r="K486">
        <v>98</v>
      </c>
      <c r="L486" t="s">
        <v>37</v>
      </c>
    </row>
    <row r="487" spans="1:12" x14ac:dyDescent="0.25">
      <c r="A487" t="s">
        <v>529</v>
      </c>
      <c r="B487" t="s">
        <v>40</v>
      </c>
      <c r="C487" t="s">
        <v>25</v>
      </c>
      <c r="D487">
        <v>25</v>
      </c>
      <c r="E487" t="s">
        <v>15</v>
      </c>
      <c r="F487">
        <v>1</v>
      </c>
      <c r="G487">
        <v>60500</v>
      </c>
      <c r="H487">
        <v>8</v>
      </c>
      <c r="I487">
        <v>50</v>
      </c>
      <c r="J487">
        <v>5</v>
      </c>
      <c r="K487">
        <v>92</v>
      </c>
      <c r="L487" t="s">
        <v>37</v>
      </c>
    </row>
    <row r="488" spans="1:12" x14ac:dyDescent="0.25">
      <c r="A488" t="s">
        <v>530</v>
      </c>
      <c r="B488" t="s">
        <v>63</v>
      </c>
      <c r="C488" t="s">
        <v>29</v>
      </c>
      <c r="D488">
        <v>22</v>
      </c>
      <c r="E488" t="s">
        <v>15</v>
      </c>
      <c r="F488">
        <v>2</v>
      </c>
      <c r="G488">
        <v>55104</v>
      </c>
      <c r="H488">
        <v>13</v>
      </c>
      <c r="I488">
        <v>47</v>
      </c>
      <c r="J488">
        <v>2</v>
      </c>
      <c r="K488">
        <v>91</v>
      </c>
      <c r="L488" t="s">
        <v>23</v>
      </c>
    </row>
    <row r="489" spans="1:12" x14ac:dyDescent="0.25">
      <c r="A489" t="s">
        <v>531</v>
      </c>
      <c r="B489" t="s">
        <v>18</v>
      </c>
      <c r="C489" t="s">
        <v>25</v>
      </c>
      <c r="D489">
        <v>31</v>
      </c>
      <c r="E489" t="s">
        <v>19</v>
      </c>
      <c r="F489">
        <v>5</v>
      </c>
      <c r="G489">
        <v>62380</v>
      </c>
      <c r="H489">
        <v>4</v>
      </c>
      <c r="I489">
        <v>35</v>
      </c>
      <c r="J489">
        <v>2</v>
      </c>
      <c r="K489">
        <v>89</v>
      </c>
      <c r="L489" t="s">
        <v>26</v>
      </c>
    </row>
    <row r="490" spans="1:12" x14ac:dyDescent="0.25">
      <c r="A490" t="s">
        <v>532</v>
      </c>
      <c r="B490" t="s">
        <v>21</v>
      </c>
      <c r="C490" t="s">
        <v>29</v>
      </c>
      <c r="D490">
        <v>40</v>
      </c>
      <c r="E490" t="s">
        <v>15</v>
      </c>
      <c r="F490">
        <v>2</v>
      </c>
      <c r="G490">
        <v>56295</v>
      </c>
      <c r="H490">
        <v>9</v>
      </c>
      <c r="I490">
        <v>43</v>
      </c>
      <c r="J490">
        <v>5</v>
      </c>
      <c r="K490">
        <v>97</v>
      </c>
      <c r="L490" t="s">
        <v>23</v>
      </c>
    </row>
    <row r="491" spans="1:12" x14ac:dyDescent="0.25">
      <c r="A491" t="s">
        <v>533</v>
      </c>
      <c r="B491" t="s">
        <v>21</v>
      </c>
      <c r="C491" t="s">
        <v>22</v>
      </c>
      <c r="D491">
        <v>27</v>
      </c>
      <c r="E491" t="s">
        <v>19</v>
      </c>
      <c r="F491">
        <v>2</v>
      </c>
      <c r="G491">
        <v>29743</v>
      </c>
      <c r="H491">
        <v>6</v>
      </c>
      <c r="I491">
        <v>39</v>
      </c>
      <c r="J491">
        <v>2</v>
      </c>
      <c r="K491">
        <v>92</v>
      </c>
      <c r="L491" t="s">
        <v>26</v>
      </c>
    </row>
    <row r="492" spans="1:12" x14ac:dyDescent="0.25">
      <c r="A492" t="s">
        <v>534</v>
      </c>
      <c r="B492" t="s">
        <v>18</v>
      </c>
      <c r="C492" t="s">
        <v>14</v>
      </c>
      <c r="D492">
        <v>30</v>
      </c>
      <c r="E492" t="s">
        <v>19</v>
      </c>
      <c r="F492">
        <v>10</v>
      </c>
      <c r="G492">
        <v>31977</v>
      </c>
      <c r="H492">
        <v>10</v>
      </c>
      <c r="I492">
        <v>41</v>
      </c>
      <c r="J492">
        <v>3</v>
      </c>
      <c r="K492">
        <v>89</v>
      </c>
      <c r="L492" t="s">
        <v>16</v>
      </c>
    </row>
    <row r="493" spans="1:12" x14ac:dyDescent="0.25">
      <c r="A493" t="s">
        <v>535</v>
      </c>
      <c r="B493" t="s">
        <v>75</v>
      </c>
      <c r="C493" t="s">
        <v>29</v>
      </c>
      <c r="D493">
        <v>39</v>
      </c>
      <c r="E493" t="s">
        <v>15</v>
      </c>
      <c r="F493">
        <v>10</v>
      </c>
      <c r="G493">
        <v>68105</v>
      </c>
      <c r="H493">
        <v>5</v>
      </c>
      <c r="I493">
        <v>41</v>
      </c>
      <c r="J493">
        <v>4</v>
      </c>
      <c r="K493">
        <v>87</v>
      </c>
      <c r="L493" t="s">
        <v>16</v>
      </c>
    </row>
    <row r="494" spans="1:12" x14ac:dyDescent="0.25">
      <c r="A494" t="s">
        <v>536</v>
      </c>
      <c r="B494" t="s">
        <v>18</v>
      </c>
      <c r="C494" t="s">
        <v>25</v>
      </c>
      <c r="D494">
        <v>26</v>
      </c>
      <c r="E494" t="s">
        <v>15</v>
      </c>
      <c r="F494">
        <v>2</v>
      </c>
      <c r="G494">
        <v>46424</v>
      </c>
      <c r="H494">
        <v>3</v>
      </c>
      <c r="I494">
        <v>38</v>
      </c>
      <c r="J494">
        <v>4</v>
      </c>
      <c r="K494">
        <v>89</v>
      </c>
      <c r="L494" t="s">
        <v>37</v>
      </c>
    </row>
    <row r="495" spans="1:12" x14ac:dyDescent="0.25">
      <c r="A495" t="s">
        <v>537</v>
      </c>
      <c r="B495" t="s">
        <v>43</v>
      </c>
      <c r="C495" t="s">
        <v>29</v>
      </c>
      <c r="D495">
        <v>36</v>
      </c>
      <c r="E495" t="s">
        <v>15</v>
      </c>
      <c r="F495">
        <v>2</v>
      </c>
      <c r="G495">
        <v>62610</v>
      </c>
      <c r="H495">
        <v>3</v>
      </c>
      <c r="I495">
        <v>37</v>
      </c>
      <c r="J495">
        <v>2</v>
      </c>
      <c r="K495">
        <v>88</v>
      </c>
      <c r="L495" t="s">
        <v>23</v>
      </c>
    </row>
    <row r="496" spans="1:12" x14ac:dyDescent="0.25">
      <c r="A496" t="s">
        <v>538</v>
      </c>
      <c r="B496" t="s">
        <v>45</v>
      </c>
      <c r="C496" t="s">
        <v>25</v>
      </c>
      <c r="D496">
        <v>38</v>
      </c>
      <c r="E496" t="s">
        <v>15</v>
      </c>
      <c r="F496">
        <v>14</v>
      </c>
      <c r="G496">
        <v>49731</v>
      </c>
      <c r="H496">
        <v>3</v>
      </c>
      <c r="I496">
        <v>48</v>
      </c>
      <c r="J496">
        <v>2</v>
      </c>
      <c r="K496">
        <v>89</v>
      </c>
      <c r="L496" t="s">
        <v>26</v>
      </c>
    </row>
    <row r="497" spans="1:12" x14ac:dyDescent="0.25">
      <c r="A497" t="s">
        <v>539</v>
      </c>
      <c r="B497" t="s">
        <v>89</v>
      </c>
      <c r="C497" t="s">
        <v>29</v>
      </c>
      <c r="D497">
        <v>37</v>
      </c>
      <c r="E497" t="s">
        <v>15</v>
      </c>
      <c r="F497">
        <v>6</v>
      </c>
      <c r="G497">
        <v>29437</v>
      </c>
      <c r="H497">
        <v>12</v>
      </c>
      <c r="I497">
        <v>45</v>
      </c>
      <c r="J497">
        <v>5</v>
      </c>
      <c r="K497">
        <v>100</v>
      </c>
      <c r="L497" t="s">
        <v>51</v>
      </c>
    </row>
    <row r="498" spans="1:12" x14ac:dyDescent="0.25">
      <c r="A498" t="s">
        <v>540</v>
      </c>
      <c r="B498" t="s">
        <v>63</v>
      </c>
      <c r="C498" t="s">
        <v>29</v>
      </c>
      <c r="D498">
        <v>33</v>
      </c>
      <c r="E498" t="s">
        <v>15</v>
      </c>
      <c r="F498">
        <v>15</v>
      </c>
      <c r="G498">
        <v>51226</v>
      </c>
      <c r="H498">
        <v>15</v>
      </c>
      <c r="I498">
        <v>46</v>
      </c>
      <c r="J498">
        <v>3</v>
      </c>
      <c r="K498">
        <v>99</v>
      </c>
      <c r="L498" t="s">
        <v>51</v>
      </c>
    </row>
    <row r="499" spans="1:12" x14ac:dyDescent="0.25">
      <c r="A499" t="s">
        <v>541</v>
      </c>
      <c r="B499" t="s">
        <v>94</v>
      </c>
      <c r="C499" t="s">
        <v>14</v>
      </c>
      <c r="D499">
        <v>36</v>
      </c>
      <c r="E499" t="s">
        <v>19</v>
      </c>
      <c r="F499">
        <v>14</v>
      </c>
      <c r="G499">
        <v>70024</v>
      </c>
      <c r="H499">
        <v>8</v>
      </c>
      <c r="I499">
        <v>45</v>
      </c>
      <c r="J499">
        <v>5</v>
      </c>
      <c r="K499">
        <v>96</v>
      </c>
      <c r="L499" t="s">
        <v>23</v>
      </c>
    </row>
    <row r="500" spans="1:12" x14ac:dyDescent="0.25">
      <c r="A500" t="s">
        <v>542</v>
      </c>
      <c r="B500" t="s">
        <v>40</v>
      </c>
      <c r="C500" t="s">
        <v>29</v>
      </c>
      <c r="D500">
        <v>24</v>
      </c>
      <c r="E500" t="s">
        <v>19</v>
      </c>
      <c r="F500">
        <v>15</v>
      </c>
      <c r="G500">
        <v>37436</v>
      </c>
      <c r="H500">
        <v>4</v>
      </c>
      <c r="I500">
        <v>48</v>
      </c>
      <c r="J500">
        <v>3</v>
      </c>
      <c r="K500">
        <v>85</v>
      </c>
      <c r="L500" t="s">
        <v>51</v>
      </c>
    </row>
    <row r="501" spans="1:12" x14ac:dyDescent="0.25">
      <c r="A501" t="s">
        <v>543</v>
      </c>
      <c r="B501" t="s">
        <v>63</v>
      </c>
      <c r="C501" t="s">
        <v>29</v>
      </c>
      <c r="D501">
        <v>38</v>
      </c>
      <c r="E501" t="s">
        <v>15</v>
      </c>
      <c r="F501">
        <v>12</v>
      </c>
      <c r="G501">
        <v>51087</v>
      </c>
      <c r="H501">
        <v>3</v>
      </c>
      <c r="I501">
        <v>42</v>
      </c>
      <c r="J501">
        <v>5</v>
      </c>
      <c r="K501">
        <v>99</v>
      </c>
      <c r="L501" t="s">
        <v>23</v>
      </c>
    </row>
    <row r="502" spans="1:12" x14ac:dyDescent="0.25">
      <c r="A502" t="s">
        <v>544</v>
      </c>
      <c r="B502" t="s">
        <v>70</v>
      </c>
      <c r="C502" t="s">
        <v>29</v>
      </c>
      <c r="D502">
        <v>32</v>
      </c>
      <c r="E502" t="s">
        <v>19</v>
      </c>
      <c r="F502">
        <v>14</v>
      </c>
      <c r="G502">
        <v>62346</v>
      </c>
      <c r="H502">
        <v>12</v>
      </c>
      <c r="I502">
        <v>40</v>
      </c>
      <c r="J502">
        <v>2</v>
      </c>
      <c r="K502">
        <v>97</v>
      </c>
      <c r="L502" t="s">
        <v>16</v>
      </c>
    </row>
    <row r="503" spans="1:12" x14ac:dyDescent="0.25">
      <c r="A503" t="s">
        <v>545</v>
      </c>
      <c r="B503" t="s">
        <v>83</v>
      </c>
      <c r="C503" t="s">
        <v>29</v>
      </c>
      <c r="D503">
        <v>40</v>
      </c>
      <c r="E503" t="s">
        <v>15</v>
      </c>
      <c r="F503">
        <v>5</v>
      </c>
      <c r="G503">
        <v>50849</v>
      </c>
      <c r="H503">
        <v>5</v>
      </c>
      <c r="I503">
        <v>45</v>
      </c>
      <c r="J503">
        <v>3</v>
      </c>
      <c r="K503">
        <v>90</v>
      </c>
      <c r="L503" t="s">
        <v>37</v>
      </c>
    </row>
    <row r="504" spans="1:12" x14ac:dyDescent="0.25">
      <c r="A504" t="s">
        <v>546</v>
      </c>
      <c r="B504" t="s">
        <v>40</v>
      </c>
      <c r="C504" t="s">
        <v>25</v>
      </c>
      <c r="D504">
        <v>32</v>
      </c>
      <c r="E504" t="s">
        <v>15</v>
      </c>
      <c r="F504">
        <v>12</v>
      </c>
      <c r="G504">
        <v>66342</v>
      </c>
      <c r="H504">
        <v>7</v>
      </c>
      <c r="I504">
        <v>44</v>
      </c>
      <c r="J504">
        <v>4</v>
      </c>
      <c r="K504">
        <v>86</v>
      </c>
      <c r="L504" t="s">
        <v>16</v>
      </c>
    </row>
    <row r="505" spans="1:12" x14ac:dyDescent="0.25">
      <c r="A505" t="s">
        <v>547</v>
      </c>
      <c r="B505" t="s">
        <v>81</v>
      </c>
      <c r="C505" t="s">
        <v>22</v>
      </c>
      <c r="D505">
        <v>30</v>
      </c>
      <c r="E505" t="s">
        <v>15</v>
      </c>
      <c r="F505">
        <v>5</v>
      </c>
      <c r="G505">
        <v>50118</v>
      </c>
      <c r="H505">
        <v>13</v>
      </c>
      <c r="I505">
        <v>46</v>
      </c>
      <c r="J505">
        <v>1</v>
      </c>
      <c r="K505">
        <v>91</v>
      </c>
      <c r="L505" t="s">
        <v>23</v>
      </c>
    </row>
    <row r="506" spans="1:12" x14ac:dyDescent="0.25">
      <c r="A506" t="s">
        <v>548</v>
      </c>
      <c r="B506" t="s">
        <v>89</v>
      </c>
      <c r="C506" t="s">
        <v>25</v>
      </c>
      <c r="D506">
        <v>29</v>
      </c>
      <c r="E506" t="s">
        <v>15</v>
      </c>
      <c r="F506">
        <v>10</v>
      </c>
      <c r="G506">
        <v>67203</v>
      </c>
      <c r="H506">
        <v>4</v>
      </c>
      <c r="I506">
        <v>41</v>
      </c>
      <c r="J506">
        <v>4</v>
      </c>
      <c r="K506">
        <v>93</v>
      </c>
      <c r="L506" t="s">
        <v>32</v>
      </c>
    </row>
    <row r="507" spans="1:12" x14ac:dyDescent="0.25">
      <c r="A507" t="s">
        <v>549</v>
      </c>
      <c r="B507" t="s">
        <v>63</v>
      </c>
      <c r="C507" t="s">
        <v>22</v>
      </c>
      <c r="D507">
        <v>29</v>
      </c>
      <c r="E507" t="s">
        <v>15</v>
      </c>
      <c r="F507">
        <v>7</v>
      </c>
      <c r="G507">
        <v>50092</v>
      </c>
      <c r="H507">
        <v>14</v>
      </c>
      <c r="I507">
        <v>35</v>
      </c>
      <c r="J507">
        <v>4</v>
      </c>
      <c r="K507">
        <v>100</v>
      </c>
      <c r="L507" t="s">
        <v>32</v>
      </c>
    </row>
    <row r="508" spans="1:12" x14ac:dyDescent="0.25">
      <c r="A508" t="s">
        <v>550</v>
      </c>
      <c r="B508" t="s">
        <v>36</v>
      </c>
      <c r="C508" t="s">
        <v>25</v>
      </c>
      <c r="D508">
        <v>22</v>
      </c>
      <c r="E508" t="s">
        <v>19</v>
      </c>
      <c r="F508">
        <v>12</v>
      </c>
      <c r="G508">
        <v>35427</v>
      </c>
      <c r="H508">
        <v>5</v>
      </c>
      <c r="I508">
        <v>48</v>
      </c>
      <c r="J508">
        <v>3</v>
      </c>
      <c r="K508">
        <v>88</v>
      </c>
      <c r="L508" t="s">
        <v>26</v>
      </c>
    </row>
    <row r="509" spans="1:12" x14ac:dyDescent="0.25">
      <c r="A509" t="s">
        <v>551</v>
      </c>
      <c r="B509" t="s">
        <v>34</v>
      </c>
      <c r="C509" t="s">
        <v>22</v>
      </c>
      <c r="D509">
        <v>22</v>
      </c>
      <c r="E509" t="s">
        <v>15</v>
      </c>
      <c r="F509">
        <v>15</v>
      </c>
      <c r="G509">
        <v>64463</v>
      </c>
      <c r="H509">
        <v>8</v>
      </c>
      <c r="I509">
        <v>36</v>
      </c>
      <c r="J509">
        <v>4</v>
      </c>
      <c r="K509">
        <v>87</v>
      </c>
      <c r="L509" t="s">
        <v>51</v>
      </c>
    </row>
    <row r="510" spans="1:12" x14ac:dyDescent="0.25">
      <c r="A510" t="s">
        <v>552</v>
      </c>
      <c r="B510" t="s">
        <v>43</v>
      </c>
      <c r="C510" t="s">
        <v>29</v>
      </c>
      <c r="D510">
        <v>33</v>
      </c>
      <c r="E510" t="s">
        <v>19</v>
      </c>
      <c r="F510">
        <v>5</v>
      </c>
      <c r="G510">
        <v>53049</v>
      </c>
      <c r="H510">
        <v>15</v>
      </c>
      <c r="I510">
        <v>43</v>
      </c>
      <c r="J510">
        <v>3</v>
      </c>
      <c r="K510">
        <v>89</v>
      </c>
      <c r="L510" t="s">
        <v>16</v>
      </c>
    </row>
    <row r="511" spans="1:12" x14ac:dyDescent="0.25">
      <c r="A511" t="s">
        <v>553</v>
      </c>
      <c r="B511" t="s">
        <v>40</v>
      </c>
      <c r="C511" t="s">
        <v>22</v>
      </c>
      <c r="D511">
        <v>40</v>
      </c>
      <c r="E511" t="s">
        <v>15</v>
      </c>
      <c r="F511">
        <v>8</v>
      </c>
      <c r="G511">
        <v>64048</v>
      </c>
      <c r="H511">
        <v>10</v>
      </c>
      <c r="I511">
        <v>43</v>
      </c>
      <c r="J511">
        <v>4</v>
      </c>
      <c r="K511">
        <v>87</v>
      </c>
      <c r="L511" t="s">
        <v>16</v>
      </c>
    </row>
    <row r="512" spans="1:12" x14ac:dyDescent="0.25">
      <c r="A512" t="s">
        <v>554</v>
      </c>
      <c r="B512" t="s">
        <v>53</v>
      </c>
      <c r="C512" t="s">
        <v>25</v>
      </c>
      <c r="D512">
        <v>31</v>
      </c>
      <c r="E512" t="s">
        <v>15</v>
      </c>
      <c r="F512">
        <v>1</v>
      </c>
      <c r="G512">
        <v>30374</v>
      </c>
      <c r="H512">
        <v>9</v>
      </c>
      <c r="I512">
        <v>50</v>
      </c>
      <c r="J512">
        <v>4</v>
      </c>
      <c r="K512">
        <v>92</v>
      </c>
      <c r="L512" t="s">
        <v>37</v>
      </c>
    </row>
    <row r="513" spans="1:12" x14ac:dyDescent="0.25">
      <c r="A513" t="s">
        <v>555</v>
      </c>
      <c r="B513" t="s">
        <v>45</v>
      </c>
      <c r="C513" t="s">
        <v>22</v>
      </c>
      <c r="D513">
        <v>24</v>
      </c>
      <c r="E513" t="s">
        <v>15</v>
      </c>
      <c r="F513">
        <v>10</v>
      </c>
      <c r="G513">
        <v>77737</v>
      </c>
      <c r="H513">
        <v>11</v>
      </c>
      <c r="I513">
        <v>46</v>
      </c>
      <c r="J513">
        <v>1</v>
      </c>
      <c r="K513">
        <v>88</v>
      </c>
      <c r="L513" t="s">
        <v>51</v>
      </c>
    </row>
    <row r="514" spans="1:12" x14ac:dyDescent="0.25">
      <c r="A514" t="s">
        <v>556</v>
      </c>
      <c r="B514" t="s">
        <v>77</v>
      </c>
      <c r="C514" t="s">
        <v>25</v>
      </c>
      <c r="D514">
        <v>33</v>
      </c>
      <c r="E514" t="s">
        <v>15</v>
      </c>
      <c r="F514">
        <v>9</v>
      </c>
      <c r="G514">
        <v>73293</v>
      </c>
      <c r="H514">
        <v>14</v>
      </c>
      <c r="I514">
        <v>48</v>
      </c>
      <c r="J514">
        <v>1</v>
      </c>
      <c r="K514">
        <v>98</v>
      </c>
      <c r="L514" t="s">
        <v>32</v>
      </c>
    </row>
    <row r="515" spans="1:12" x14ac:dyDescent="0.25">
      <c r="A515" t="s">
        <v>557</v>
      </c>
      <c r="B515" t="s">
        <v>75</v>
      </c>
      <c r="C515" t="s">
        <v>14</v>
      </c>
      <c r="D515">
        <v>29</v>
      </c>
      <c r="E515" t="s">
        <v>15</v>
      </c>
      <c r="F515">
        <v>4</v>
      </c>
      <c r="G515">
        <v>30761</v>
      </c>
      <c r="H515">
        <v>13</v>
      </c>
      <c r="I515">
        <v>37</v>
      </c>
      <c r="J515">
        <v>3</v>
      </c>
      <c r="K515">
        <v>86</v>
      </c>
      <c r="L515" t="s">
        <v>16</v>
      </c>
    </row>
    <row r="516" spans="1:12" x14ac:dyDescent="0.25">
      <c r="A516" t="s">
        <v>558</v>
      </c>
      <c r="B516" t="s">
        <v>45</v>
      </c>
      <c r="C516" t="s">
        <v>14</v>
      </c>
      <c r="D516">
        <v>25</v>
      </c>
      <c r="E516" t="s">
        <v>15</v>
      </c>
      <c r="F516">
        <v>6</v>
      </c>
      <c r="G516">
        <v>33393</v>
      </c>
      <c r="H516">
        <v>12</v>
      </c>
      <c r="I516">
        <v>47</v>
      </c>
      <c r="J516">
        <v>4</v>
      </c>
      <c r="K516">
        <v>91</v>
      </c>
      <c r="L516" t="s">
        <v>23</v>
      </c>
    </row>
    <row r="517" spans="1:12" x14ac:dyDescent="0.25">
      <c r="A517" t="s">
        <v>559</v>
      </c>
      <c r="B517" t="s">
        <v>53</v>
      </c>
      <c r="C517" t="s">
        <v>29</v>
      </c>
      <c r="D517">
        <v>31</v>
      </c>
      <c r="E517" t="s">
        <v>15</v>
      </c>
      <c r="F517">
        <v>11</v>
      </c>
      <c r="G517">
        <v>32365</v>
      </c>
      <c r="H517">
        <v>11</v>
      </c>
      <c r="I517">
        <v>40</v>
      </c>
      <c r="J517">
        <v>5</v>
      </c>
      <c r="K517">
        <v>99</v>
      </c>
      <c r="L517" t="s">
        <v>23</v>
      </c>
    </row>
    <row r="518" spans="1:12" x14ac:dyDescent="0.25">
      <c r="A518" t="s">
        <v>560</v>
      </c>
      <c r="B518" t="s">
        <v>53</v>
      </c>
      <c r="C518" t="s">
        <v>29</v>
      </c>
      <c r="D518">
        <v>38</v>
      </c>
      <c r="E518" t="s">
        <v>19</v>
      </c>
      <c r="F518">
        <v>10</v>
      </c>
      <c r="G518">
        <v>37092</v>
      </c>
      <c r="H518">
        <v>9</v>
      </c>
      <c r="I518">
        <v>48</v>
      </c>
      <c r="J518">
        <v>1</v>
      </c>
      <c r="K518">
        <v>90</v>
      </c>
      <c r="L518" t="s">
        <v>26</v>
      </c>
    </row>
    <row r="519" spans="1:12" x14ac:dyDescent="0.25">
      <c r="A519" t="s">
        <v>561</v>
      </c>
      <c r="B519" t="s">
        <v>75</v>
      </c>
      <c r="C519" t="s">
        <v>25</v>
      </c>
      <c r="D519">
        <v>40</v>
      </c>
      <c r="E519" t="s">
        <v>15</v>
      </c>
      <c r="F519">
        <v>6</v>
      </c>
      <c r="G519">
        <v>36861</v>
      </c>
      <c r="H519">
        <v>8</v>
      </c>
      <c r="I519">
        <v>46</v>
      </c>
      <c r="J519">
        <v>3</v>
      </c>
      <c r="K519">
        <v>86</v>
      </c>
      <c r="L519" t="s">
        <v>32</v>
      </c>
    </row>
    <row r="520" spans="1:12" x14ac:dyDescent="0.25">
      <c r="A520" t="s">
        <v>562</v>
      </c>
      <c r="B520" t="s">
        <v>77</v>
      </c>
      <c r="C520" t="s">
        <v>14</v>
      </c>
      <c r="D520">
        <v>37</v>
      </c>
      <c r="E520" t="s">
        <v>15</v>
      </c>
      <c r="F520">
        <v>8</v>
      </c>
      <c r="G520">
        <v>79175</v>
      </c>
      <c r="H520">
        <v>14</v>
      </c>
      <c r="I520">
        <v>43</v>
      </c>
      <c r="J520">
        <v>3</v>
      </c>
      <c r="K520">
        <v>90</v>
      </c>
      <c r="L520" t="s">
        <v>32</v>
      </c>
    </row>
    <row r="521" spans="1:12" x14ac:dyDescent="0.25">
      <c r="A521" t="s">
        <v>563</v>
      </c>
      <c r="B521" t="s">
        <v>63</v>
      </c>
      <c r="C521" t="s">
        <v>25</v>
      </c>
      <c r="D521">
        <v>22</v>
      </c>
      <c r="E521" t="s">
        <v>19</v>
      </c>
      <c r="F521">
        <v>13</v>
      </c>
      <c r="G521">
        <v>53047</v>
      </c>
      <c r="H521">
        <v>14</v>
      </c>
      <c r="I521">
        <v>49</v>
      </c>
      <c r="J521">
        <v>5</v>
      </c>
      <c r="K521">
        <v>85</v>
      </c>
      <c r="L521" t="s">
        <v>37</v>
      </c>
    </row>
    <row r="522" spans="1:12" x14ac:dyDescent="0.25">
      <c r="A522" t="s">
        <v>564</v>
      </c>
      <c r="B522" t="s">
        <v>13</v>
      </c>
      <c r="C522" t="s">
        <v>22</v>
      </c>
      <c r="D522">
        <v>28</v>
      </c>
      <c r="E522" t="s">
        <v>15</v>
      </c>
      <c r="F522">
        <v>9</v>
      </c>
      <c r="G522">
        <v>33955</v>
      </c>
      <c r="H522">
        <v>3</v>
      </c>
      <c r="I522">
        <v>47</v>
      </c>
      <c r="J522">
        <v>5</v>
      </c>
      <c r="K522">
        <v>89</v>
      </c>
      <c r="L522" t="s">
        <v>51</v>
      </c>
    </row>
    <row r="523" spans="1:12" x14ac:dyDescent="0.25">
      <c r="A523" t="s">
        <v>565</v>
      </c>
      <c r="B523" t="s">
        <v>40</v>
      </c>
      <c r="C523" t="s">
        <v>25</v>
      </c>
      <c r="D523">
        <v>38</v>
      </c>
      <c r="E523" t="s">
        <v>15</v>
      </c>
      <c r="F523">
        <v>15</v>
      </c>
      <c r="G523">
        <v>56625</v>
      </c>
      <c r="H523">
        <v>11</v>
      </c>
      <c r="I523">
        <v>41</v>
      </c>
      <c r="J523">
        <v>4</v>
      </c>
      <c r="K523">
        <v>100</v>
      </c>
      <c r="L523" t="s">
        <v>37</v>
      </c>
    </row>
    <row r="524" spans="1:12" x14ac:dyDescent="0.25">
      <c r="A524" t="s">
        <v>566</v>
      </c>
      <c r="B524" t="s">
        <v>77</v>
      </c>
      <c r="C524" t="s">
        <v>22</v>
      </c>
      <c r="D524">
        <v>31</v>
      </c>
      <c r="E524" t="s">
        <v>15</v>
      </c>
      <c r="F524">
        <v>4</v>
      </c>
      <c r="G524">
        <v>69364</v>
      </c>
      <c r="H524">
        <v>12</v>
      </c>
      <c r="I524">
        <v>44</v>
      </c>
      <c r="J524">
        <v>5</v>
      </c>
      <c r="K524">
        <v>94</v>
      </c>
      <c r="L524" t="s">
        <v>23</v>
      </c>
    </row>
    <row r="525" spans="1:12" x14ac:dyDescent="0.25">
      <c r="A525" t="s">
        <v>567</v>
      </c>
      <c r="B525" t="s">
        <v>36</v>
      </c>
      <c r="C525" t="s">
        <v>25</v>
      </c>
      <c r="D525">
        <v>33</v>
      </c>
      <c r="E525" t="s">
        <v>19</v>
      </c>
      <c r="F525">
        <v>3</v>
      </c>
      <c r="G525">
        <v>68178</v>
      </c>
      <c r="H525">
        <v>12</v>
      </c>
      <c r="I525">
        <v>50</v>
      </c>
      <c r="J525">
        <v>2</v>
      </c>
      <c r="K525">
        <v>91</v>
      </c>
      <c r="L525" t="s">
        <v>51</v>
      </c>
    </row>
    <row r="526" spans="1:12" x14ac:dyDescent="0.25">
      <c r="A526" t="s">
        <v>568</v>
      </c>
      <c r="B526" t="s">
        <v>53</v>
      </c>
      <c r="C526" t="s">
        <v>25</v>
      </c>
      <c r="D526">
        <v>33</v>
      </c>
      <c r="E526" t="s">
        <v>19</v>
      </c>
      <c r="F526">
        <v>14</v>
      </c>
      <c r="G526">
        <v>57267</v>
      </c>
      <c r="H526">
        <v>9</v>
      </c>
      <c r="I526">
        <v>35</v>
      </c>
      <c r="J526">
        <v>5</v>
      </c>
      <c r="K526">
        <v>96</v>
      </c>
      <c r="L526" t="s">
        <v>16</v>
      </c>
    </row>
    <row r="527" spans="1:12" x14ac:dyDescent="0.25">
      <c r="A527" t="s">
        <v>569</v>
      </c>
      <c r="B527" t="s">
        <v>65</v>
      </c>
      <c r="C527" t="s">
        <v>14</v>
      </c>
      <c r="D527">
        <v>25</v>
      </c>
      <c r="E527" t="s">
        <v>15</v>
      </c>
      <c r="F527">
        <v>10</v>
      </c>
      <c r="G527">
        <v>61488</v>
      </c>
      <c r="H527">
        <v>11</v>
      </c>
      <c r="I527">
        <v>44</v>
      </c>
      <c r="J527">
        <v>1</v>
      </c>
      <c r="K527">
        <v>99</v>
      </c>
      <c r="L527" t="s">
        <v>26</v>
      </c>
    </row>
    <row r="528" spans="1:12" x14ac:dyDescent="0.25">
      <c r="A528" t="s">
        <v>570</v>
      </c>
      <c r="B528" t="s">
        <v>28</v>
      </c>
      <c r="C528" t="s">
        <v>22</v>
      </c>
      <c r="D528">
        <v>38</v>
      </c>
      <c r="E528" t="s">
        <v>19</v>
      </c>
      <c r="F528">
        <v>11</v>
      </c>
      <c r="G528">
        <v>78474</v>
      </c>
      <c r="H528">
        <v>9</v>
      </c>
      <c r="I528">
        <v>41</v>
      </c>
      <c r="J528">
        <v>2</v>
      </c>
      <c r="K528">
        <v>86</v>
      </c>
      <c r="L528" t="s">
        <v>26</v>
      </c>
    </row>
    <row r="529" spans="1:12" x14ac:dyDescent="0.25">
      <c r="A529" t="s">
        <v>571</v>
      </c>
      <c r="B529" t="s">
        <v>21</v>
      </c>
      <c r="C529" t="s">
        <v>29</v>
      </c>
      <c r="D529">
        <v>27</v>
      </c>
      <c r="E529" t="s">
        <v>15</v>
      </c>
      <c r="F529">
        <v>13</v>
      </c>
      <c r="G529">
        <v>59222</v>
      </c>
      <c r="H529">
        <v>7</v>
      </c>
      <c r="I529">
        <v>47</v>
      </c>
      <c r="J529">
        <v>3</v>
      </c>
      <c r="K529">
        <v>88</v>
      </c>
      <c r="L529" t="s">
        <v>16</v>
      </c>
    </row>
    <row r="530" spans="1:12" x14ac:dyDescent="0.25">
      <c r="A530" t="s">
        <v>572</v>
      </c>
      <c r="B530" t="s">
        <v>34</v>
      </c>
      <c r="C530" t="s">
        <v>22</v>
      </c>
      <c r="D530">
        <v>39</v>
      </c>
      <c r="E530" t="s">
        <v>19</v>
      </c>
      <c r="F530">
        <v>4</v>
      </c>
      <c r="G530">
        <v>64942</v>
      </c>
      <c r="H530">
        <v>12</v>
      </c>
      <c r="I530">
        <v>43</v>
      </c>
      <c r="J530">
        <v>3</v>
      </c>
      <c r="K530">
        <v>94</v>
      </c>
      <c r="L530" t="s">
        <v>16</v>
      </c>
    </row>
    <row r="531" spans="1:12" x14ac:dyDescent="0.25">
      <c r="A531" t="s">
        <v>573</v>
      </c>
      <c r="B531" t="s">
        <v>43</v>
      </c>
      <c r="C531" t="s">
        <v>29</v>
      </c>
      <c r="D531">
        <v>28</v>
      </c>
      <c r="E531" t="s">
        <v>15</v>
      </c>
      <c r="F531">
        <v>1</v>
      </c>
      <c r="G531">
        <v>49651</v>
      </c>
      <c r="H531">
        <v>6</v>
      </c>
      <c r="I531">
        <v>47</v>
      </c>
      <c r="J531">
        <v>2</v>
      </c>
      <c r="K531">
        <v>95</v>
      </c>
      <c r="L531" t="s">
        <v>23</v>
      </c>
    </row>
    <row r="532" spans="1:12" x14ac:dyDescent="0.25">
      <c r="A532" t="s">
        <v>574</v>
      </c>
      <c r="B532" t="s">
        <v>94</v>
      </c>
      <c r="C532" t="s">
        <v>22</v>
      </c>
      <c r="D532">
        <v>26</v>
      </c>
      <c r="E532" t="s">
        <v>15</v>
      </c>
      <c r="F532">
        <v>2</v>
      </c>
      <c r="G532">
        <v>48042</v>
      </c>
      <c r="H532">
        <v>14</v>
      </c>
      <c r="I532">
        <v>49</v>
      </c>
      <c r="J532">
        <v>2</v>
      </c>
      <c r="K532">
        <v>96</v>
      </c>
      <c r="L532" t="s">
        <v>51</v>
      </c>
    </row>
    <row r="533" spans="1:12" x14ac:dyDescent="0.25">
      <c r="A533" t="s">
        <v>575</v>
      </c>
      <c r="B533" t="s">
        <v>21</v>
      </c>
      <c r="C533" t="s">
        <v>22</v>
      </c>
      <c r="D533">
        <v>40</v>
      </c>
      <c r="E533" t="s">
        <v>19</v>
      </c>
      <c r="F533">
        <v>8</v>
      </c>
      <c r="G533">
        <v>62083</v>
      </c>
      <c r="H533">
        <v>7</v>
      </c>
      <c r="I533">
        <v>43</v>
      </c>
      <c r="J533">
        <v>2</v>
      </c>
      <c r="K533">
        <v>97</v>
      </c>
      <c r="L533" t="s">
        <v>32</v>
      </c>
    </row>
    <row r="534" spans="1:12" x14ac:dyDescent="0.25">
      <c r="A534" t="s">
        <v>576</v>
      </c>
      <c r="B534" t="s">
        <v>21</v>
      </c>
      <c r="C534" t="s">
        <v>25</v>
      </c>
      <c r="D534">
        <v>33</v>
      </c>
      <c r="E534" t="s">
        <v>15</v>
      </c>
      <c r="F534">
        <v>8</v>
      </c>
      <c r="G534">
        <v>52648</v>
      </c>
      <c r="H534">
        <v>9</v>
      </c>
      <c r="I534">
        <v>48</v>
      </c>
      <c r="J534">
        <v>3</v>
      </c>
      <c r="K534">
        <v>94</v>
      </c>
      <c r="L534" t="s">
        <v>51</v>
      </c>
    </row>
    <row r="535" spans="1:12" x14ac:dyDescent="0.25">
      <c r="A535" t="s">
        <v>577</v>
      </c>
      <c r="B535" t="s">
        <v>45</v>
      </c>
      <c r="C535" t="s">
        <v>29</v>
      </c>
      <c r="D535">
        <v>40</v>
      </c>
      <c r="E535" t="s">
        <v>19</v>
      </c>
      <c r="F535">
        <v>9</v>
      </c>
      <c r="G535">
        <v>73738</v>
      </c>
      <c r="H535">
        <v>6</v>
      </c>
      <c r="I535">
        <v>47</v>
      </c>
      <c r="J535">
        <v>4</v>
      </c>
      <c r="K535">
        <v>99</v>
      </c>
      <c r="L535" t="s">
        <v>32</v>
      </c>
    </row>
    <row r="536" spans="1:12" x14ac:dyDescent="0.25">
      <c r="A536" t="s">
        <v>578</v>
      </c>
      <c r="B536" t="s">
        <v>18</v>
      </c>
      <c r="C536" t="s">
        <v>14</v>
      </c>
      <c r="D536">
        <v>30</v>
      </c>
      <c r="E536" t="s">
        <v>19</v>
      </c>
      <c r="F536">
        <v>4</v>
      </c>
      <c r="G536">
        <v>77846</v>
      </c>
      <c r="H536">
        <v>11</v>
      </c>
      <c r="I536">
        <v>46</v>
      </c>
      <c r="J536">
        <v>3</v>
      </c>
      <c r="K536">
        <v>92</v>
      </c>
      <c r="L536" t="s">
        <v>32</v>
      </c>
    </row>
    <row r="537" spans="1:12" x14ac:dyDescent="0.25">
      <c r="A537" t="s">
        <v>579</v>
      </c>
      <c r="B537" t="s">
        <v>75</v>
      </c>
      <c r="C537" t="s">
        <v>22</v>
      </c>
      <c r="D537">
        <v>34</v>
      </c>
      <c r="E537" t="s">
        <v>19</v>
      </c>
      <c r="F537">
        <v>9</v>
      </c>
      <c r="G537">
        <v>26531</v>
      </c>
      <c r="H537">
        <v>9</v>
      </c>
      <c r="I537">
        <v>42</v>
      </c>
      <c r="J537">
        <v>4</v>
      </c>
      <c r="K537">
        <v>97</v>
      </c>
      <c r="L537" t="s">
        <v>37</v>
      </c>
    </row>
    <row r="538" spans="1:12" x14ac:dyDescent="0.25">
      <c r="A538" t="s">
        <v>580</v>
      </c>
      <c r="B538" t="s">
        <v>83</v>
      </c>
      <c r="C538" t="s">
        <v>25</v>
      </c>
      <c r="D538">
        <v>30</v>
      </c>
      <c r="E538" t="s">
        <v>15</v>
      </c>
      <c r="F538">
        <v>4</v>
      </c>
      <c r="G538">
        <v>62805</v>
      </c>
      <c r="H538">
        <v>15</v>
      </c>
      <c r="I538">
        <v>47</v>
      </c>
      <c r="J538">
        <v>2</v>
      </c>
      <c r="K538">
        <v>93</v>
      </c>
      <c r="L538" t="s">
        <v>32</v>
      </c>
    </row>
    <row r="539" spans="1:12" x14ac:dyDescent="0.25">
      <c r="A539" t="s">
        <v>581</v>
      </c>
      <c r="B539" t="s">
        <v>45</v>
      </c>
      <c r="C539" t="s">
        <v>14</v>
      </c>
      <c r="D539">
        <v>29</v>
      </c>
      <c r="E539" t="s">
        <v>15</v>
      </c>
      <c r="F539">
        <v>11</v>
      </c>
      <c r="G539">
        <v>34025</v>
      </c>
      <c r="H539">
        <v>5</v>
      </c>
      <c r="I539">
        <v>39</v>
      </c>
      <c r="J539">
        <v>2</v>
      </c>
      <c r="K539">
        <v>86</v>
      </c>
      <c r="L539" t="s">
        <v>37</v>
      </c>
    </row>
    <row r="540" spans="1:12" x14ac:dyDescent="0.25">
      <c r="A540" t="s">
        <v>582</v>
      </c>
      <c r="B540" t="s">
        <v>36</v>
      </c>
      <c r="C540" t="s">
        <v>14</v>
      </c>
      <c r="D540">
        <v>30</v>
      </c>
      <c r="E540" t="s">
        <v>19</v>
      </c>
      <c r="F540">
        <v>11</v>
      </c>
      <c r="G540">
        <v>65473</v>
      </c>
      <c r="H540">
        <v>5</v>
      </c>
      <c r="I540">
        <v>47</v>
      </c>
      <c r="J540">
        <v>3</v>
      </c>
      <c r="K540">
        <v>89</v>
      </c>
      <c r="L540" t="s">
        <v>16</v>
      </c>
    </row>
    <row r="541" spans="1:12" x14ac:dyDescent="0.25">
      <c r="A541" t="s">
        <v>583</v>
      </c>
      <c r="B541" t="s">
        <v>83</v>
      </c>
      <c r="C541" t="s">
        <v>22</v>
      </c>
      <c r="D541">
        <v>28</v>
      </c>
      <c r="E541" t="s">
        <v>15</v>
      </c>
      <c r="F541">
        <v>11</v>
      </c>
      <c r="G541">
        <v>75650</v>
      </c>
      <c r="H541">
        <v>9</v>
      </c>
      <c r="I541">
        <v>50</v>
      </c>
      <c r="J541">
        <v>3</v>
      </c>
      <c r="K541">
        <v>98</v>
      </c>
      <c r="L541" t="s">
        <v>37</v>
      </c>
    </row>
    <row r="542" spans="1:12" x14ac:dyDescent="0.25">
      <c r="A542" t="s">
        <v>584</v>
      </c>
      <c r="B542" t="s">
        <v>21</v>
      </c>
      <c r="C542" t="s">
        <v>22</v>
      </c>
      <c r="D542">
        <v>27</v>
      </c>
      <c r="E542" t="s">
        <v>19</v>
      </c>
      <c r="F542">
        <v>15</v>
      </c>
      <c r="G542">
        <v>32192</v>
      </c>
      <c r="H542">
        <v>14</v>
      </c>
      <c r="I542">
        <v>46</v>
      </c>
      <c r="J542">
        <v>4</v>
      </c>
      <c r="K542">
        <v>94</v>
      </c>
      <c r="L542" t="s">
        <v>26</v>
      </c>
    </row>
    <row r="543" spans="1:12" x14ac:dyDescent="0.25">
      <c r="A543" t="s">
        <v>585</v>
      </c>
      <c r="B543" t="s">
        <v>31</v>
      </c>
      <c r="C543" t="s">
        <v>14</v>
      </c>
      <c r="D543">
        <v>32</v>
      </c>
      <c r="E543" t="s">
        <v>19</v>
      </c>
      <c r="F543">
        <v>12</v>
      </c>
      <c r="G543">
        <v>72027</v>
      </c>
      <c r="H543">
        <v>10</v>
      </c>
      <c r="I543">
        <v>39</v>
      </c>
      <c r="J543">
        <v>4</v>
      </c>
      <c r="K543">
        <v>95</v>
      </c>
      <c r="L543" t="s">
        <v>37</v>
      </c>
    </row>
    <row r="544" spans="1:12" x14ac:dyDescent="0.25">
      <c r="A544" t="s">
        <v>586</v>
      </c>
      <c r="B544" t="s">
        <v>89</v>
      </c>
      <c r="C544" t="s">
        <v>29</v>
      </c>
      <c r="D544">
        <v>29</v>
      </c>
      <c r="E544" t="s">
        <v>19</v>
      </c>
      <c r="F544">
        <v>2</v>
      </c>
      <c r="G544">
        <v>77066</v>
      </c>
      <c r="H544">
        <v>5</v>
      </c>
      <c r="I544">
        <v>36</v>
      </c>
      <c r="J544">
        <v>1</v>
      </c>
      <c r="K544">
        <v>99</v>
      </c>
      <c r="L544" t="s">
        <v>23</v>
      </c>
    </row>
    <row r="545" spans="1:12" x14ac:dyDescent="0.25">
      <c r="A545" t="s">
        <v>587</v>
      </c>
      <c r="B545" t="s">
        <v>81</v>
      </c>
      <c r="C545" t="s">
        <v>14</v>
      </c>
      <c r="D545">
        <v>35</v>
      </c>
      <c r="E545" t="s">
        <v>19</v>
      </c>
      <c r="F545">
        <v>9</v>
      </c>
      <c r="G545">
        <v>38818</v>
      </c>
      <c r="H545">
        <v>13</v>
      </c>
      <c r="I545">
        <v>50</v>
      </c>
      <c r="J545">
        <v>4</v>
      </c>
      <c r="K545">
        <v>95</v>
      </c>
      <c r="L545" t="s">
        <v>23</v>
      </c>
    </row>
    <row r="546" spans="1:12" x14ac:dyDescent="0.25">
      <c r="A546" t="s">
        <v>588</v>
      </c>
      <c r="B546" t="s">
        <v>75</v>
      </c>
      <c r="C546" t="s">
        <v>22</v>
      </c>
      <c r="D546">
        <v>25</v>
      </c>
      <c r="E546" t="s">
        <v>15</v>
      </c>
      <c r="F546">
        <v>2</v>
      </c>
      <c r="G546">
        <v>66424</v>
      </c>
      <c r="H546">
        <v>6</v>
      </c>
      <c r="I546">
        <v>43</v>
      </c>
      <c r="J546">
        <v>5</v>
      </c>
      <c r="K546">
        <v>91</v>
      </c>
      <c r="L546" t="s">
        <v>51</v>
      </c>
    </row>
    <row r="547" spans="1:12" x14ac:dyDescent="0.25">
      <c r="A547" t="s">
        <v>589</v>
      </c>
      <c r="B547" t="s">
        <v>53</v>
      </c>
      <c r="C547" t="s">
        <v>29</v>
      </c>
      <c r="D547">
        <v>25</v>
      </c>
      <c r="E547" t="s">
        <v>15</v>
      </c>
      <c r="F547">
        <v>4</v>
      </c>
      <c r="G547">
        <v>44139</v>
      </c>
      <c r="H547">
        <v>14</v>
      </c>
      <c r="I547">
        <v>50</v>
      </c>
      <c r="J547">
        <v>5</v>
      </c>
      <c r="K547">
        <v>89</v>
      </c>
      <c r="L547" t="s">
        <v>23</v>
      </c>
    </row>
    <row r="548" spans="1:12" x14ac:dyDescent="0.25">
      <c r="A548" t="s">
        <v>590</v>
      </c>
      <c r="B548" t="s">
        <v>40</v>
      </c>
      <c r="C548" t="s">
        <v>14</v>
      </c>
      <c r="D548">
        <v>23</v>
      </c>
      <c r="E548" t="s">
        <v>15</v>
      </c>
      <c r="F548">
        <v>12</v>
      </c>
      <c r="G548">
        <v>61225</v>
      </c>
      <c r="H548">
        <v>13</v>
      </c>
      <c r="I548">
        <v>38</v>
      </c>
      <c r="J548">
        <v>5</v>
      </c>
      <c r="K548">
        <v>86</v>
      </c>
      <c r="L548" t="s">
        <v>23</v>
      </c>
    </row>
    <row r="549" spans="1:12" x14ac:dyDescent="0.25">
      <c r="A549" t="s">
        <v>591</v>
      </c>
      <c r="B549" t="s">
        <v>81</v>
      </c>
      <c r="C549" t="s">
        <v>29</v>
      </c>
      <c r="D549">
        <v>24</v>
      </c>
      <c r="E549" t="s">
        <v>19</v>
      </c>
      <c r="F549">
        <v>9</v>
      </c>
      <c r="G549">
        <v>27099</v>
      </c>
      <c r="H549">
        <v>9</v>
      </c>
      <c r="I549">
        <v>41</v>
      </c>
      <c r="J549">
        <v>4</v>
      </c>
      <c r="K549">
        <v>100</v>
      </c>
      <c r="L549" t="s">
        <v>32</v>
      </c>
    </row>
    <row r="550" spans="1:12" x14ac:dyDescent="0.25">
      <c r="A550" t="s">
        <v>592</v>
      </c>
      <c r="B550" t="s">
        <v>94</v>
      </c>
      <c r="C550" t="s">
        <v>29</v>
      </c>
      <c r="D550">
        <v>22</v>
      </c>
      <c r="E550" t="s">
        <v>19</v>
      </c>
      <c r="F550">
        <v>11</v>
      </c>
      <c r="G550">
        <v>46954</v>
      </c>
      <c r="H550">
        <v>15</v>
      </c>
      <c r="I550">
        <v>37</v>
      </c>
      <c r="J550">
        <v>3</v>
      </c>
      <c r="K550">
        <v>91</v>
      </c>
      <c r="L550" t="s">
        <v>26</v>
      </c>
    </row>
    <row r="551" spans="1:12" x14ac:dyDescent="0.25">
      <c r="A551" t="s">
        <v>593</v>
      </c>
      <c r="B551" t="s">
        <v>28</v>
      </c>
      <c r="C551" t="s">
        <v>25</v>
      </c>
      <c r="D551">
        <v>39</v>
      </c>
      <c r="E551" t="s">
        <v>19</v>
      </c>
      <c r="F551">
        <v>9</v>
      </c>
      <c r="G551">
        <v>42560</v>
      </c>
      <c r="H551">
        <v>3</v>
      </c>
      <c r="I551">
        <v>44</v>
      </c>
      <c r="J551">
        <v>5</v>
      </c>
      <c r="K551">
        <v>94</v>
      </c>
      <c r="L551" t="s">
        <v>23</v>
      </c>
    </row>
    <row r="552" spans="1:12" x14ac:dyDescent="0.25">
      <c r="A552" t="s">
        <v>594</v>
      </c>
      <c r="B552" t="s">
        <v>31</v>
      </c>
      <c r="C552" t="s">
        <v>29</v>
      </c>
      <c r="D552">
        <v>30</v>
      </c>
      <c r="E552" t="s">
        <v>19</v>
      </c>
      <c r="F552">
        <v>9</v>
      </c>
      <c r="G552">
        <v>47723</v>
      </c>
      <c r="H552">
        <v>3</v>
      </c>
      <c r="I552">
        <v>46</v>
      </c>
      <c r="J552">
        <v>2</v>
      </c>
      <c r="K552">
        <v>86</v>
      </c>
      <c r="L552" t="s">
        <v>23</v>
      </c>
    </row>
    <row r="553" spans="1:12" x14ac:dyDescent="0.25">
      <c r="A553" t="s">
        <v>595</v>
      </c>
      <c r="B553" t="s">
        <v>81</v>
      </c>
      <c r="C553" t="s">
        <v>25</v>
      </c>
      <c r="D553">
        <v>38</v>
      </c>
      <c r="E553" t="s">
        <v>15</v>
      </c>
      <c r="F553">
        <v>1</v>
      </c>
      <c r="G553">
        <v>31910</v>
      </c>
      <c r="H553">
        <v>12</v>
      </c>
      <c r="I553">
        <v>41</v>
      </c>
      <c r="J553">
        <v>1</v>
      </c>
      <c r="K553">
        <v>98</v>
      </c>
      <c r="L553" t="s">
        <v>23</v>
      </c>
    </row>
    <row r="554" spans="1:12" x14ac:dyDescent="0.25">
      <c r="A554" t="s">
        <v>596</v>
      </c>
      <c r="B554" t="s">
        <v>83</v>
      </c>
      <c r="C554" t="s">
        <v>14</v>
      </c>
      <c r="D554">
        <v>40</v>
      </c>
      <c r="E554" t="s">
        <v>15</v>
      </c>
      <c r="F554">
        <v>10</v>
      </c>
      <c r="G554">
        <v>25400</v>
      </c>
      <c r="H554">
        <v>14</v>
      </c>
      <c r="I554">
        <v>48</v>
      </c>
      <c r="J554">
        <v>2</v>
      </c>
      <c r="K554">
        <v>86</v>
      </c>
      <c r="L554" t="s">
        <v>26</v>
      </c>
    </row>
    <row r="555" spans="1:12" x14ac:dyDescent="0.25">
      <c r="A555" t="s">
        <v>597</v>
      </c>
      <c r="B555" t="s">
        <v>81</v>
      </c>
      <c r="C555" t="s">
        <v>22</v>
      </c>
      <c r="D555">
        <v>30</v>
      </c>
      <c r="E555" t="s">
        <v>19</v>
      </c>
      <c r="F555">
        <v>3</v>
      </c>
      <c r="G555">
        <v>58426</v>
      </c>
      <c r="H555">
        <v>6</v>
      </c>
      <c r="I555">
        <v>35</v>
      </c>
      <c r="J555">
        <v>1</v>
      </c>
      <c r="K555">
        <v>85</v>
      </c>
      <c r="L555" t="s">
        <v>16</v>
      </c>
    </row>
    <row r="556" spans="1:12" x14ac:dyDescent="0.25">
      <c r="A556" t="s">
        <v>598</v>
      </c>
      <c r="B556" t="s">
        <v>28</v>
      </c>
      <c r="C556" t="s">
        <v>22</v>
      </c>
      <c r="D556">
        <v>32</v>
      </c>
      <c r="E556" t="s">
        <v>15</v>
      </c>
      <c r="F556">
        <v>11</v>
      </c>
      <c r="G556">
        <v>47356</v>
      </c>
      <c r="H556">
        <v>10</v>
      </c>
      <c r="I556">
        <v>41</v>
      </c>
      <c r="J556">
        <v>5</v>
      </c>
      <c r="K556">
        <v>95</v>
      </c>
      <c r="L556" t="s">
        <v>16</v>
      </c>
    </row>
    <row r="557" spans="1:12" x14ac:dyDescent="0.25">
      <c r="A557" t="s">
        <v>599</v>
      </c>
      <c r="B557" t="s">
        <v>34</v>
      </c>
      <c r="C557" t="s">
        <v>22</v>
      </c>
      <c r="D557">
        <v>23</v>
      </c>
      <c r="E557" t="s">
        <v>19</v>
      </c>
      <c r="F557">
        <v>7</v>
      </c>
      <c r="G557">
        <v>54945</v>
      </c>
      <c r="H557">
        <v>3</v>
      </c>
      <c r="I557">
        <v>40</v>
      </c>
      <c r="J557">
        <v>4</v>
      </c>
      <c r="K557">
        <v>90</v>
      </c>
      <c r="L557" t="s">
        <v>37</v>
      </c>
    </row>
    <row r="558" spans="1:12" x14ac:dyDescent="0.25">
      <c r="A558" t="s">
        <v>600</v>
      </c>
      <c r="B558" t="s">
        <v>13</v>
      </c>
      <c r="C558" t="s">
        <v>29</v>
      </c>
      <c r="D558">
        <v>27</v>
      </c>
      <c r="E558" t="s">
        <v>19</v>
      </c>
      <c r="F558">
        <v>5</v>
      </c>
      <c r="G558">
        <v>78796</v>
      </c>
      <c r="H558">
        <v>13</v>
      </c>
      <c r="I558">
        <v>48</v>
      </c>
      <c r="J558">
        <v>2</v>
      </c>
      <c r="K558">
        <v>96</v>
      </c>
      <c r="L558" t="s">
        <v>23</v>
      </c>
    </row>
    <row r="559" spans="1:12" x14ac:dyDescent="0.25">
      <c r="A559" t="s">
        <v>601</v>
      </c>
      <c r="B559" t="s">
        <v>89</v>
      </c>
      <c r="C559" t="s">
        <v>22</v>
      </c>
      <c r="D559">
        <v>28</v>
      </c>
      <c r="E559" t="s">
        <v>19</v>
      </c>
      <c r="F559">
        <v>11</v>
      </c>
      <c r="G559">
        <v>42968</v>
      </c>
      <c r="H559">
        <v>9</v>
      </c>
      <c r="I559">
        <v>43</v>
      </c>
      <c r="J559">
        <v>3</v>
      </c>
      <c r="K559">
        <v>88</v>
      </c>
      <c r="L559" t="s">
        <v>37</v>
      </c>
    </row>
    <row r="560" spans="1:12" x14ac:dyDescent="0.25">
      <c r="A560" t="s">
        <v>602</v>
      </c>
      <c r="B560" t="s">
        <v>94</v>
      </c>
      <c r="C560" t="s">
        <v>29</v>
      </c>
      <c r="D560">
        <v>29</v>
      </c>
      <c r="E560" t="s">
        <v>19</v>
      </c>
      <c r="F560">
        <v>15</v>
      </c>
      <c r="G560">
        <v>69802</v>
      </c>
      <c r="H560">
        <v>6</v>
      </c>
      <c r="I560">
        <v>42</v>
      </c>
      <c r="J560">
        <v>3</v>
      </c>
      <c r="K560">
        <v>91</v>
      </c>
      <c r="L560" t="s">
        <v>23</v>
      </c>
    </row>
    <row r="561" spans="1:12" x14ac:dyDescent="0.25">
      <c r="A561" t="s">
        <v>603</v>
      </c>
      <c r="B561" t="s">
        <v>45</v>
      </c>
      <c r="C561" t="s">
        <v>22</v>
      </c>
      <c r="D561">
        <v>25</v>
      </c>
      <c r="E561" t="s">
        <v>15</v>
      </c>
      <c r="F561">
        <v>7</v>
      </c>
      <c r="G561">
        <v>78916</v>
      </c>
      <c r="H561">
        <v>6</v>
      </c>
      <c r="I561">
        <v>35</v>
      </c>
      <c r="J561">
        <v>2</v>
      </c>
      <c r="K561">
        <v>88</v>
      </c>
      <c r="L561" t="s">
        <v>32</v>
      </c>
    </row>
    <row r="562" spans="1:12" x14ac:dyDescent="0.25">
      <c r="A562" t="s">
        <v>604</v>
      </c>
      <c r="B562" t="s">
        <v>83</v>
      </c>
      <c r="C562" t="s">
        <v>25</v>
      </c>
      <c r="D562">
        <v>33</v>
      </c>
      <c r="E562" t="s">
        <v>15</v>
      </c>
      <c r="F562">
        <v>12</v>
      </c>
      <c r="G562">
        <v>55753</v>
      </c>
      <c r="H562">
        <v>4</v>
      </c>
      <c r="I562">
        <v>42</v>
      </c>
      <c r="J562">
        <v>2</v>
      </c>
      <c r="K562">
        <v>90</v>
      </c>
      <c r="L562" t="s">
        <v>37</v>
      </c>
    </row>
    <row r="563" spans="1:12" x14ac:dyDescent="0.25">
      <c r="A563" t="s">
        <v>605</v>
      </c>
      <c r="B563" t="s">
        <v>40</v>
      </c>
      <c r="C563" t="s">
        <v>29</v>
      </c>
      <c r="D563">
        <v>31</v>
      </c>
      <c r="E563" t="s">
        <v>15</v>
      </c>
      <c r="F563">
        <v>9</v>
      </c>
      <c r="G563">
        <v>43237</v>
      </c>
      <c r="H563">
        <v>3</v>
      </c>
      <c r="I563">
        <v>37</v>
      </c>
      <c r="J563">
        <v>3</v>
      </c>
      <c r="K563">
        <v>88</v>
      </c>
      <c r="L563" t="s">
        <v>37</v>
      </c>
    </row>
    <row r="564" spans="1:12" x14ac:dyDescent="0.25">
      <c r="A564" t="s">
        <v>606</v>
      </c>
      <c r="B564" t="s">
        <v>75</v>
      </c>
      <c r="C564" t="s">
        <v>29</v>
      </c>
      <c r="D564">
        <v>25</v>
      </c>
      <c r="E564" t="s">
        <v>19</v>
      </c>
      <c r="F564">
        <v>9</v>
      </c>
      <c r="G564">
        <v>32025</v>
      </c>
      <c r="H564">
        <v>8</v>
      </c>
      <c r="I564">
        <v>38</v>
      </c>
      <c r="J564">
        <v>5</v>
      </c>
      <c r="K564">
        <v>87</v>
      </c>
      <c r="L564" t="s">
        <v>32</v>
      </c>
    </row>
    <row r="565" spans="1:12" x14ac:dyDescent="0.25">
      <c r="A565" t="s">
        <v>607</v>
      </c>
      <c r="B565" t="s">
        <v>21</v>
      </c>
      <c r="C565" t="s">
        <v>22</v>
      </c>
      <c r="D565">
        <v>34</v>
      </c>
      <c r="E565" t="s">
        <v>19</v>
      </c>
      <c r="F565">
        <v>15</v>
      </c>
      <c r="G565">
        <v>43500</v>
      </c>
      <c r="H565">
        <v>8</v>
      </c>
      <c r="I565">
        <v>49</v>
      </c>
      <c r="J565">
        <v>1</v>
      </c>
      <c r="K565">
        <v>87</v>
      </c>
      <c r="L565" t="s">
        <v>16</v>
      </c>
    </row>
    <row r="566" spans="1:12" x14ac:dyDescent="0.25">
      <c r="A566" t="s">
        <v>608</v>
      </c>
      <c r="B566" t="s">
        <v>83</v>
      </c>
      <c r="C566" t="s">
        <v>22</v>
      </c>
      <c r="D566">
        <v>38</v>
      </c>
      <c r="E566" t="s">
        <v>15</v>
      </c>
      <c r="F566">
        <v>3</v>
      </c>
      <c r="G566">
        <v>51572</v>
      </c>
      <c r="H566">
        <v>6</v>
      </c>
      <c r="I566">
        <v>37</v>
      </c>
      <c r="J566">
        <v>4</v>
      </c>
      <c r="K566">
        <v>99</v>
      </c>
      <c r="L566" t="s">
        <v>32</v>
      </c>
    </row>
    <row r="567" spans="1:12" x14ac:dyDescent="0.25">
      <c r="A567" t="s">
        <v>609</v>
      </c>
      <c r="B567" t="s">
        <v>70</v>
      </c>
      <c r="C567" t="s">
        <v>25</v>
      </c>
      <c r="D567">
        <v>24</v>
      </c>
      <c r="E567" t="s">
        <v>19</v>
      </c>
      <c r="F567">
        <v>6</v>
      </c>
      <c r="G567">
        <v>29327</v>
      </c>
      <c r="H567">
        <v>13</v>
      </c>
      <c r="I567">
        <v>46</v>
      </c>
      <c r="J567">
        <v>5</v>
      </c>
      <c r="K567">
        <v>86</v>
      </c>
      <c r="L567" t="s">
        <v>26</v>
      </c>
    </row>
    <row r="568" spans="1:12" x14ac:dyDescent="0.25">
      <c r="A568" t="s">
        <v>610</v>
      </c>
      <c r="B568" t="s">
        <v>65</v>
      </c>
      <c r="C568" t="s">
        <v>14</v>
      </c>
      <c r="D568">
        <v>28</v>
      </c>
      <c r="E568" t="s">
        <v>15</v>
      </c>
      <c r="F568">
        <v>6</v>
      </c>
      <c r="G568">
        <v>58872</v>
      </c>
      <c r="H568">
        <v>13</v>
      </c>
      <c r="I568">
        <v>37</v>
      </c>
      <c r="J568">
        <v>3</v>
      </c>
      <c r="K568">
        <v>99</v>
      </c>
      <c r="L568" t="s">
        <v>16</v>
      </c>
    </row>
    <row r="569" spans="1:12" x14ac:dyDescent="0.25">
      <c r="A569" t="s">
        <v>611</v>
      </c>
      <c r="B569" t="s">
        <v>65</v>
      </c>
      <c r="C569" t="s">
        <v>14</v>
      </c>
      <c r="D569">
        <v>34</v>
      </c>
      <c r="E569" t="s">
        <v>15</v>
      </c>
      <c r="F569">
        <v>8</v>
      </c>
      <c r="G569">
        <v>32065</v>
      </c>
      <c r="H569">
        <v>11</v>
      </c>
      <c r="I569">
        <v>47</v>
      </c>
      <c r="J569">
        <v>2</v>
      </c>
      <c r="K569">
        <v>99</v>
      </c>
      <c r="L569" t="s">
        <v>23</v>
      </c>
    </row>
    <row r="570" spans="1:12" x14ac:dyDescent="0.25">
      <c r="A570" t="s">
        <v>612</v>
      </c>
      <c r="B570" t="s">
        <v>77</v>
      </c>
      <c r="C570" t="s">
        <v>25</v>
      </c>
      <c r="D570">
        <v>31</v>
      </c>
      <c r="E570" t="s">
        <v>15</v>
      </c>
      <c r="F570">
        <v>4</v>
      </c>
      <c r="G570">
        <v>43779</v>
      </c>
      <c r="H570">
        <v>15</v>
      </c>
      <c r="I570">
        <v>38</v>
      </c>
      <c r="J570">
        <v>1</v>
      </c>
      <c r="K570">
        <v>90</v>
      </c>
      <c r="L570" t="s">
        <v>32</v>
      </c>
    </row>
    <row r="571" spans="1:12" x14ac:dyDescent="0.25">
      <c r="A571" t="s">
        <v>613</v>
      </c>
      <c r="B571" t="s">
        <v>13</v>
      </c>
      <c r="C571" t="s">
        <v>14</v>
      </c>
      <c r="D571">
        <v>29</v>
      </c>
      <c r="E571" t="s">
        <v>15</v>
      </c>
      <c r="F571">
        <v>1</v>
      </c>
      <c r="G571">
        <v>41921</v>
      </c>
      <c r="H571">
        <v>9</v>
      </c>
      <c r="I571">
        <v>35</v>
      </c>
      <c r="J571">
        <v>5</v>
      </c>
      <c r="K571">
        <v>92</v>
      </c>
      <c r="L571" t="s">
        <v>16</v>
      </c>
    </row>
    <row r="572" spans="1:12" x14ac:dyDescent="0.25">
      <c r="A572" t="s">
        <v>614</v>
      </c>
      <c r="B572" t="s">
        <v>77</v>
      </c>
      <c r="C572" t="s">
        <v>29</v>
      </c>
      <c r="D572">
        <v>33</v>
      </c>
      <c r="E572" t="s">
        <v>15</v>
      </c>
      <c r="F572">
        <v>15</v>
      </c>
      <c r="G572">
        <v>52092</v>
      </c>
      <c r="H572">
        <v>12</v>
      </c>
      <c r="I572">
        <v>50</v>
      </c>
      <c r="J572">
        <v>2</v>
      </c>
      <c r="K572">
        <v>90</v>
      </c>
      <c r="L572" t="s">
        <v>51</v>
      </c>
    </row>
    <row r="573" spans="1:12" x14ac:dyDescent="0.25">
      <c r="A573" t="s">
        <v>615</v>
      </c>
      <c r="B573" t="s">
        <v>43</v>
      </c>
      <c r="C573" t="s">
        <v>22</v>
      </c>
      <c r="D573">
        <v>38</v>
      </c>
      <c r="E573" t="s">
        <v>19</v>
      </c>
      <c r="F573">
        <v>3</v>
      </c>
      <c r="G573">
        <v>34896</v>
      </c>
      <c r="H573">
        <v>5</v>
      </c>
      <c r="I573">
        <v>36</v>
      </c>
      <c r="J573">
        <v>1</v>
      </c>
      <c r="K573">
        <v>100</v>
      </c>
      <c r="L573" t="s">
        <v>32</v>
      </c>
    </row>
    <row r="574" spans="1:12" x14ac:dyDescent="0.25">
      <c r="A574" t="s">
        <v>616</v>
      </c>
      <c r="B574" t="s">
        <v>70</v>
      </c>
      <c r="C574" t="s">
        <v>14</v>
      </c>
      <c r="D574">
        <v>26</v>
      </c>
      <c r="E574" t="s">
        <v>15</v>
      </c>
      <c r="F574">
        <v>6</v>
      </c>
      <c r="G574">
        <v>46183</v>
      </c>
      <c r="H574">
        <v>9</v>
      </c>
      <c r="I574">
        <v>35</v>
      </c>
      <c r="J574">
        <v>3</v>
      </c>
      <c r="K574">
        <v>85</v>
      </c>
      <c r="L574" t="s">
        <v>32</v>
      </c>
    </row>
    <row r="575" spans="1:12" x14ac:dyDescent="0.25">
      <c r="A575" t="s">
        <v>617</v>
      </c>
      <c r="B575" t="s">
        <v>43</v>
      </c>
      <c r="C575" t="s">
        <v>29</v>
      </c>
      <c r="D575">
        <v>31</v>
      </c>
      <c r="E575" t="s">
        <v>15</v>
      </c>
      <c r="F575">
        <v>7</v>
      </c>
      <c r="G575">
        <v>55410</v>
      </c>
      <c r="H575">
        <v>3</v>
      </c>
      <c r="I575">
        <v>37</v>
      </c>
      <c r="J575">
        <v>1</v>
      </c>
      <c r="K575">
        <v>98</v>
      </c>
      <c r="L575" t="s">
        <v>26</v>
      </c>
    </row>
    <row r="576" spans="1:12" x14ac:dyDescent="0.25">
      <c r="A576" t="s">
        <v>618</v>
      </c>
      <c r="B576" t="s">
        <v>18</v>
      </c>
      <c r="C576" t="s">
        <v>25</v>
      </c>
      <c r="D576">
        <v>26</v>
      </c>
      <c r="E576" t="s">
        <v>19</v>
      </c>
      <c r="F576">
        <v>3</v>
      </c>
      <c r="G576">
        <v>58756</v>
      </c>
      <c r="H576">
        <v>3</v>
      </c>
      <c r="I576">
        <v>50</v>
      </c>
      <c r="J576">
        <v>1</v>
      </c>
      <c r="K576">
        <v>93</v>
      </c>
      <c r="L576" t="s">
        <v>16</v>
      </c>
    </row>
    <row r="577" spans="1:12" x14ac:dyDescent="0.25">
      <c r="A577" t="s">
        <v>619</v>
      </c>
      <c r="B577" t="s">
        <v>65</v>
      </c>
      <c r="C577" t="s">
        <v>25</v>
      </c>
      <c r="D577">
        <v>25</v>
      </c>
      <c r="E577" t="s">
        <v>19</v>
      </c>
      <c r="F577">
        <v>6</v>
      </c>
      <c r="G577">
        <v>49455</v>
      </c>
      <c r="H577">
        <v>11</v>
      </c>
      <c r="I577">
        <v>46</v>
      </c>
      <c r="J577">
        <v>5</v>
      </c>
      <c r="K577">
        <v>94</v>
      </c>
      <c r="L577" t="s">
        <v>26</v>
      </c>
    </row>
    <row r="578" spans="1:12" x14ac:dyDescent="0.25">
      <c r="A578" t="s">
        <v>620</v>
      </c>
      <c r="B578" t="s">
        <v>13</v>
      </c>
      <c r="C578" t="s">
        <v>29</v>
      </c>
      <c r="D578">
        <v>36</v>
      </c>
      <c r="E578" t="s">
        <v>15</v>
      </c>
      <c r="F578">
        <v>7</v>
      </c>
      <c r="G578">
        <v>76702</v>
      </c>
      <c r="H578">
        <v>9</v>
      </c>
      <c r="I578">
        <v>50</v>
      </c>
      <c r="J578">
        <v>4</v>
      </c>
      <c r="K578">
        <v>88</v>
      </c>
      <c r="L578" t="s">
        <v>16</v>
      </c>
    </row>
    <row r="579" spans="1:12" x14ac:dyDescent="0.25">
      <c r="A579" t="s">
        <v>621</v>
      </c>
      <c r="B579" t="s">
        <v>40</v>
      </c>
      <c r="C579" t="s">
        <v>29</v>
      </c>
      <c r="D579">
        <v>40</v>
      </c>
      <c r="E579" t="s">
        <v>19</v>
      </c>
      <c r="F579">
        <v>3</v>
      </c>
      <c r="G579">
        <v>46506</v>
      </c>
      <c r="H579">
        <v>6</v>
      </c>
      <c r="I579">
        <v>38</v>
      </c>
      <c r="J579">
        <v>1</v>
      </c>
      <c r="K579">
        <v>100</v>
      </c>
      <c r="L579" t="s">
        <v>16</v>
      </c>
    </row>
    <row r="580" spans="1:12" x14ac:dyDescent="0.25">
      <c r="A580" t="s">
        <v>622</v>
      </c>
      <c r="B580" t="s">
        <v>34</v>
      </c>
      <c r="C580" t="s">
        <v>22</v>
      </c>
      <c r="D580">
        <v>26</v>
      </c>
      <c r="E580" t="s">
        <v>19</v>
      </c>
      <c r="F580">
        <v>5</v>
      </c>
      <c r="G580">
        <v>40797</v>
      </c>
      <c r="H580">
        <v>7</v>
      </c>
      <c r="I580">
        <v>35</v>
      </c>
      <c r="J580">
        <v>3</v>
      </c>
      <c r="K580">
        <v>85</v>
      </c>
      <c r="L580" t="s">
        <v>26</v>
      </c>
    </row>
    <row r="581" spans="1:12" x14ac:dyDescent="0.25">
      <c r="A581" t="s">
        <v>623</v>
      </c>
      <c r="B581" t="s">
        <v>77</v>
      </c>
      <c r="C581" t="s">
        <v>22</v>
      </c>
      <c r="D581">
        <v>26</v>
      </c>
      <c r="E581" t="s">
        <v>19</v>
      </c>
      <c r="F581">
        <v>7</v>
      </c>
      <c r="G581">
        <v>68341</v>
      </c>
      <c r="H581">
        <v>6</v>
      </c>
      <c r="I581">
        <v>39</v>
      </c>
      <c r="J581">
        <v>5</v>
      </c>
      <c r="K581">
        <v>99</v>
      </c>
      <c r="L581" t="s">
        <v>32</v>
      </c>
    </row>
    <row r="582" spans="1:12" x14ac:dyDescent="0.25">
      <c r="A582" t="s">
        <v>624</v>
      </c>
      <c r="B582" t="s">
        <v>70</v>
      </c>
      <c r="C582" t="s">
        <v>29</v>
      </c>
      <c r="D582">
        <v>36</v>
      </c>
      <c r="E582" t="s">
        <v>15</v>
      </c>
      <c r="F582">
        <v>8</v>
      </c>
      <c r="G582">
        <v>57510</v>
      </c>
      <c r="H582">
        <v>8</v>
      </c>
      <c r="I582">
        <v>40</v>
      </c>
      <c r="J582">
        <v>4</v>
      </c>
      <c r="K582">
        <v>97</v>
      </c>
      <c r="L582" t="s">
        <v>37</v>
      </c>
    </row>
    <row r="583" spans="1:12" x14ac:dyDescent="0.25">
      <c r="A583" t="s">
        <v>625</v>
      </c>
      <c r="B583" t="s">
        <v>63</v>
      </c>
      <c r="C583" t="s">
        <v>22</v>
      </c>
      <c r="D583">
        <v>24</v>
      </c>
      <c r="E583" t="s">
        <v>15</v>
      </c>
      <c r="F583">
        <v>14</v>
      </c>
      <c r="G583">
        <v>44890</v>
      </c>
      <c r="H583">
        <v>8</v>
      </c>
      <c r="I583">
        <v>47</v>
      </c>
      <c r="J583">
        <v>3</v>
      </c>
      <c r="K583">
        <v>93</v>
      </c>
      <c r="L583" t="s">
        <v>26</v>
      </c>
    </row>
    <row r="584" spans="1:12" x14ac:dyDescent="0.25">
      <c r="A584" t="s">
        <v>626</v>
      </c>
      <c r="B584" t="s">
        <v>18</v>
      </c>
      <c r="C584" t="s">
        <v>22</v>
      </c>
      <c r="D584">
        <v>29</v>
      </c>
      <c r="E584" t="s">
        <v>15</v>
      </c>
      <c r="F584">
        <v>7</v>
      </c>
      <c r="G584">
        <v>66985</v>
      </c>
      <c r="H584">
        <v>3</v>
      </c>
      <c r="I584">
        <v>48</v>
      </c>
      <c r="J584">
        <v>1</v>
      </c>
      <c r="K584">
        <v>93</v>
      </c>
      <c r="L584" t="s">
        <v>37</v>
      </c>
    </row>
    <row r="585" spans="1:12" x14ac:dyDescent="0.25">
      <c r="A585" t="s">
        <v>627</v>
      </c>
      <c r="B585" t="s">
        <v>75</v>
      </c>
      <c r="C585" t="s">
        <v>22</v>
      </c>
      <c r="D585">
        <v>32</v>
      </c>
      <c r="E585" t="s">
        <v>19</v>
      </c>
      <c r="F585">
        <v>2</v>
      </c>
      <c r="G585">
        <v>74105</v>
      </c>
      <c r="H585">
        <v>12</v>
      </c>
      <c r="I585">
        <v>45</v>
      </c>
      <c r="J585">
        <v>2</v>
      </c>
      <c r="K585">
        <v>97</v>
      </c>
      <c r="L585" t="s">
        <v>23</v>
      </c>
    </row>
    <row r="586" spans="1:12" x14ac:dyDescent="0.25">
      <c r="A586" t="s">
        <v>628</v>
      </c>
      <c r="B586" t="s">
        <v>18</v>
      </c>
      <c r="C586" t="s">
        <v>29</v>
      </c>
      <c r="D586">
        <v>29</v>
      </c>
      <c r="E586" t="s">
        <v>15</v>
      </c>
      <c r="F586">
        <v>4</v>
      </c>
      <c r="G586">
        <v>43096</v>
      </c>
      <c r="H586">
        <v>10</v>
      </c>
      <c r="I586">
        <v>37</v>
      </c>
      <c r="J586">
        <v>5</v>
      </c>
      <c r="K586">
        <v>90</v>
      </c>
      <c r="L586" t="s">
        <v>26</v>
      </c>
    </row>
    <row r="587" spans="1:12" x14ac:dyDescent="0.25">
      <c r="A587" t="s">
        <v>629</v>
      </c>
      <c r="B587" t="s">
        <v>31</v>
      </c>
      <c r="C587" t="s">
        <v>22</v>
      </c>
      <c r="D587">
        <v>25</v>
      </c>
      <c r="E587" t="s">
        <v>15</v>
      </c>
      <c r="F587">
        <v>5</v>
      </c>
      <c r="G587">
        <v>33579</v>
      </c>
      <c r="H587">
        <v>10</v>
      </c>
      <c r="I587">
        <v>36</v>
      </c>
      <c r="J587">
        <v>5</v>
      </c>
      <c r="K587">
        <v>91</v>
      </c>
      <c r="L587" t="s">
        <v>37</v>
      </c>
    </row>
    <row r="588" spans="1:12" x14ac:dyDescent="0.25">
      <c r="A588" t="s">
        <v>630</v>
      </c>
      <c r="B588" t="s">
        <v>89</v>
      </c>
      <c r="C588" t="s">
        <v>14</v>
      </c>
      <c r="D588">
        <v>36</v>
      </c>
      <c r="E588" t="s">
        <v>19</v>
      </c>
      <c r="F588">
        <v>9</v>
      </c>
      <c r="G588">
        <v>59729</v>
      </c>
      <c r="H588">
        <v>3</v>
      </c>
      <c r="I588">
        <v>41</v>
      </c>
      <c r="J588">
        <v>3</v>
      </c>
      <c r="K588">
        <v>86</v>
      </c>
      <c r="L588" t="s">
        <v>32</v>
      </c>
    </row>
    <row r="589" spans="1:12" x14ac:dyDescent="0.25">
      <c r="A589" t="s">
        <v>631</v>
      </c>
      <c r="B589" t="s">
        <v>36</v>
      </c>
      <c r="C589" t="s">
        <v>25</v>
      </c>
      <c r="D589">
        <v>35</v>
      </c>
      <c r="E589" t="s">
        <v>15</v>
      </c>
      <c r="F589">
        <v>13</v>
      </c>
      <c r="G589">
        <v>29834</v>
      </c>
      <c r="H589">
        <v>4</v>
      </c>
      <c r="I589">
        <v>50</v>
      </c>
      <c r="J589">
        <v>4</v>
      </c>
      <c r="K589">
        <v>100</v>
      </c>
      <c r="L589" t="s">
        <v>32</v>
      </c>
    </row>
    <row r="590" spans="1:12" x14ac:dyDescent="0.25">
      <c r="A590" t="s">
        <v>632</v>
      </c>
      <c r="B590" t="s">
        <v>53</v>
      </c>
      <c r="C590" t="s">
        <v>22</v>
      </c>
      <c r="D590">
        <v>35</v>
      </c>
      <c r="E590" t="s">
        <v>19</v>
      </c>
      <c r="F590">
        <v>4</v>
      </c>
      <c r="G590">
        <v>51421</v>
      </c>
      <c r="H590">
        <v>10</v>
      </c>
      <c r="I590">
        <v>37</v>
      </c>
      <c r="J590">
        <v>3</v>
      </c>
      <c r="K590">
        <v>96</v>
      </c>
      <c r="L590" t="s">
        <v>37</v>
      </c>
    </row>
    <row r="591" spans="1:12" x14ac:dyDescent="0.25">
      <c r="A591" t="s">
        <v>633</v>
      </c>
      <c r="B591" t="s">
        <v>70</v>
      </c>
      <c r="C591" t="s">
        <v>25</v>
      </c>
      <c r="D591">
        <v>31</v>
      </c>
      <c r="E591" t="s">
        <v>19</v>
      </c>
      <c r="F591">
        <v>9</v>
      </c>
      <c r="G591">
        <v>46518</v>
      </c>
      <c r="H591">
        <v>4</v>
      </c>
      <c r="I591">
        <v>47</v>
      </c>
      <c r="J591">
        <v>3</v>
      </c>
      <c r="K591">
        <v>88</v>
      </c>
      <c r="L591" t="s">
        <v>37</v>
      </c>
    </row>
    <row r="592" spans="1:12" x14ac:dyDescent="0.25">
      <c r="A592" t="s">
        <v>634</v>
      </c>
      <c r="B592" t="s">
        <v>70</v>
      </c>
      <c r="C592" t="s">
        <v>14</v>
      </c>
      <c r="D592">
        <v>32</v>
      </c>
      <c r="E592" t="s">
        <v>19</v>
      </c>
      <c r="F592">
        <v>13</v>
      </c>
      <c r="G592">
        <v>27399</v>
      </c>
      <c r="H592">
        <v>6</v>
      </c>
      <c r="I592">
        <v>50</v>
      </c>
      <c r="J592">
        <v>1</v>
      </c>
      <c r="K592">
        <v>91</v>
      </c>
      <c r="L592" t="s">
        <v>32</v>
      </c>
    </row>
    <row r="593" spans="1:12" x14ac:dyDescent="0.25">
      <c r="A593" t="s">
        <v>635</v>
      </c>
      <c r="B593" t="s">
        <v>89</v>
      </c>
      <c r="C593" t="s">
        <v>14</v>
      </c>
      <c r="D593">
        <v>37</v>
      </c>
      <c r="E593" t="s">
        <v>15</v>
      </c>
      <c r="F593">
        <v>1</v>
      </c>
      <c r="G593">
        <v>47113</v>
      </c>
      <c r="H593">
        <v>4</v>
      </c>
      <c r="I593">
        <v>47</v>
      </c>
      <c r="J593">
        <v>2</v>
      </c>
      <c r="K593">
        <v>99</v>
      </c>
      <c r="L593" t="s">
        <v>37</v>
      </c>
    </row>
    <row r="594" spans="1:12" x14ac:dyDescent="0.25">
      <c r="A594" t="s">
        <v>636</v>
      </c>
      <c r="B594" t="s">
        <v>53</v>
      </c>
      <c r="C594" t="s">
        <v>22</v>
      </c>
      <c r="D594">
        <v>31</v>
      </c>
      <c r="E594" t="s">
        <v>19</v>
      </c>
      <c r="F594">
        <v>7</v>
      </c>
      <c r="G594">
        <v>37458</v>
      </c>
      <c r="H594">
        <v>13</v>
      </c>
      <c r="I594">
        <v>42</v>
      </c>
      <c r="J594">
        <v>2</v>
      </c>
      <c r="K594">
        <v>99</v>
      </c>
      <c r="L594" t="s">
        <v>37</v>
      </c>
    </row>
    <row r="595" spans="1:12" x14ac:dyDescent="0.25">
      <c r="A595" t="s">
        <v>637</v>
      </c>
      <c r="B595" t="s">
        <v>18</v>
      </c>
      <c r="C595" t="s">
        <v>29</v>
      </c>
      <c r="D595">
        <v>31</v>
      </c>
      <c r="E595" t="s">
        <v>19</v>
      </c>
      <c r="F595">
        <v>4</v>
      </c>
      <c r="G595">
        <v>49119</v>
      </c>
      <c r="H595">
        <v>11</v>
      </c>
      <c r="I595">
        <v>39</v>
      </c>
      <c r="J595">
        <v>2</v>
      </c>
      <c r="K595">
        <v>90</v>
      </c>
      <c r="L595" t="s">
        <v>26</v>
      </c>
    </row>
    <row r="596" spans="1:12" x14ac:dyDescent="0.25">
      <c r="A596" t="s">
        <v>638</v>
      </c>
      <c r="B596" t="s">
        <v>83</v>
      </c>
      <c r="C596" t="s">
        <v>25</v>
      </c>
      <c r="D596">
        <v>29</v>
      </c>
      <c r="E596" t="s">
        <v>19</v>
      </c>
      <c r="F596">
        <v>3</v>
      </c>
      <c r="G596">
        <v>27788</v>
      </c>
      <c r="H596">
        <v>12</v>
      </c>
      <c r="I596">
        <v>41</v>
      </c>
      <c r="J596">
        <v>3</v>
      </c>
      <c r="K596">
        <v>88</v>
      </c>
      <c r="L596" t="s">
        <v>16</v>
      </c>
    </row>
    <row r="597" spans="1:12" x14ac:dyDescent="0.25">
      <c r="A597" t="s">
        <v>639</v>
      </c>
      <c r="B597" t="s">
        <v>34</v>
      </c>
      <c r="C597" t="s">
        <v>14</v>
      </c>
      <c r="D597">
        <v>22</v>
      </c>
      <c r="E597" t="s">
        <v>19</v>
      </c>
      <c r="F597">
        <v>5</v>
      </c>
      <c r="G597">
        <v>27252</v>
      </c>
      <c r="H597">
        <v>10</v>
      </c>
      <c r="I597">
        <v>45</v>
      </c>
      <c r="J597">
        <v>5</v>
      </c>
      <c r="K597">
        <v>94</v>
      </c>
      <c r="L597" t="s">
        <v>32</v>
      </c>
    </row>
    <row r="598" spans="1:12" x14ac:dyDescent="0.25">
      <c r="A598" t="s">
        <v>640</v>
      </c>
      <c r="B598" t="s">
        <v>36</v>
      </c>
      <c r="C598" t="s">
        <v>29</v>
      </c>
      <c r="D598">
        <v>35</v>
      </c>
      <c r="E598" t="s">
        <v>15</v>
      </c>
      <c r="F598">
        <v>8</v>
      </c>
      <c r="G598">
        <v>25114</v>
      </c>
      <c r="H598">
        <v>5</v>
      </c>
      <c r="I598">
        <v>38</v>
      </c>
      <c r="J598">
        <v>4</v>
      </c>
      <c r="K598">
        <v>88</v>
      </c>
      <c r="L598" t="s">
        <v>32</v>
      </c>
    </row>
    <row r="599" spans="1:12" x14ac:dyDescent="0.25">
      <c r="A599" t="s">
        <v>641</v>
      </c>
      <c r="B599" t="s">
        <v>83</v>
      </c>
      <c r="C599" t="s">
        <v>14</v>
      </c>
      <c r="D599">
        <v>23</v>
      </c>
      <c r="E599" t="s">
        <v>19</v>
      </c>
      <c r="F599">
        <v>12</v>
      </c>
      <c r="G599">
        <v>75326</v>
      </c>
      <c r="H599">
        <v>6</v>
      </c>
      <c r="I599">
        <v>37</v>
      </c>
      <c r="J599">
        <v>5</v>
      </c>
      <c r="K599">
        <v>90</v>
      </c>
      <c r="L599" t="s">
        <v>37</v>
      </c>
    </row>
    <row r="600" spans="1:12" x14ac:dyDescent="0.25">
      <c r="A600" t="s">
        <v>642</v>
      </c>
      <c r="B600" t="s">
        <v>53</v>
      </c>
      <c r="C600" t="s">
        <v>29</v>
      </c>
      <c r="D600">
        <v>30</v>
      </c>
      <c r="E600" t="s">
        <v>19</v>
      </c>
      <c r="F600">
        <v>1</v>
      </c>
      <c r="G600">
        <v>28491</v>
      </c>
      <c r="H600">
        <v>10</v>
      </c>
      <c r="I600">
        <v>36</v>
      </c>
      <c r="J600">
        <v>1</v>
      </c>
      <c r="K600">
        <v>86</v>
      </c>
      <c r="L600" t="s">
        <v>37</v>
      </c>
    </row>
    <row r="601" spans="1:12" x14ac:dyDescent="0.25">
      <c r="A601" t="s">
        <v>643</v>
      </c>
      <c r="B601" t="s">
        <v>36</v>
      </c>
      <c r="C601" t="s">
        <v>14</v>
      </c>
      <c r="D601">
        <v>39</v>
      </c>
      <c r="E601" t="s">
        <v>15</v>
      </c>
      <c r="F601">
        <v>9</v>
      </c>
      <c r="G601">
        <v>55784</v>
      </c>
      <c r="H601">
        <v>13</v>
      </c>
      <c r="I601">
        <v>49</v>
      </c>
      <c r="J601">
        <v>5</v>
      </c>
      <c r="K601">
        <v>85</v>
      </c>
      <c r="L601" t="s">
        <v>26</v>
      </c>
    </row>
    <row r="602" spans="1:12" x14ac:dyDescent="0.25">
      <c r="A602" t="s">
        <v>644</v>
      </c>
      <c r="B602" t="s">
        <v>94</v>
      </c>
      <c r="C602" t="s">
        <v>22</v>
      </c>
      <c r="D602">
        <v>36</v>
      </c>
      <c r="E602" t="s">
        <v>19</v>
      </c>
      <c r="F602">
        <v>1</v>
      </c>
      <c r="G602">
        <v>75488</v>
      </c>
      <c r="H602">
        <v>8</v>
      </c>
      <c r="I602">
        <v>40</v>
      </c>
      <c r="J602">
        <v>3</v>
      </c>
      <c r="K602">
        <v>87</v>
      </c>
      <c r="L602" t="s">
        <v>32</v>
      </c>
    </row>
    <row r="603" spans="1:12" x14ac:dyDescent="0.25">
      <c r="A603" t="s">
        <v>645</v>
      </c>
      <c r="B603" t="s">
        <v>65</v>
      </c>
      <c r="C603" t="s">
        <v>25</v>
      </c>
      <c r="D603">
        <v>40</v>
      </c>
      <c r="E603" t="s">
        <v>19</v>
      </c>
      <c r="F603">
        <v>7</v>
      </c>
      <c r="G603">
        <v>70483</v>
      </c>
      <c r="H603">
        <v>14</v>
      </c>
      <c r="I603">
        <v>43</v>
      </c>
      <c r="J603">
        <v>2</v>
      </c>
      <c r="K603">
        <v>88</v>
      </c>
      <c r="L603" t="s">
        <v>26</v>
      </c>
    </row>
    <row r="604" spans="1:12" x14ac:dyDescent="0.25">
      <c r="A604" t="s">
        <v>646</v>
      </c>
      <c r="B604" t="s">
        <v>43</v>
      </c>
      <c r="C604" t="s">
        <v>25</v>
      </c>
      <c r="D604">
        <v>31</v>
      </c>
      <c r="E604" t="s">
        <v>15</v>
      </c>
      <c r="F604">
        <v>6</v>
      </c>
      <c r="G604">
        <v>29190</v>
      </c>
      <c r="H604">
        <v>12</v>
      </c>
      <c r="I604">
        <v>38</v>
      </c>
      <c r="J604">
        <v>4</v>
      </c>
      <c r="K604">
        <v>88</v>
      </c>
      <c r="L604" t="s">
        <v>32</v>
      </c>
    </row>
    <row r="605" spans="1:12" x14ac:dyDescent="0.25">
      <c r="A605" t="s">
        <v>647</v>
      </c>
      <c r="B605" t="s">
        <v>81</v>
      </c>
      <c r="C605" t="s">
        <v>25</v>
      </c>
      <c r="D605">
        <v>32</v>
      </c>
      <c r="E605" t="s">
        <v>15</v>
      </c>
      <c r="F605">
        <v>14</v>
      </c>
      <c r="G605">
        <v>67574</v>
      </c>
      <c r="H605">
        <v>5</v>
      </c>
      <c r="I605">
        <v>44</v>
      </c>
      <c r="J605">
        <v>2</v>
      </c>
      <c r="K605">
        <v>99</v>
      </c>
      <c r="L605" t="s">
        <v>26</v>
      </c>
    </row>
    <row r="606" spans="1:12" x14ac:dyDescent="0.25">
      <c r="A606" t="s">
        <v>648</v>
      </c>
      <c r="B606" t="s">
        <v>81</v>
      </c>
      <c r="C606" t="s">
        <v>29</v>
      </c>
      <c r="D606">
        <v>28</v>
      </c>
      <c r="E606" t="s">
        <v>15</v>
      </c>
      <c r="F606">
        <v>10</v>
      </c>
      <c r="G606">
        <v>69634</v>
      </c>
      <c r="H606">
        <v>15</v>
      </c>
      <c r="I606">
        <v>49</v>
      </c>
      <c r="J606">
        <v>2</v>
      </c>
      <c r="K606">
        <v>99</v>
      </c>
      <c r="L606" t="s">
        <v>51</v>
      </c>
    </row>
    <row r="607" spans="1:12" x14ac:dyDescent="0.25">
      <c r="A607" t="s">
        <v>649</v>
      </c>
      <c r="B607" t="s">
        <v>63</v>
      </c>
      <c r="C607" t="s">
        <v>25</v>
      </c>
      <c r="D607">
        <v>28</v>
      </c>
      <c r="E607" t="s">
        <v>19</v>
      </c>
      <c r="F607">
        <v>13</v>
      </c>
      <c r="G607">
        <v>79263</v>
      </c>
      <c r="H607">
        <v>10</v>
      </c>
      <c r="I607">
        <v>46</v>
      </c>
      <c r="J607">
        <v>4</v>
      </c>
      <c r="K607">
        <v>87</v>
      </c>
      <c r="L607" t="s">
        <v>23</v>
      </c>
    </row>
    <row r="608" spans="1:12" x14ac:dyDescent="0.25">
      <c r="A608" t="s">
        <v>650</v>
      </c>
      <c r="B608" t="s">
        <v>77</v>
      </c>
      <c r="C608" t="s">
        <v>29</v>
      </c>
      <c r="D608">
        <v>33</v>
      </c>
      <c r="E608" t="s">
        <v>19</v>
      </c>
      <c r="F608">
        <v>8</v>
      </c>
      <c r="G608">
        <v>30040</v>
      </c>
      <c r="H608">
        <v>11</v>
      </c>
      <c r="I608">
        <v>39</v>
      </c>
      <c r="J608">
        <v>4</v>
      </c>
      <c r="K608">
        <v>100</v>
      </c>
      <c r="L608" t="s">
        <v>51</v>
      </c>
    </row>
    <row r="609" spans="1:12" x14ac:dyDescent="0.25">
      <c r="A609" t="s">
        <v>651</v>
      </c>
      <c r="B609" t="s">
        <v>28</v>
      </c>
      <c r="C609" t="s">
        <v>29</v>
      </c>
      <c r="D609">
        <v>26</v>
      </c>
      <c r="E609" t="s">
        <v>19</v>
      </c>
      <c r="F609">
        <v>8</v>
      </c>
      <c r="G609">
        <v>45247</v>
      </c>
      <c r="H609">
        <v>15</v>
      </c>
      <c r="I609">
        <v>35</v>
      </c>
      <c r="J609">
        <v>1</v>
      </c>
      <c r="K609">
        <v>90</v>
      </c>
      <c r="L609" t="s">
        <v>23</v>
      </c>
    </row>
    <row r="610" spans="1:12" x14ac:dyDescent="0.25">
      <c r="A610" t="s">
        <v>652</v>
      </c>
      <c r="B610" t="s">
        <v>13</v>
      </c>
      <c r="C610" t="s">
        <v>25</v>
      </c>
      <c r="D610">
        <v>36</v>
      </c>
      <c r="E610" t="s">
        <v>15</v>
      </c>
      <c r="F610">
        <v>11</v>
      </c>
      <c r="G610">
        <v>61878</v>
      </c>
      <c r="H610">
        <v>9</v>
      </c>
      <c r="I610">
        <v>42</v>
      </c>
      <c r="J610">
        <v>1</v>
      </c>
      <c r="K610">
        <v>97</v>
      </c>
      <c r="L610" t="s">
        <v>37</v>
      </c>
    </row>
    <row r="611" spans="1:12" x14ac:dyDescent="0.25">
      <c r="A611" t="s">
        <v>653</v>
      </c>
      <c r="B611" t="s">
        <v>43</v>
      </c>
      <c r="C611" t="s">
        <v>14</v>
      </c>
      <c r="D611">
        <v>32</v>
      </c>
      <c r="E611" t="s">
        <v>19</v>
      </c>
      <c r="F611">
        <v>7</v>
      </c>
      <c r="G611">
        <v>53244</v>
      </c>
      <c r="H611">
        <v>9</v>
      </c>
      <c r="I611">
        <v>37</v>
      </c>
      <c r="J611">
        <v>3</v>
      </c>
      <c r="K611">
        <v>88</v>
      </c>
      <c r="L611" t="s">
        <v>32</v>
      </c>
    </row>
    <row r="612" spans="1:12" x14ac:dyDescent="0.25">
      <c r="A612" t="s">
        <v>654</v>
      </c>
      <c r="B612" t="s">
        <v>28</v>
      </c>
      <c r="C612" t="s">
        <v>29</v>
      </c>
      <c r="D612">
        <v>37</v>
      </c>
      <c r="E612" t="s">
        <v>15</v>
      </c>
      <c r="F612">
        <v>14</v>
      </c>
      <c r="G612">
        <v>52763</v>
      </c>
      <c r="H612">
        <v>4</v>
      </c>
      <c r="I612">
        <v>49</v>
      </c>
      <c r="J612">
        <v>1</v>
      </c>
      <c r="K612">
        <v>94</v>
      </c>
      <c r="L612" t="s">
        <v>26</v>
      </c>
    </row>
    <row r="613" spans="1:12" x14ac:dyDescent="0.25">
      <c r="A613" t="s">
        <v>655</v>
      </c>
      <c r="B613" t="s">
        <v>77</v>
      </c>
      <c r="C613" t="s">
        <v>29</v>
      </c>
      <c r="D613">
        <v>34</v>
      </c>
      <c r="E613" t="s">
        <v>19</v>
      </c>
      <c r="F613">
        <v>15</v>
      </c>
      <c r="G613">
        <v>43880</v>
      </c>
      <c r="H613">
        <v>3</v>
      </c>
      <c r="I613">
        <v>43</v>
      </c>
      <c r="J613">
        <v>4</v>
      </c>
      <c r="K613">
        <v>97</v>
      </c>
      <c r="L613" t="s">
        <v>51</v>
      </c>
    </row>
    <row r="614" spans="1:12" x14ac:dyDescent="0.25">
      <c r="A614" t="s">
        <v>656</v>
      </c>
      <c r="B614" t="s">
        <v>21</v>
      </c>
      <c r="C614" t="s">
        <v>25</v>
      </c>
      <c r="D614">
        <v>25</v>
      </c>
      <c r="E614" t="s">
        <v>15</v>
      </c>
      <c r="F614">
        <v>5</v>
      </c>
      <c r="G614">
        <v>38025</v>
      </c>
      <c r="H614">
        <v>12</v>
      </c>
      <c r="I614">
        <v>41</v>
      </c>
      <c r="J614">
        <v>2</v>
      </c>
      <c r="K614">
        <v>86</v>
      </c>
      <c r="L614" t="s">
        <v>51</v>
      </c>
    </row>
    <row r="615" spans="1:12" x14ac:dyDescent="0.25">
      <c r="A615" t="s">
        <v>657</v>
      </c>
      <c r="B615" t="s">
        <v>75</v>
      </c>
      <c r="C615" t="s">
        <v>25</v>
      </c>
      <c r="D615">
        <v>35</v>
      </c>
      <c r="E615" t="s">
        <v>15</v>
      </c>
      <c r="F615">
        <v>10</v>
      </c>
      <c r="G615">
        <v>52130</v>
      </c>
      <c r="H615">
        <v>9</v>
      </c>
      <c r="I615">
        <v>40</v>
      </c>
      <c r="J615">
        <v>1</v>
      </c>
      <c r="K615">
        <v>94</v>
      </c>
      <c r="L615" t="s">
        <v>37</v>
      </c>
    </row>
    <row r="616" spans="1:12" x14ac:dyDescent="0.25">
      <c r="A616" t="s">
        <v>658</v>
      </c>
      <c r="B616" t="s">
        <v>83</v>
      </c>
      <c r="C616" t="s">
        <v>25</v>
      </c>
      <c r="D616">
        <v>34</v>
      </c>
      <c r="E616" t="s">
        <v>15</v>
      </c>
      <c r="F616">
        <v>9</v>
      </c>
      <c r="G616">
        <v>47386</v>
      </c>
      <c r="H616">
        <v>3</v>
      </c>
      <c r="I616">
        <v>37</v>
      </c>
      <c r="J616">
        <v>4</v>
      </c>
      <c r="K616">
        <v>86</v>
      </c>
      <c r="L616" t="s">
        <v>51</v>
      </c>
    </row>
    <row r="617" spans="1:12" x14ac:dyDescent="0.25">
      <c r="A617" t="s">
        <v>659</v>
      </c>
      <c r="B617" t="s">
        <v>43</v>
      </c>
      <c r="C617" t="s">
        <v>29</v>
      </c>
      <c r="D617">
        <v>32</v>
      </c>
      <c r="E617" t="s">
        <v>19</v>
      </c>
      <c r="F617">
        <v>8</v>
      </c>
      <c r="G617">
        <v>65732</v>
      </c>
      <c r="H617">
        <v>6</v>
      </c>
      <c r="I617">
        <v>38</v>
      </c>
      <c r="J617">
        <v>3</v>
      </c>
      <c r="K617">
        <v>91</v>
      </c>
      <c r="L617" t="s">
        <v>16</v>
      </c>
    </row>
    <row r="618" spans="1:12" x14ac:dyDescent="0.25">
      <c r="A618" t="s">
        <v>660</v>
      </c>
      <c r="B618" t="s">
        <v>63</v>
      </c>
      <c r="C618" t="s">
        <v>22</v>
      </c>
      <c r="D618">
        <v>37</v>
      </c>
      <c r="E618" t="s">
        <v>15</v>
      </c>
      <c r="F618">
        <v>11</v>
      </c>
      <c r="G618">
        <v>43197</v>
      </c>
      <c r="H618">
        <v>14</v>
      </c>
      <c r="I618">
        <v>39</v>
      </c>
      <c r="J618">
        <v>2</v>
      </c>
      <c r="K618">
        <v>91</v>
      </c>
      <c r="L618" t="s">
        <v>51</v>
      </c>
    </row>
    <row r="619" spans="1:12" x14ac:dyDescent="0.25">
      <c r="A619" t="s">
        <v>661</v>
      </c>
      <c r="B619" t="s">
        <v>83</v>
      </c>
      <c r="C619" t="s">
        <v>22</v>
      </c>
      <c r="D619">
        <v>31</v>
      </c>
      <c r="E619" t="s">
        <v>19</v>
      </c>
      <c r="F619">
        <v>9</v>
      </c>
      <c r="G619">
        <v>60967</v>
      </c>
      <c r="H619">
        <v>9</v>
      </c>
      <c r="I619">
        <v>50</v>
      </c>
      <c r="J619">
        <v>5</v>
      </c>
      <c r="K619">
        <v>100</v>
      </c>
      <c r="L619" t="s">
        <v>26</v>
      </c>
    </row>
    <row r="620" spans="1:12" x14ac:dyDescent="0.25">
      <c r="A620" t="s">
        <v>662</v>
      </c>
      <c r="B620" t="s">
        <v>63</v>
      </c>
      <c r="C620" t="s">
        <v>29</v>
      </c>
      <c r="D620">
        <v>30</v>
      </c>
      <c r="E620" t="s">
        <v>19</v>
      </c>
      <c r="F620">
        <v>8</v>
      </c>
      <c r="G620">
        <v>37145</v>
      </c>
      <c r="H620">
        <v>8</v>
      </c>
      <c r="I620">
        <v>47</v>
      </c>
      <c r="J620">
        <v>4</v>
      </c>
      <c r="K620">
        <v>92</v>
      </c>
      <c r="L620" t="s">
        <v>32</v>
      </c>
    </row>
    <row r="621" spans="1:12" x14ac:dyDescent="0.25">
      <c r="A621" t="s">
        <v>663</v>
      </c>
      <c r="B621" t="s">
        <v>53</v>
      </c>
      <c r="C621" t="s">
        <v>22</v>
      </c>
      <c r="D621">
        <v>29</v>
      </c>
      <c r="E621" t="s">
        <v>15</v>
      </c>
      <c r="F621">
        <v>7</v>
      </c>
      <c r="G621">
        <v>33228</v>
      </c>
      <c r="H621">
        <v>15</v>
      </c>
      <c r="I621">
        <v>42</v>
      </c>
      <c r="J621">
        <v>5</v>
      </c>
      <c r="K621">
        <v>92</v>
      </c>
      <c r="L621" t="s">
        <v>26</v>
      </c>
    </row>
    <row r="622" spans="1:12" x14ac:dyDescent="0.25">
      <c r="A622" t="s">
        <v>664</v>
      </c>
      <c r="B622" t="s">
        <v>34</v>
      </c>
      <c r="C622" t="s">
        <v>22</v>
      </c>
      <c r="D622">
        <v>29</v>
      </c>
      <c r="E622" t="s">
        <v>15</v>
      </c>
      <c r="F622">
        <v>15</v>
      </c>
      <c r="G622">
        <v>27665</v>
      </c>
      <c r="H622">
        <v>13</v>
      </c>
      <c r="I622">
        <v>45</v>
      </c>
      <c r="J622">
        <v>3</v>
      </c>
      <c r="K622">
        <v>100</v>
      </c>
      <c r="L622" t="s">
        <v>16</v>
      </c>
    </row>
    <row r="623" spans="1:12" x14ac:dyDescent="0.25">
      <c r="A623" t="s">
        <v>665</v>
      </c>
      <c r="B623" t="s">
        <v>21</v>
      </c>
      <c r="C623" t="s">
        <v>25</v>
      </c>
      <c r="D623">
        <v>22</v>
      </c>
      <c r="E623" t="s">
        <v>15</v>
      </c>
      <c r="F623">
        <v>12</v>
      </c>
      <c r="G623">
        <v>49985</v>
      </c>
      <c r="H623">
        <v>5</v>
      </c>
      <c r="I623">
        <v>50</v>
      </c>
      <c r="J623">
        <v>2</v>
      </c>
      <c r="K623">
        <v>85</v>
      </c>
      <c r="L623" t="s">
        <v>51</v>
      </c>
    </row>
    <row r="624" spans="1:12" x14ac:dyDescent="0.25">
      <c r="A624" t="s">
        <v>666</v>
      </c>
      <c r="B624" t="s">
        <v>63</v>
      </c>
      <c r="C624" t="s">
        <v>22</v>
      </c>
      <c r="D624">
        <v>37</v>
      </c>
      <c r="E624" t="s">
        <v>19</v>
      </c>
      <c r="F624">
        <v>13</v>
      </c>
      <c r="G624">
        <v>27017</v>
      </c>
      <c r="H624">
        <v>11</v>
      </c>
      <c r="I624">
        <v>47</v>
      </c>
      <c r="J624">
        <v>2</v>
      </c>
      <c r="K624">
        <v>93</v>
      </c>
      <c r="L624" t="s">
        <v>16</v>
      </c>
    </row>
    <row r="625" spans="1:12" x14ac:dyDescent="0.25">
      <c r="A625" t="s">
        <v>667</v>
      </c>
      <c r="B625" t="s">
        <v>75</v>
      </c>
      <c r="C625" t="s">
        <v>22</v>
      </c>
      <c r="D625">
        <v>22</v>
      </c>
      <c r="E625" t="s">
        <v>15</v>
      </c>
      <c r="F625">
        <v>6</v>
      </c>
      <c r="G625">
        <v>45809</v>
      </c>
      <c r="H625">
        <v>15</v>
      </c>
      <c r="I625">
        <v>41</v>
      </c>
      <c r="J625">
        <v>5</v>
      </c>
      <c r="K625">
        <v>87</v>
      </c>
      <c r="L625" t="s">
        <v>23</v>
      </c>
    </row>
    <row r="626" spans="1:12" x14ac:dyDescent="0.25">
      <c r="A626" t="s">
        <v>668</v>
      </c>
      <c r="B626" t="s">
        <v>28</v>
      </c>
      <c r="C626" t="s">
        <v>14</v>
      </c>
      <c r="D626">
        <v>38</v>
      </c>
      <c r="E626" t="s">
        <v>19</v>
      </c>
      <c r="F626">
        <v>10</v>
      </c>
      <c r="G626">
        <v>59673</v>
      </c>
      <c r="H626">
        <v>9</v>
      </c>
      <c r="I626">
        <v>42</v>
      </c>
      <c r="J626">
        <v>5</v>
      </c>
      <c r="K626">
        <v>95</v>
      </c>
      <c r="L626" t="s">
        <v>32</v>
      </c>
    </row>
    <row r="627" spans="1:12" x14ac:dyDescent="0.25">
      <c r="A627" t="s">
        <v>669</v>
      </c>
      <c r="B627" t="s">
        <v>75</v>
      </c>
      <c r="C627" t="s">
        <v>29</v>
      </c>
      <c r="D627">
        <v>38</v>
      </c>
      <c r="E627" t="s">
        <v>15</v>
      </c>
      <c r="F627">
        <v>15</v>
      </c>
      <c r="G627">
        <v>32214</v>
      </c>
      <c r="H627">
        <v>14</v>
      </c>
      <c r="I627">
        <v>43</v>
      </c>
      <c r="J627">
        <v>5</v>
      </c>
      <c r="K627">
        <v>92</v>
      </c>
      <c r="L627" t="s">
        <v>23</v>
      </c>
    </row>
    <row r="628" spans="1:12" x14ac:dyDescent="0.25">
      <c r="A628" t="s">
        <v>670</v>
      </c>
      <c r="B628" t="s">
        <v>70</v>
      </c>
      <c r="C628" t="s">
        <v>14</v>
      </c>
      <c r="D628">
        <v>27</v>
      </c>
      <c r="E628" t="s">
        <v>19</v>
      </c>
      <c r="F628">
        <v>12</v>
      </c>
      <c r="G628">
        <v>33737</v>
      </c>
      <c r="H628">
        <v>3</v>
      </c>
      <c r="I628">
        <v>46</v>
      </c>
      <c r="J628">
        <v>1</v>
      </c>
      <c r="K628">
        <v>88</v>
      </c>
      <c r="L628" t="s">
        <v>23</v>
      </c>
    </row>
    <row r="629" spans="1:12" x14ac:dyDescent="0.25">
      <c r="A629" t="s">
        <v>671</v>
      </c>
      <c r="B629" t="s">
        <v>36</v>
      </c>
      <c r="C629" t="s">
        <v>22</v>
      </c>
      <c r="D629">
        <v>26</v>
      </c>
      <c r="E629" t="s">
        <v>15</v>
      </c>
      <c r="F629">
        <v>2</v>
      </c>
      <c r="G629">
        <v>50872</v>
      </c>
      <c r="H629">
        <v>15</v>
      </c>
      <c r="I629">
        <v>43</v>
      </c>
      <c r="J629">
        <v>2</v>
      </c>
      <c r="K629">
        <v>98</v>
      </c>
      <c r="L629" t="s">
        <v>37</v>
      </c>
    </row>
    <row r="630" spans="1:12" x14ac:dyDescent="0.25">
      <c r="A630" t="s">
        <v>672</v>
      </c>
      <c r="B630" t="s">
        <v>63</v>
      </c>
      <c r="C630" t="s">
        <v>14</v>
      </c>
      <c r="D630">
        <v>23</v>
      </c>
      <c r="E630" t="s">
        <v>15</v>
      </c>
      <c r="F630">
        <v>2</v>
      </c>
      <c r="G630">
        <v>73954</v>
      </c>
      <c r="H630">
        <v>9</v>
      </c>
      <c r="I630">
        <v>41</v>
      </c>
      <c r="J630">
        <v>3</v>
      </c>
      <c r="K630">
        <v>100</v>
      </c>
      <c r="L630" t="s">
        <v>26</v>
      </c>
    </row>
    <row r="631" spans="1:12" x14ac:dyDescent="0.25">
      <c r="A631" t="s">
        <v>673</v>
      </c>
      <c r="B631" t="s">
        <v>34</v>
      </c>
      <c r="C631" t="s">
        <v>14</v>
      </c>
      <c r="D631">
        <v>35</v>
      </c>
      <c r="E631" t="s">
        <v>15</v>
      </c>
      <c r="F631">
        <v>11</v>
      </c>
      <c r="G631">
        <v>53316</v>
      </c>
      <c r="H631">
        <v>8</v>
      </c>
      <c r="I631">
        <v>39</v>
      </c>
      <c r="J631">
        <v>5</v>
      </c>
      <c r="K631">
        <v>97</v>
      </c>
      <c r="L631" t="s">
        <v>37</v>
      </c>
    </row>
    <row r="632" spans="1:12" x14ac:dyDescent="0.25">
      <c r="A632" t="s">
        <v>674</v>
      </c>
      <c r="B632" t="s">
        <v>53</v>
      </c>
      <c r="C632" t="s">
        <v>14</v>
      </c>
      <c r="D632">
        <v>24</v>
      </c>
      <c r="E632" t="s">
        <v>15</v>
      </c>
      <c r="F632">
        <v>9</v>
      </c>
      <c r="G632">
        <v>26010</v>
      </c>
      <c r="H632">
        <v>3</v>
      </c>
      <c r="I632">
        <v>35</v>
      </c>
      <c r="J632">
        <v>5</v>
      </c>
      <c r="K632">
        <v>100</v>
      </c>
      <c r="L632" t="s">
        <v>32</v>
      </c>
    </row>
    <row r="633" spans="1:12" x14ac:dyDescent="0.25">
      <c r="A633" t="s">
        <v>675</v>
      </c>
      <c r="B633" t="s">
        <v>75</v>
      </c>
      <c r="C633" t="s">
        <v>14</v>
      </c>
      <c r="D633">
        <v>31</v>
      </c>
      <c r="E633" t="s">
        <v>15</v>
      </c>
      <c r="F633">
        <v>8</v>
      </c>
      <c r="G633">
        <v>47805</v>
      </c>
      <c r="H633">
        <v>15</v>
      </c>
      <c r="I633">
        <v>44</v>
      </c>
      <c r="J633">
        <v>1</v>
      </c>
      <c r="K633">
        <v>88</v>
      </c>
      <c r="L633" t="s">
        <v>23</v>
      </c>
    </row>
    <row r="634" spans="1:12" x14ac:dyDescent="0.25">
      <c r="A634" t="s">
        <v>676</v>
      </c>
      <c r="B634" t="s">
        <v>45</v>
      </c>
      <c r="C634" t="s">
        <v>14</v>
      </c>
      <c r="D634">
        <v>37</v>
      </c>
      <c r="E634" t="s">
        <v>15</v>
      </c>
      <c r="F634">
        <v>6</v>
      </c>
      <c r="G634">
        <v>76342</v>
      </c>
      <c r="H634">
        <v>11</v>
      </c>
      <c r="I634">
        <v>43</v>
      </c>
      <c r="J634">
        <v>3</v>
      </c>
      <c r="K634">
        <v>91</v>
      </c>
      <c r="L634" t="s">
        <v>37</v>
      </c>
    </row>
    <row r="635" spans="1:12" x14ac:dyDescent="0.25">
      <c r="A635" t="s">
        <v>677</v>
      </c>
      <c r="B635" t="s">
        <v>77</v>
      </c>
      <c r="C635" t="s">
        <v>29</v>
      </c>
      <c r="D635">
        <v>38</v>
      </c>
      <c r="E635" t="s">
        <v>15</v>
      </c>
      <c r="F635">
        <v>15</v>
      </c>
      <c r="G635">
        <v>46842</v>
      </c>
      <c r="H635">
        <v>13</v>
      </c>
      <c r="I635">
        <v>50</v>
      </c>
      <c r="J635">
        <v>1</v>
      </c>
      <c r="K635">
        <v>90</v>
      </c>
      <c r="L635" t="s">
        <v>23</v>
      </c>
    </row>
    <row r="636" spans="1:12" x14ac:dyDescent="0.25">
      <c r="A636" t="s">
        <v>678</v>
      </c>
      <c r="B636" t="s">
        <v>31</v>
      </c>
      <c r="C636" t="s">
        <v>25</v>
      </c>
      <c r="D636">
        <v>33</v>
      </c>
      <c r="E636" t="s">
        <v>15</v>
      </c>
      <c r="F636">
        <v>12</v>
      </c>
      <c r="G636">
        <v>76956</v>
      </c>
      <c r="H636">
        <v>7</v>
      </c>
      <c r="I636">
        <v>46</v>
      </c>
      <c r="J636">
        <v>3</v>
      </c>
      <c r="K636">
        <v>90</v>
      </c>
      <c r="L636" t="s">
        <v>26</v>
      </c>
    </row>
    <row r="637" spans="1:12" x14ac:dyDescent="0.25">
      <c r="A637" t="s">
        <v>679</v>
      </c>
      <c r="B637" t="s">
        <v>53</v>
      </c>
      <c r="C637" t="s">
        <v>22</v>
      </c>
      <c r="D637">
        <v>25</v>
      </c>
      <c r="E637" t="s">
        <v>15</v>
      </c>
      <c r="F637">
        <v>5</v>
      </c>
      <c r="G637">
        <v>63107</v>
      </c>
      <c r="H637">
        <v>7</v>
      </c>
      <c r="I637">
        <v>44</v>
      </c>
      <c r="J637">
        <v>3</v>
      </c>
      <c r="K637">
        <v>85</v>
      </c>
      <c r="L637" t="s">
        <v>37</v>
      </c>
    </row>
    <row r="638" spans="1:12" x14ac:dyDescent="0.25">
      <c r="A638" t="s">
        <v>680</v>
      </c>
      <c r="B638" t="s">
        <v>75</v>
      </c>
      <c r="C638" t="s">
        <v>29</v>
      </c>
      <c r="D638">
        <v>38</v>
      </c>
      <c r="E638" t="s">
        <v>15</v>
      </c>
      <c r="F638">
        <v>15</v>
      </c>
      <c r="G638">
        <v>66562</v>
      </c>
      <c r="H638">
        <v>14</v>
      </c>
      <c r="I638">
        <v>42</v>
      </c>
      <c r="J638">
        <v>1</v>
      </c>
      <c r="K638">
        <v>93</v>
      </c>
      <c r="L638" t="s">
        <v>51</v>
      </c>
    </row>
    <row r="639" spans="1:12" x14ac:dyDescent="0.25">
      <c r="A639" t="s">
        <v>681</v>
      </c>
      <c r="B639" t="s">
        <v>89</v>
      </c>
      <c r="C639" t="s">
        <v>25</v>
      </c>
      <c r="D639">
        <v>37</v>
      </c>
      <c r="E639" t="s">
        <v>15</v>
      </c>
      <c r="F639">
        <v>11</v>
      </c>
      <c r="G639">
        <v>76423</v>
      </c>
      <c r="H639">
        <v>15</v>
      </c>
      <c r="I639">
        <v>35</v>
      </c>
      <c r="J639">
        <v>5</v>
      </c>
      <c r="K639">
        <v>94</v>
      </c>
      <c r="L639" t="s">
        <v>51</v>
      </c>
    </row>
    <row r="640" spans="1:12" x14ac:dyDescent="0.25">
      <c r="A640" t="s">
        <v>682</v>
      </c>
      <c r="B640" t="s">
        <v>28</v>
      </c>
      <c r="C640" t="s">
        <v>22</v>
      </c>
      <c r="D640">
        <v>25</v>
      </c>
      <c r="E640" t="s">
        <v>15</v>
      </c>
      <c r="F640">
        <v>7</v>
      </c>
      <c r="G640">
        <v>27579</v>
      </c>
      <c r="H640">
        <v>7</v>
      </c>
      <c r="I640">
        <v>39</v>
      </c>
      <c r="J640">
        <v>4</v>
      </c>
      <c r="K640">
        <v>85</v>
      </c>
      <c r="L640" t="s">
        <v>26</v>
      </c>
    </row>
    <row r="641" spans="1:12" x14ac:dyDescent="0.25">
      <c r="A641" t="s">
        <v>683</v>
      </c>
      <c r="B641" t="s">
        <v>53</v>
      </c>
      <c r="C641" t="s">
        <v>25</v>
      </c>
      <c r="D641">
        <v>33</v>
      </c>
      <c r="E641" t="s">
        <v>15</v>
      </c>
      <c r="F641">
        <v>11</v>
      </c>
      <c r="G641">
        <v>62892</v>
      </c>
      <c r="H641">
        <v>4</v>
      </c>
      <c r="I641">
        <v>47</v>
      </c>
      <c r="J641">
        <v>4</v>
      </c>
      <c r="K641">
        <v>85</v>
      </c>
      <c r="L641" t="s">
        <v>37</v>
      </c>
    </row>
    <row r="642" spans="1:12" x14ac:dyDescent="0.25">
      <c r="A642" t="s">
        <v>684</v>
      </c>
      <c r="B642" t="s">
        <v>94</v>
      </c>
      <c r="C642" t="s">
        <v>22</v>
      </c>
      <c r="D642">
        <v>30</v>
      </c>
      <c r="E642" t="s">
        <v>19</v>
      </c>
      <c r="F642">
        <v>9</v>
      </c>
      <c r="G642">
        <v>68933</v>
      </c>
      <c r="H642">
        <v>8</v>
      </c>
      <c r="I642">
        <v>41</v>
      </c>
      <c r="J642">
        <v>2</v>
      </c>
      <c r="K642">
        <v>97</v>
      </c>
      <c r="L642" t="s">
        <v>26</v>
      </c>
    </row>
    <row r="643" spans="1:12" x14ac:dyDescent="0.25">
      <c r="A643" t="s">
        <v>685</v>
      </c>
      <c r="B643" t="s">
        <v>94</v>
      </c>
      <c r="C643" t="s">
        <v>29</v>
      </c>
      <c r="D643">
        <v>24</v>
      </c>
      <c r="E643" t="s">
        <v>15</v>
      </c>
      <c r="F643">
        <v>10</v>
      </c>
      <c r="G643">
        <v>51584</v>
      </c>
      <c r="H643">
        <v>15</v>
      </c>
      <c r="I643">
        <v>44</v>
      </c>
      <c r="J643">
        <v>4</v>
      </c>
      <c r="K643">
        <v>86</v>
      </c>
      <c r="L643" t="s">
        <v>51</v>
      </c>
    </row>
    <row r="644" spans="1:12" x14ac:dyDescent="0.25">
      <c r="A644" t="s">
        <v>686</v>
      </c>
      <c r="B644" t="s">
        <v>45</v>
      </c>
      <c r="C644" t="s">
        <v>29</v>
      </c>
      <c r="D644">
        <v>23</v>
      </c>
      <c r="E644" t="s">
        <v>15</v>
      </c>
      <c r="F644">
        <v>5</v>
      </c>
      <c r="G644">
        <v>46526</v>
      </c>
      <c r="H644">
        <v>4</v>
      </c>
      <c r="I644">
        <v>43</v>
      </c>
      <c r="J644">
        <v>1</v>
      </c>
      <c r="K644">
        <v>98</v>
      </c>
      <c r="L644" t="s">
        <v>23</v>
      </c>
    </row>
    <row r="645" spans="1:12" x14ac:dyDescent="0.25">
      <c r="A645" t="s">
        <v>687</v>
      </c>
      <c r="B645" t="s">
        <v>83</v>
      </c>
      <c r="C645" t="s">
        <v>29</v>
      </c>
      <c r="D645">
        <v>35</v>
      </c>
      <c r="E645" t="s">
        <v>19</v>
      </c>
      <c r="F645">
        <v>14</v>
      </c>
      <c r="G645">
        <v>56191</v>
      </c>
      <c r="H645">
        <v>9</v>
      </c>
      <c r="I645">
        <v>37</v>
      </c>
      <c r="J645">
        <v>1</v>
      </c>
      <c r="K645">
        <v>93</v>
      </c>
      <c r="L645" t="s">
        <v>51</v>
      </c>
    </row>
    <row r="646" spans="1:12" x14ac:dyDescent="0.25">
      <c r="A646" t="s">
        <v>688</v>
      </c>
      <c r="B646" t="s">
        <v>40</v>
      </c>
      <c r="C646" t="s">
        <v>14</v>
      </c>
      <c r="D646">
        <v>30</v>
      </c>
      <c r="E646" t="s">
        <v>19</v>
      </c>
      <c r="F646">
        <v>5</v>
      </c>
      <c r="G646">
        <v>51571</v>
      </c>
      <c r="H646">
        <v>4</v>
      </c>
      <c r="I646">
        <v>47</v>
      </c>
      <c r="J646">
        <v>3</v>
      </c>
      <c r="K646">
        <v>88</v>
      </c>
      <c r="L646" t="s">
        <v>16</v>
      </c>
    </row>
    <row r="647" spans="1:12" x14ac:dyDescent="0.25">
      <c r="A647" t="s">
        <v>689</v>
      </c>
      <c r="B647" t="s">
        <v>28</v>
      </c>
      <c r="C647" t="s">
        <v>25</v>
      </c>
      <c r="D647">
        <v>23</v>
      </c>
      <c r="E647" t="s">
        <v>19</v>
      </c>
      <c r="F647">
        <v>4</v>
      </c>
      <c r="G647">
        <v>25075</v>
      </c>
      <c r="H647">
        <v>10</v>
      </c>
      <c r="I647">
        <v>37</v>
      </c>
      <c r="J647">
        <v>3</v>
      </c>
      <c r="K647">
        <v>96</v>
      </c>
      <c r="L647" t="s">
        <v>16</v>
      </c>
    </row>
    <row r="648" spans="1:12" x14ac:dyDescent="0.25">
      <c r="A648" t="s">
        <v>690</v>
      </c>
      <c r="B648" t="s">
        <v>43</v>
      </c>
      <c r="C648" t="s">
        <v>25</v>
      </c>
      <c r="D648">
        <v>27</v>
      </c>
      <c r="E648" t="s">
        <v>19</v>
      </c>
      <c r="F648">
        <v>2</v>
      </c>
      <c r="G648">
        <v>31057</v>
      </c>
      <c r="H648">
        <v>3</v>
      </c>
      <c r="I648">
        <v>44</v>
      </c>
      <c r="J648">
        <v>2</v>
      </c>
      <c r="K648">
        <v>96</v>
      </c>
      <c r="L648" t="s">
        <v>26</v>
      </c>
    </row>
    <row r="649" spans="1:12" x14ac:dyDescent="0.25">
      <c r="A649" t="s">
        <v>691</v>
      </c>
      <c r="B649" t="s">
        <v>53</v>
      </c>
      <c r="C649" t="s">
        <v>25</v>
      </c>
      <c r="D649">
        <v>36</v>
      </c>
      <c r="E649" t="s">
        <v>15</v>
      </c>
      <c r="F649">
        <v>9</v>
      </c>
      <c r="G649">
        <v>37807</v>
      </c>
      <c r="H649">
        <v>15</v>
      </c>
      <c r="I649">
        <v>43</v>
      </c>
      <c r="J649">
        <v>1</v>
      </c>
      <c r="K649">
        <v>89</v>
      </c>
      <c r="L649" t="s">
        <v>16</v>
      </c>
    </row>
    <row r="650" spans="1:12" x14ac:dyDescent="0.25">
      <c r="A650" t="s">
        <v>692</v>
      </c>
      <c r="B650" t="s">
        <v>43</v>
      </c>
      <c r="C650" t="s">
        <v>22</v>
      </c>
      <c r="D650">
        <v>25</v>
      </c>
      <c r="E650" t="s">
        <v>19</v>
      </c>
      <c r="F650">
        <v>4</v>
      </c>
      <c r="G650">
        <v>61121</v>
      </c>
      <c r="H650">
        <v>10</v>
      </c>
      <c r="I650">
        <v>46</v>
      </c>
      <c r="J650">
        <v>5</v>
      </c>
      <c r="K650">
        <v>85</v>
      </c>
      <c r="L650" t="s">
        <v>16</v>
      </c>
    </row>
    <row r="651" spans="1:12" x14ac:dyDescent="0.25">
      <c r="A651" t="s">
        <v>693</v>
      </c>
      <c r="B651" t="s">
        <v>34</v>
      </c>
      <c r="C651" t="s">
        <v>22</v>
      </c>
      <c r="D651">
        <v>39</v>
      </c>
      <c r="E651" t="s">
        <v>15</v>
      </c>
      <c r="F651">
        <v>4</v>
      </c>
      <c r="G651">
        <v>67849</v>
      </c>
      <c r="H651">
        <v>6</v>
      </c>
      <c r="I651">
        <v>50</v>
      </c>
      <c r="J651">
        <v>4</v>
      </c>
      <c r="K651">
        <v>90</v>
      </c>
      <c r="L651" t="s">
        <v>37</v>
      </c>
    </row>
    <row r="652" spans="1:12" x14ac:dyDescent="0.25">
      <c r="A652" t="s">
        <v>694</v>
      </c>
      <c r="B652" t="s">
        <v>65</v>
      </c>
      <c r="C652" t="s">
        <v>22</v>
      </c>
      <c r="D652">
        <v>35</v>
      </c>
      <c r="E652" t="s">
        <v>19</v>
      </c>
      <c r="F652">
        <v>6</v>
      </c>
      <c r="G652">
        <v>67065</v>
      </c>
      <c r="H652">
        <v>12</v>
      </c>
      <c r="I652">
        <v>38</v>
      </c>
      <c r="J652">
        <v>3</v>
      </c>
      <c r="K652">
        <v>98</v>
      </c>
      <c r="L652" t="s">
        <v>26</v>
      </c>
    </row>
    <row r="653" spans="1:12" x14ac:dyDescent="0.25">
      <c r="A653" t="s">
        <v>695</v>
      </c>
      <c r="B653" t="s">
        <v>81</v>
      </c>
      <c r="C653" t="s">
        <v>14</v>
      </c>
      <c r="D653">
        <v>33</v>
      </c>
      <c r="E653" t="s">
        <v>19</v>
      </c>
      <c r="F653">
        <v>5</v>
      </c>
      <c r="G653">
        <v>63111</v>
      </c>
      <c r="H653">
        <v>12</v>
      </c>
      <c r="I653">
        <v>49</v>
      </c>
      <c r="J653">
        <v>1</v>
      </c>
      <c r="K653">
        <v>95</v>
      </c>
      <c r="L653" t="s">
        <v>23</v>
      </c>
    </row>
    <row r="654" spans="1:12" x14ac:dyDescent="0.25">
      <c r="A654" t="s">
        <v>696</v>
      </c>
      <c r="B654" t="s">
        <v>28</v>
      </c>
      <c r="C654" t="s">
        <v>22</v>
      </c>
      <c r="D654">
        <v>23</v>
      </c>
      <c r="E654" t="s">
        <v>19</v>
      </c>
      <c r="F654">
        <v>6</v>
      </c>
      <c r="G654">
        <v>50611</v>
      </c>
      <c r="H654">
        <v>10</v>
      </c>
      <c r="I654">
        <v>45</v>
      </c>
      <c r="J654">
        <v>1</v>
      </c>
      <c r="K654">
        <v>85</v>
      </c>
      <c r="L654" t="s">
        <v>23</v>
      </c>
    </row>
    <row r="655" spans="1:12" x14ac:dyDescent="0.25">
      <c r="A655" t="s">
        <v>697</v>
      </c>
      <c r="B655" t="s">
        <v>94</v>
      </c>
      <c r="C655" t="s">
        <v>14</v>
      </c>
      <c r="D655">
        <v>38</v>
      </c>
      <c r="E655" t="s">
        <v>19</v>
      </c>
      <c r="F655">
        <v>8</v>
      </c>
      <c r="G655">
        <v>43905</v>
      </c>
      <c r="H655">
        <v>12</v>
      </c>
      <c r="I655">
        <v>50</v>
      </c>
      <c r="J655">
        <v>3</v>
      </c>
      <c r="K655">
        <v>99</v>
      </c>
      <c r="L655" t="s">
        <v>16</v>
      </c>
    </row>
    <row r="656" spans="1:12" x14ac:dyDescent="0.25">
      <c r="A656" t="s">
        <v>698</v>
      </c>
      <c r="B656" t="s">
        <v>13</v>
      </c>
      <c r="C656" t="s">
        <v>29</v>
      </c>
      <c r="D656">
        <v>30</v>
      </c>
      <c r="E656" t="s">
        <v>15</v>
      </c>
      <c r="F656">
        <v>5</v>
      </c>
      <c r="G656">
        <v>74664</v>
      </c>
      <c r="H656">
        <v>4</v>
      </c>
      <c r="I656">
        <v>46</v>
      </c>
      <c r="J656">
        <v>1</v>
      </c>
      <c r="K656">
        <v>99</v>
      </c>
      <c r="L656" t="s">
        <v>51</v>
      </c>
    </row>
    <row r="657" spans="1:12" x14ac:dyDescent="0.25">
      <c r="A657" t="s">
        <v>699</v>
      </c>
      <c r="B657" t="s">
        <v>70</v>
      </c>
      <c r="C657" t="s">
        <v>14</v>
      </c>
      <c r="D657">
        <v>26</v>
      </c>
      <c r="E657" t="s">
        <v>19</v>
      </c>
      <c r="F657">
        <v>9</v>
      </c>
      <c r="G657">
        <v>75620</v>
      </c>
      <c r="H657">
        <v>12</v>
      </c>
      <c r="I657">
        <v>45</v>
      </c>
      <c r="J657">
        <v>5</v>
      </c>
      <c r="K657">
        <v>90</v>
      </c>
      <c r="L657" t="s">
        <v>32</v>
      </c>
    </row>
    <row r="658" spans="1:12" x14ac:dyDescent="0.25">
      <c r="A658" t="s">
        <v>700</v>
      </c>
      <c r="B658" t="s">
        <v>94</v>
      </c>
      <c r="C658" t="s">
        <v>14</v>
      </c>
      <c r="D658">
        <v>34</v>
      </c>
      <c r="E658" t="s">
        <v>19</v>
      </c>
      <c r="F658">
        <v>11</v>
      </c>
      <c r="G658">
        <v>36725</v>
      </c>
      <c r="H658">
        <v>6</v>
      </c>
      <c r="I658">
        <v>50</v>
      </c>
      <c r="J658">
        <v>1</v>
      </c>
      <c r="K658">
        <v>90</v>
      </c>
      <c r="L658" t="s">
        <v>51</v>
      </c>
    </row>
    <row r="659" spans="1:12" x14ac:dyDescent="0.25">
      <c r="A659" t="s">
        <v>701</v>
      </c>
      <c r="B659" t="s">
        <v>53</v>
      </c>
      <c r="C659" t="s">
        <v>29</v>
      </c>
      <c r="D659">
        <v>31</v>
      </c>
      <c r="E659" t="s">
        <v>15</v>
      </c>
      <c r="F659">
        <v>15</v>
      </c>
      <c r="G659">
        <v>43892</v>
      </c>
      <c r="H659">
        <v>12</v>
      </c>
      <c r="I659">
        <v>48</v>
      </c>
      <c r="J659">
        <v>1</v>
      </c>
      <c r="K659">
        <v>98</v>
      </c>
      <c r="L659" t="s">
        <v>32</v>
      </c>
    </row>
    <row r="660" spans="1:12" x14ac:dyDescent="0.25">
      <c r="A660" t="s">
        <v>702</v>
      </c>
      <c r="B660" t="s">
        <v>53</v>
      </c>
      <c r="C660" t="s">
        <v>25</v>
      </c>
      <c r="D660">
        <v>26</v>
      </c>
      <c r="E660" t="s">
        <v>19</v>
      </c>
      <c r="F660">
        <v>8</v>
      </c>
      <c r="G660">
        <v>37891</v>
      </c>
      <c r="H660">
        <v>6</v>
      </c>
      <c r="I660">
        <v>37</v>
      </c>
      <c r="J660">
        <v>1</v>
      </c>
      <c r="K660">
        <v>91</v>
      </c>
      <c r="L660" t="s">
        <v>23</v>
      </c>
    </row>
    <row r="661" spans="1:12" x14ac:dyDescent="0.25">
      <c r="A661" t="s">
        <v>703</v>
      </c>
      <c r="B661" t="s">
        <v>70</v>
      </c>
      <c r="C661" t="s">
        <v>14</v>
      </c>
      <c r="D661">
        <v>39</v>
      </c>
      <c r="E661" t="s">
        <v>15</v>
      </c>
      <c r="F661">
        <v>15</v>
      </c>
      <c r="G661">
        <v>29381</v>
      </c>
      <c r="H661">
        <v>13</v>
      </c>
      <c r="I661">
        <v>48</v>
      </c>
      <c r="J661">
        <v>2</v>
      </c>
      <c r="K661">
        <v>90</v>
      </c>
      <c r="L661" t="s">
        <v>51</v>
      </c>
    </row>
    <row r="662" spans="1:12" x14ac:dyDescent="0.25">
      <c r="A662" t="s">
        <v>704</v>
      </c>
      <c r="B662" t="s">
        <v>40</v>
      </c>
      <c r="C662" t="s">
        <v>25</v>
      </c>
      <c r="D662">
        <v>33</v>
      </c>
      <c r="E662" t="s">
        <v>15</v>
      </c>
      <c r="F662">
        <v>2</v>
      </c>
      <c r="G662">
        <v>53672</v>
      </c>
      <c r="H662">
        <v>13</v>
      </c>
      <c r="I662">
        <v>37</v>
      </c>
      <c r="J662">
        <v>3</v>
      </c>
      <c r="K662">
        <v>87</v>
      </c>
      <c r="L662" t="s">
        <v>16</v>
      </c>
    </row>
    <row r="663" spans="1:12" x14ac:dyDescent="0.25">
      <c r="A663" t="s">
        <v>705</v>
      </c>
      <c r="B663" t="s">
        <v>45</v>
      </c>
      <c r="C663" t="s">
        <v>25</v>
      </c>
      <c r="D663">
        <v>36</v>
      </c>
      <c r="E663" t="s">
        <v>19</v>
      </c>
      <c r="F663">
        <v>2</v>
      </c>
      <c r="G663">
        <v>65925</v>
      </c>
      <c r="H663">
        <v>12</v>
      </c>
      <c r="I663">
        <v>46</v>
      </c>
      <c r="J663">
        <v>4</v>
      </c>
      <c r="K663">
        <v>92</v>
      </c>
      <c r="L663" t="s">
        <v>51</v>
      </c>
    </row>
    <row r="664" spans="1:12" x14ac:dyDescent="0.25">
      <c r="A664" t="s">
        <v>706</v>
      </c>
      <c r="B664" t="s">
        <v>89</v>
      </c>
      <c r="C664" t="s">
        <v>22</v>
      </c>
      <c r="D664">
        <v>28</v>
      </c>
      <c r="E664" t="s">
        <v>19</v>
      </c>
      <c r="F664">
        <v>12</v>
      </c>
      <c r="G664">
        <v>27390</v>
      </c>
      <c r="H664">
        <v>12</v>
      </c>
      <c r="I664">
        <v>38</v>
      </c>
      <c r="J664">
        <v>3</v>
      </c>
      <c r="K664">
        <v>85</v>
      </c>
      <c r="L664" t="s">
        <v>51</v>
      </c>
    </row>
    <row r="665" spans="1:12" x14ac:dyDescent="0.25">
      <c r="A665" t="s">
        <v>707</v>
      </c>
      <c r="B665" t="s">
        <v>94</v>
      </c>
      <c r="C665" t="s">
        <v>29</v>
      </c>
      <c r="D665">
        <v>24</v>
      </c>
      <c r="E665" t="s">
        <v>15</v>
      </c>
      <c r="F665">
        <v>6</v>
      </c>
      <c r="G665">
        <v>65779</v>
      </c>
      <c r="H665">
        <v>15</v>
      </c>
      <c r="I665">
        <v>43</v>
      </c>
      <c r="J665">
        <v>3</v>
      </c>
      <c r="K665">
        <v>91</v>
      </c>
      <c r="L665" t="s">
        <v>23</v>
      </c>
    </row>
    <row r="666" spans="1:12" x14ac:dyDescent="0.25">
      <c r="A666" t="s">
        <v>708</v>
      </c>
      <c r="B666" t="s">
        <v>36</v>
      </c>
      <c r="C666" t="s">
        <v>14</v>
      </c>
      <c r="D666">
        <v>23</v>
      </c>
      <c r="E666" t="s">
        <v>15</v>
      </c>
      <c r="F666">
        <v>13</v>
      </c>
      <c r="G666">
        <v>42728</v>
      </c>
      <c r="H666">
        <v>13</v>
      </c>
      <c r="I666">
        <v>36</v>
      </c>
      <c r="J666">
        <v>2</v>
      </c>
      <c r="K666">
        <v>96</v>
      </c>
      <c r="L666" t="s">
        <v>16</v>
      </c>
    </row>
    <row r="667" spans="1:12" x14ac:dyDescent="0.25">
      <c r="A667" t="s">
        <v>709</v>
      </c>
      <c r="B667" t="s">
        <v>43</v>
      </c>
      <c r="C667" t="s">
        <v>14</v>
      </c>
      <c r="D667">
        <v>22</v>
      </c>
      <c r="E667" t="s">
        <v>15</v>
      </c>
      <c r="F667">
        <v>15</v>
      </c>
      <c r="G667">
        <v>47217</v>
      </c>
      <c r="H667">
        <v>5</v>
      </c>
      <c r="I667">
        <v>39</v>
      </c>
      <c r="J667">
        <v>3</v>
      </c>
      <c r="K667">
        <v>96</v>
      </c>
      <c r="L667" t="s">
        <v>23</v>
      </c>
    </row>
    <row r="668" spans="1:12" x14ac:dyDescent="0.25">
      <c r="A668" t="s">
        <v>710</v>
      </c>
      <c r="B668" t="s">
        <v>18</v>
      </c>
      <c r="C668" t="s">
        <v>29</v>
      </c>
      <c r="D668">
        <v>37</v>
      </c>
      <c r="E668" t="s">
        <v>15</v>
      </c>
      <c r="F668">
        <v>6</v>
      </c>
      <c r="G668">
        <v>50504</v>
      </c>
      <c r="H668">
        <v>10</v>
      </c>
      <c r="I668">
        <v>39</v>
      </c>
      <c r="J668">
        <v>1</v>
      </c>
      <c r="K668">
        <v>99</v>
      </c>
      <c r="L668" t="s">
        <v>23</v>
      </c>
    </row>
    <row r="669" spans="1:12" x14ac:dyDescent="0.25">
      <c r="A669" t="s">
        <v>711</v>
      </c>
      <c r="B669" t="s">
        <v>77</v>
      </c>
      <c r="C669" t="s">
        <v>14</v>
      </c>
      <c r="D669">
        <v>25</v>
      </c>
      <c r="E669" t="s">
        <v>19</v>
      </c>
      <c r="F669">
        <v>6</v>
      </c>
      <c r="G669">
        <v>39064</v>
      </c>
      <c r="H669">
        <v>4</v>
      </c>
      <c r="I669">
        <v>38</v>
      </c>
      <c r="J669">
        <v>3</v>
      </c>
      <c r="K669">
        <v>88</v>
      </c>
      <c r="L669" t="s">
        <v>16</v>
      </c>
    </row>
    <row r="670" spans="1:12" x14ac:dyDescent="0.25">
      <c r="A670" t="s">
        <v>712</v>
      </c>
      <c r="B670" t="s">
        <v>94</v>
      </c>
      <c r="C670" t="s">
        <v>14</v>
      </c>
      <c r="D670">
        <v>31</v>
      </c>
      <c r="E670" t="s">
        <v>15</v>
      </c>
      <c r="F670">
        <v>13</v>
      </c>
      <c r="G670">
        <v>53453</v>
      </c>
      <c r="H670">
        <v>9</v>
      </c>
      <c r="I670">
        <v>42</v>
      </c>
      <c r="J670">
        <v>1</v>
      </c>
      <c r="K670">
        <v>100</v>
      </c>
      <c r="L670" t="s">
        <v>37</v>
      </c>
    </row>
    <row r="671" spans="1:12" x14ac:dyDescent="0.25">
      <c r="A671" t="s">
        <v>713</v>
      </c>
      <c r="B671" t="s">
        <v>34</v>
      </c>
      <c r="C671" t="s">
        <v>14</v>
      </c>
      <c r="D671">
        <v>38</v>
      </c>
      <c r="E671" t="s">
        <v>19</v>
      </c>
      <c r="F671">
        <v>9</v>
      </c>
      <c r="G671">
        <v>68694</v>
      </c>
      <c r="H671">
        <v>6</v>
      </c>
      <c r="I671">
        <v>41</v>
      </c>
      <c r="J671">
        <v>1</v>
      </c>
      <c r="K671">
        <v>96</v>
      </c>
      <c r="L671" t="s">
        <v>37</v>
      </c>
    </row>
    <row r="672" spans="1:12" x14ac:dyDescent="0.25">
      <c r="A672" t="s">
        <v>714</v>
      </c>
      <c r="B672" t="s">
        <v>81</v>
      </c>
      <c r="C672" t="s">
        <v>22</v>
      </c>
      <c r="D672">
        <v>39</v>
      </c>
      <c r="E672" t="s">
        <v>19</v>
      </c>
      <c r="F672">
        <v>15</v>
      </c>
      <c r="G672">
        <v>59000</v>
      </c>
      <c r="H672">
        <v>12</v>
      </c>
      <c r="I672">
        <v>37</v>
      </c>
      <c r="J672">
        <v>5</v>
      </c>
      <c r="K672">
        <v>97</v>
      </c>
      <c r="L672" t="s">
        <v>51</v>
      </c>
    </row>
    <row r="673" spans="1:12" x14ac:dyDescent="0.25">
      <c r="A673" t="s">
        <v>715</v>
      </c>
      <c r="B673" t="s">
        <v>28</v>
      </c>
      <c r="C673" t="s">
        <v>14</v>
      </c>
      <c r="D673">
        <v>34</v>
      </c>
      <c r="E673" t="s">
        <v>19</v>
      </c>
      <c r="F673">
        <v>5</v>
      </c>
      <c r="G673">
        <v>59266</v>
      </c>
      <c r="H673">
        <v>15</v>
      </c>
      <c r="I673">
        <v>45</v>
      </c>
      <c r="J673">
        <v>5</v>
      </c>
      <c r="K673">
        <v>93</v>
      </c>
      <c r="L673" t="s">
        <v>51</v>
      </c>
    </row>
    <row r="674" spans="1:12" x14ac:dyDescent="0.25">
      <c r="A674" t="s">
        <v>716</v>
      </c>
      <c r="B674" t="s">
        <v>40</v>
      </c>
      <c r="C674" t="s">
        <v>22</v>
      </c>
      <c r="D674">
        <v>22</v>
      </c>
      <c r="E674" t="s">
        <v>19</v>
      </c>
      <c r="F674">
        <v>14</v>
      </c>
      <c r="G674">
        <v>60700</v>
      </c>
      <c r="H674">
        <v>9</v>
      </c>
      <c r="I674">
        <v>36</v>
      </c>
      <c r="J674">
        <v>3</v>
      </c>
      <c r="K674">
        <v>99</v>
      </c>
      <c r="L674" t="s">
        <v>37</v>
      </c>
    </row>
    <row r="675" spans="1:12" x14ac:dyDescent="0.25">
      <c r="A675" t="s">
        <v>717</v>
      </c>
      <c r="B675" t="s">
        <v>94</v>
      </c>
      <c r="C675" t="s">
        <v>14</v>
      </c>
      <c r="D675">
        <v>33</v>
      </c>
      <c r="E675" t="s">
        <v>19</v>
      </c>
      <c r="F675">
        <v>3</v>
      </c>
      <c r="G675">
        <v>63638</v>
      </c>
      <c r="H675">
        <v>13</v>
      </c>
      <c r="I675">
        <v>39</v>
      </c>
      <c r="J675">
        <v>2</v>
      </c>
      <c r="K675">
        <v>93</v>
      </c>
      <c r="L675" t="s">
        <v>51</v>
      </c>
    </row>
    <row r="676" spans="1:12" x14ac:dyDescent="0.25">
      <c r="A676" t="s">
        <v>718</v>
      </c>
      <c r="B676" t="s">
        <v>65</v>
      </c>
      <c r="C676" t="s">
        <v>29</v>
      </c>
      <c r="D676">
        <v>31</v>
      </c>
      <c r="E676" t="s">
        <v>15</v>
      </c>
      <c r="F676">
        <v>10</v>
      </c>
      <c r="G676">
        <v>36009</v>
      </c>
      <c r="H676">
        <v>12</v>
      </c>
      <c r="I676">
        <v>41</v>
      </c>
      <c r="J676">
        <v>5</v>
      </c>
      <c r="K676">
        <v>86</v>
      </c>
      <c r="L676" t="s">
        <v>16</v>
      </c>
    </row>
    <row r="677" spans="1:12" x14ac:dyDescent="0.25">
      <c r="A677" t="s">
        <v>719</v>
      </c>
      <c r="B677" t="s">
        <v>36</v>
      </c>
      <c r="C677" t="s">
        <v>25</v>
      </c>
      <c r="D677">
        <v>34</v>
      </c>
      <c r="E677" t="s">
        <v>15</v>
      </c>
      <c r="F677">
        <v>1</v>
      </c>
      <c r="G677">
        <v>79818</v>
      </c>
      <c r="H677">
        <v>6</v>
      </c>
      <c r="I677">
        <v>42</v>
      </c>
      <c r="J677">
        <v>5</v>
      </c>
      <c r="K677">
        <v>92</v>
      </c>
      <c r="L677" t="s">
        <v>26</v>
      </c>
    </row>
    <row r="678" spans="1:12" x14ac:dyDescent="0.25">
      <c r="A678" t="s">
        <v>720</v>
      </c>
      <c r="B678" t="s">
        <v>40</v>
      </c>
      <c r="C678" t="s">
        <v>22</v>
      </c>
      <c r="D678">
        <v>28</v>
      </c>
      <c r="E678" t="s">
        <v>19</v>
      </c>
      <c r="F678">
        <v>4</v>
      </c>
      <c r="G678">
        <v>58269</v>
      </c>
      <c r="H678">
        <v>12</v>
      </c>
      <c r="I678">
        <v>36</v>
      </c>
      <c r="J678">
        <v>1</v>
      </c>
      <c r="K678">
        <v>88</v>
      </c>
      <c r="L678" t="s">
        <v>32</v>
      </c>
    </row>
    <row r="679" spans="1:12" x14ac:dyDescent="0.25">
      <c r="A679" t="s">
        <v>721</v>
      </c>
      <c r="B679" t="s">
        <v>53</v>
      </c>
      <c r="C679" t="s">
        <v>14</v>
      </c>
      <c r="D679">
        <v>31</v>
      </c>
      <c r="E679" t="s">
        <v>19</v>
      </c>
      <c r="F679">
        <v>6</v>
      </c>
      <c r="G679">
        <v>27282</v>
      </c>
      <c r="H679">
        <v>10</v>
      </c>
      <c r="I679">
        <v>43</v>
      </c>
      <c r="J679">
        <v>5</v>
      </c>
      <c r="K679">
        <v>94</v>
      </c>
      <c r="L679" t="s">
        <v>51</v>
      </c>
    </row>
    <row r="680" spans="1:12" x14ac:dyDescent="0.25">
      <c r="A680" t="s">
        <v>722</v>
      </c>
      <c r="B680" t="s">
        <v>77</v>
      </c>
      <c r="C680" t="s">
        <v>14</v>
      </c>
      <c r="D680">
        <v>33</v>
      </c>
      <c r="E680" t="s">
        <v>19</v>
      </c>
      <c r="F680">
        <v>9</v>
      </c>
      <c r="G680">
        <v>42180</v>
      </c>
      <c r="H680">
        <v>13</v>
      </c>
      <c r="I680">
        <v>35</v>
      </c>
      <c r="J680">
        <v>4</v>
      </c>
      <c r="K680">
        <v>90</v>
      </c>
      <c r="L680" t="s">
        <v>23</v>
      </c>
    </row>
    <row r="681" spans="1:12" x14ac:dyDescent="0.25">
      <c r="A681" t="s">
        <v>723</v>
      </c>
      <c r="B681" t="s">
        <v>36</v>
      </c>
      <c r="C681" t="s">
        <v>25</v>
      </c>
      <c r="D681">
        <v>36</v>
      </c>
      <c r="E681" t="s">
        <v>15</v>
      </c>
      <c r="F681">
        <v>7</v>
      </c>
      <c r="G681">
        <v>79687</v>
      </c>
      <c r="H681">
        <v>6</v>
      </c>
      <c r="I681">
        <v>49</v>
      </c>
      <c r="J681">
        <v>5</v>
      </c>
      <c r="K681">
        <v>86</v>
      </c>
      <c r="L681" t="s">
        <v>37</v>
      </c>
    </row>
    <row r="682" spans="1:12" x14ac:dyDescent="0.25">
      <c r="A682" t="s">
        <v>724</v>
      </c>
      <c r="B682" t="s">
        <v>77</v>
      </c>
      <c r="C682" t="s">
        <v>14</v>
      </c>
      <c r="D682">
        <v>33</v>
      </c>
      <c r="E682" t="s">
        <v>15</v>
      </c>
      <c r="F682">
        <v>1</v>
      </c>
      <c r="G682">
        <v>60040</v>
      </c>
      <c r="H682">
        <v>6</v>
      </c>
      <c r="I682">
        <v>42</v>
      </c>
      <c r="J682">
        <v>5</v>
      </c>
      <c r="K682">
        <v>98</v>
      </c>
      <c r="L682" t="s">
        <v>37</v>
      </c>
    </row>
    <row r="683" spans="1:12" x14ac:dyDescent="0.25">
      <c r="A683" t="s">
        <v>725</v>
      </c>
      <c r="B683" t="s">
        <v>53</v>
      </c>
      <c r="C683" t="s">
        <v>14</v>
      </c>
      <c r="D683">
        <v>29</v>
      </c>
      <c r="E683" t="s">
        <v>15</v>
      </c>
      <c r="F683">
        <v>1</v>
      </c>
      <c r="G683">
        <v>38611</v>
      </c>
      <c r="H683">
        <v>5</v>
      </c>
      <c r="I683">
        <v>45</v>
      </c>
      <c r="J683">
        <v>5</v>
      </c>
      <c r="K683">
        <v>86</v>
      </c>
      <c r="L683" t="s">
        <v>51</v>
      </c>
    </row>
    <row r="684" spans="1:12" x14ac:dyDescent="0.25">
      <c r="A684" t="s">
        <v>726</v>
      </c>
      <c r="B684" t="s">
        <v>89</v>
      </c>
      <c r="C684" t="s">
        <v>25</v>
      </c>
      <c r="D684">
        <v>32</v>
      </c>
      <c r="E684" t="s">
        <v>15</v>
      </c>
      <c r="F684">
        <v>4</v>
      </c>
      <c r="G684">
        <v>52321</v>
      </c>
      <c r="H684">
        <v>8</v>
      </c>
      <c r="I684">
        <v>46</v>
      </c>
      <c r="J684">
        <v>4</v>
      </c>
      <c r="K684">
        <v>92</v>
      </c>
      <c r="L684" t="s">
        <v>32</v>
      </c>
    </row>
    <row r="685" spans="1:12" x14ac:dyDescent="0.25">
      <c r="A685" t="s">
        <v>727</v>
      </c>
      <c r="B685" t="s">
        <v>89</v>
      </c>
      <c r="C685" t="s">
        <v>14</v>
      </c>
      <c r="D685">
        <v>39</v>
      </c>
      <c r="E685" t="s">
        <v>19</v>
      </c>
      <c r="F685">
        <v>1</v>
      </c>
      <c r="G685">
        <v>47902</v>
      </c>
      <c r="H685">
        <v>10</v>
      </c>
      <c r="I685">
        <v>38</v>
      </c>
      <c r="J685">
        <v>1</v>
      </c>
      <c r="K685">
        <v>97</v>
      </c>
      <c r="L685" t="s">
        <v>32</v>
      </c>
    </row>
    <row r="686" spans="1:12" x14ac:dyDescent="0.25">
      <c r="A686" t="s">
        <v>728</v>
      </c>
      <c r="B686" t="s">
        <v>43</v>
      </c>
      <c r="C686" t="s">
        <v>29</v>
      </c>
      <c r="D686">
        <v>31</v>
      </c>
      <c r="E686" t="s">
        <v>15</v>
      </c>
      <c r="F686">
        <v>4</v>
      </c>
      <c r="G686">
        <v>58909</v>
      </c>
      <c r="H686">
        <v>10</v>
      </c>
      <c r="I686">
        <v>40</v>
      </c>
      <c r="J686">
        <v>4</v>
      </c>
      <c r="K686">
        <v>89</v>
      </c>
      <c r="L686" t="s">
        <v>23</v>
      </c>
    </row>
    <row r="687" spans="1:12" x14ac:dyDescent="0.25">
      <c r="A687" t="s">
        <v>729</v>
      </c>
      <c r="B687" t="s">
        <v>70</v>
      </c>
      <c r="C687" t="s">
        <v>25</v>
      </c>
      <c r="D687">
        <v>35</v>
      </c>
      <c r="E687" t="s">
        <v>19</v>
      </c>
      <c r="F687">
        <v>13</v>
      </c>
      <c r="G687">
        <v>26905</v>
      </c>
      <c r="H687">
        <v>4</v>
      </c>
      <c r="I687">
        <v>45</v>
      </c>
      <c r="J687">
        <v>5</v>
      </c>
      <c r="K687">
        <v>86</v>
      </c>
      <c r="L687" t="s">
        <v>23</v>
      </c>
    </row>
    <row r="688" spans="1:12" x14ac:dyDescent="0.25">
      <c r="A688" t="s">
        <v>730</v>
      </c>
      <c r="B688" t="s">
        <v>83</v>
      </c>
      <c r="C688" t="s">
        <v>14</v>
      </c>
      <c r="D688">
        <v>28</v>
      </c>
      <c r="E688" t="s">
        <v>15</v>
      </c>
      <c r="F688">
        <v>11</v>
      </c>
      <c r="G688">
        <v>52868</v>
      </c>
      <c r="H688">
        <v>4</v>
      </c>
      <c r="I688">
        <v>48</v>
      </c>
      <c r="J688">
        <v>1</v>
      </c>
      <c r="K688">
        <v>88</v>
      </c>
      <c r="L688" t="s">
        <v>51</v>
      </c>
    </row>
    <row r="689" spans="1:12" x14ac:dyDescent="0.25">
      <c r="A689" t="s">
        <v>731</v>
      </c>
      <c r="B689" t="s">
        <v>28</v>
      </c>
      <c r="C689" t="s">
        <v>22</v>
      </c>
      <c r="D689">
        <v>35</v>
      </c>
      <c r="E689" t="s">
        <v>15</v>
      </c>
      <c r="F689">
        <v>6</v>
      </c>
      <c r="G689">
        <v>25018</v>
      </c>
      <c r="H689">
        <v>14</v>
      </c>
      <c r="I689">
        <v>48</v>
      </c>
      <c r="J689">
        <v>4</v>
      </c>
      <c r="K689">
        <v>90</v>
      </c>
      <c r="L689" t="s">
        <v>32</v>
      </c>
    </row>
    <row r="690" spans="1:12" x14ac:dyDescent="0.25">
      <c r="A690" t="s">
        <v>732</v>
      </c>
      <c r="B690" t="s">
        <v>77</v>
      </c>
      <c r="C690" t="s">
        <v>25</v>
      </c>
      <c r="D690">
        <v>22</v>
      </c>
      <c r="E690" t="s">
        <v>19</v>
      </c>
      <c r="F690">
        <v>2</v>
      </c>
      <c r="G690">
        <v>36546</v>
      </c>
      <c r="H690">
        <v>11</v>
      </c>
      <c r="I690">
        <v>41</v>
      </c>
      <c r="J690">
        <v>5</v>
      </c>
      <c r="K690">
        <v>96</v>
      </c>
      <c r="L690" t="s">
        <v>51</v>
      </c>
    </row>
    <row r="691" spans="1:12" x14ac:dyDescent="0.25">
      <c r="A691" t="s">
        <v>733</v>
      </c>
      <c r="B691" t="s">
        <v>77</v>
      </c>
      <c r="C691" t="s">
        <v>22</v>
      </c>
      <c r="D691">
        <v>29</v>
      </c>
      <c r="E691" t="s">
        <v>15</v>
      </c>
      <c r="F691">
        <v>2</v>
      </c>
      <c r="G691">
        <v>33668</v>
      </c>
      <c r="H691">
        <v>10</v>
      </c>
      <c r="I691">
        <v>38</v>
      </c>
      <c r="J691">
        <v>4</v>
      </c>
      <c r="K691">
        <v>85</v>
      </c>
      <c r="L691" t="s">
        <v>23</v>
      </c>
    </row>
    <row r="692" spans="1:12" x14ac:dyDescent="0.25">
      <c r="A692" t="s">
        <v>734</v>
      </c>
      <c r="B692" t="s">
        <v>75</v>
      </c>
      <c r="C692" t="s">
        <v>25</v>
      </c>
      <c r="D692">
        <v>37</v>
      </c>
      <c r="E692" t="s">
        <v>19</v>
      </c>
      <c r="F692">
        <v>7</v>
      </c>
      <c r="G692">
        <v>35394</v>
      </c>
      <c r="H692">
        <v>5</v>
      </c>
      <c r="I692">
        <v>46</v>
      </c>
      <c r="J692">
        <v>2</v>
      </c>
      <c r="K692">
        <v>89</v>
      </c>
      <c r="L692" t="s">
        <v>26</v>
      </c>
    </row>
    <row r="693" spans="1:12" x14ac:dyDescent="0.25">
      <c r="A693" t="s">
        <v>735</v>
      </c>
      <c r="B693" t="s">
        <v>31</v>
      </c>
      <c r="C693" t="s">
        <v>25</v>
      </c>
      <c r="D693">
        <v>38</v>
      </c>
      <c r="E693" t="s">
        <v>19</v>
      </c>
      <c r="F693">
        <v>9</v>
      </c>
      <c r="G693">
        <v>55487</v>
      </c>
      <c r="H693">
        <v>8</v>
      </c>
      <c r="I693">
        <v>42</v>
      </c>
      <c r="J693">
        <v>3</v>
      </c>
      <c r="K693">
        <v>96</v>
      </c>
      <c r="L693" t="s">
        <v>37</v>
      </c>
    </row>
    <row r="694" spans="1:12" x14ac:dyDescent="0.25">
      <c r="A694" t="s">
        <v>736</v>
      </c>
      <c r="B694" t="s">
        <v>81</v>
      </c>
      <c r="C694" t="s">
        <v>29</v>
      </c>
      <c r="D694">
        <v>22</v>
      </c>
      <c r="E694" t="s">
        <v>15</v>
      </c>
      <c r="F694">
        <v>15</v>
      </c>
      <c r="G694">
        <v>71226</v>
      </c>
      <c r="H694">
        <v>5</v>
      </c>
      <c r="I694">
        <v>36</v>
      </c>
      <c r="J694">
        <v>1</v>
      </c>
      <c r="K694">
        <v>98</v>
      </c>
      <c r="L694" t="s">
        <v>16</v>
      </c>
    </row>
    <row r="695" spans="1:12" x14ac:dyDescent="0.25">
      <c r="A695" t="s">
        <v>737</v>
      </c>
      <c r="B695" t="s">
        <v>31</v>
      </c>
      <c r="C695" t="s">
        <v>14</v>
      </c>
      <c r="D695">
        <v>38</v>
      </c>
      <c r="E695" t="s">
        <v>19</v>
      </c>
      <c r="F695">
        <v>1</v>
      </c>
      <c r="G695">
        <v>63566</v>
      </c>
      <c r="H695">
        <v>15</v>
      </c>
      <c r="I695">
        <v>47</v>
      </c>
      <c r="J695">
        <v>3</v>
      </c>
      <c r="K695">
        <v>94</v>
      </c>
      <c r="L695" t="s">
        <v>26</v>
      </c>
    </row>
    <row r="696" spans="1:12" x14ac:dyDescent="0.25">
      <c r="A696" t="s">
        <v>738</v>
      </c>
      <c r="B696" t="s">
        <v>83</v>
      </c>
      <c r="C696" t="s">
        <v>22</v>
      </c>
      <c r="D696">
        <v>23</v>
      </c>
      <c r="E696" t="s">
        <v>15</v>
      </c>
      <c r="F696">
        <v>1</v>
      </c>
      <c r="G696">
        <v>54295</v>
      </c>
      <c r="H696">
        <v>10</v>
      </c>
      <c r="I696">
        <v>41</v>
      </c>
      <c r="J696">
        <v>4</v>
      </c>
      <c r="K696">
        <v>94</v>
      </c>
      <c r="L696" t="s">
        <v>32</v>
      </c>
    </row>
    <row r="697" spans="1:12" x14ac:dyDescent="0.25">
      <c r="A697" t="s">
        <v>739</v>
      </c>
      <c r="B697" t="s">
        <v>31</v>
      </c>
      <c r="C697" t="s">
        <v>22</v>
      </c>
      <c r="D697">
        <v>35</v>
      </c>
      <c r="E697" t="s">
        <v>19</v>
      </c>
      <c r="F697">
        <v>13</v>
      </c>
      <c r="G697">
        <v>63153</v>
      </c>
      <c r="H697">
        <v>5</v>
      </c>
      <c r="I697">
        <v>46</v>
      </c>
      <c r="J697">
        <v>3</v>
      </c>
      <c r="K697">
        <v>91</v>
      </c>
      <c r="L697" t="s">
        <v>26</v>
      </c>
    </row>
    <row r="698" spans="1:12" x14ac:dyDescent="0.25">
      <c r="A698" t="s">
        <v>740</v>
      </c>
      <c r="B698" t="s">
        <v>36</v>
      </c>
      <c r="C698" t="s">
        <v>14</v>
      </c>
      <c r="D698">
        <v>26</v>
      </c>
      <c r="E698" t="s">
        <v>15</v>
      </c>
      <c r="F698">
        <v>9</v>
      </c>
      <c r="G698">
        <v>38519</v>
      </c>
      <c r="H698">
        <v>3</v>
      </c>
      <c r="I698">
        <v>46</v>
      </c>
      <c r="J698">
        <v>4</v>
      </c>
      <c r="K698">
        <v>93</v>
      </c>
      <c r="L698" t="s">
        <v>37</v>
      </c>
    </row>
    <row r="699" spans="1:12" x14ac:dyDescent="0.25">
      <c r="A699" t="s">
        <v>741</v>
      </c>
      <c r="B699" t="s">
        <v>77</v>
      </c>
      <c r="C699" t="s">
        <v>14</v>
      </c>
      <c r="D699">
        <v>39</v>
      </c>
      <c r="E699" t="s">
        <v>19</v>
      </c>
      <c r="F699">
        <v>7</v>
      </c>
      <c r="G699">
        <v>72703</v>
      </c>
      <c r="H699">
        <v>15</v>
      </c>
      <c r="I699">
        <v>43</v>
      </c>
      <c r="J699">
        <v>1</v>
      </c>
      <c r="K699">
        <v>88</v>
      </c>
      <c r="L699" t="s">
        <v>32</v>
      </c>
    </row>
    <row r="700" spans="1:12" x14ac:dyDescent="0.25">
      <c r="A700" t="s">
        <v>742</v>
      </c>
      <c r="B700" t="s">
        <v>45</v>
      </c>
      <c r="C700" t="s">
        <v>14</v>
      </c>
      <c r="D700">
        <v>31</v>
      </c>
      <c r="E700" t="s">
        <v>19</v>
      </c>
      <c r="F700">
        <v>14</v>
      </c>
      <c r="G700">
        <v>69917</v>
      </c>
      <c r="H700">
        <v>14</v>
      </c>
      <c r="I700">
        <v>50</v>
      </c>
      <c r="J700">
        <v>2</v>
      </c>
      <c r="K700">
        <v>88</v>
      </c>
      <c r="L700" t="s">
        <v>51</v>
      </c>
    </row>
    <row r="701" spans="1:12" x14ac:dyDescent="0.25">
      <c r="A701" t="s">
        <v>743</v>
      </c>
      <c r="B701" t="s">
        <v>40</v>
      </c>
      <c r="C701" t="s">
        <v>25</v>
      </c>
      <c r="D701">
        <v>33</v>
      </c>
      <c r="E701" t="s">
        <v>15</v>
      </c>
      <c r="F701">
        <v>6</v>
      </c>
      <c r="G701">
        <v>77495</v>
      </c>
      <c r="H701">
        <v>14</v>
      </c>
      <c r="I701">
        <v>42</v>
      </c>
      <c r="J701">
        <v>5</v>
      </c>
      <c r="K701">
        <v>87</v>
      </c>
      <c r="L701" t="s">
        <v>37</v>
      </c>
    </row>
    <row r="702" spans="1:12" x14ac:dyDescent="0.25">
      <c r="A702" t="s">
        <v>744</v>
      </c>
      <c r="B702" t="s">
        <v>34</v>
      </c>
      <c r="C702" t="s">
        <v>14</v>
      </c>
      <c r="D702">
        <v>31</v>
      </c>
      <c r="E702" t="s">
        <v>15</v>
      </c>
      <c r="F702">
        <v>11</v>
      </c>
      <c r="G702">
        <v>68859</v>
      </c>
      <c r="H702">
        <v>3</v>
      </c>
      <c r="I702">
        <v>36</v>
      </c>
      <c r="J702">
        <v>2</v>
      </c>
      <c r="K702">
        <v>96</v>
      </c>
      <c r="L702" t="s">
        <v>23</v>
      </c>
    </row>
    <row r="703" spans="1:12" x14ac:dyDescent="0.25">
      <c r="A703" t="s">
        <v>745</v>
      </c>
      <c r="B703" t="s">
        <v>77</v>
      </c>
      <c r="C703" t="s">
        <v>22</v>
      </c>
      <c r="D703">
        <v>33</v>
      </c>
      <c r="E703" t="s">
        <v>15</v>
      </c>
      <c r="F703">
        <v>11</v>
      </c>
      <c r="G703">
        <v>65958</v>
      </c>
      <c r="H703">
        <v>6</v>
      </c>
      <c r="I703">
        <v>42</v>
      </c>
      <c r="J703">
        <v>2</v>
      </c>
      <c r="K703">
        <v>99</v>
      </c>
      <c r="L703" t="s">
        <v>26</v>
      </c>
    </row>
    <row r="704" spans="1:12" x14ac:dyDescent="0.25">
      <c r="A704" t="s">
        <v>746</v>
      </c>
      <c r="B704" t="s">
        <v>75</v>
      </c>
      <c r="C704" t="s">
        <v>29</v>
      </c>
      <c r="D704">
        <v>31</v>
      </c>
      <c r="E704" t="s">
        <v>19</v>
      </c>
      <c r="F704">
        <v>3</v>
      </c>
      <c r="G704">
        <v>36106</v>
      </c>
      <c r="H704">
        <v>9</v>
      </c>
      <c r="I704">
        <v>38</v>
      </c>
      <c r="J704">
        <v>2</v>
      </c>
      <c r="K704">
        <v>87</v>
      </c>
      <c r="L704" t="s">
        <v>16</v>
      </c>
    </row>
    <row r="705" spans="1:12" x14ac:dyDescent="0.25">
      <c r="A705" t="s">
        <v>747</v>
      </c>
      <c r="B705" t="s">
        <v>89</v>
      </c>
      <c r="C705" t="s">
        <v>22</v>
      </c>
      <c r="D705">
        <v>27</v>
      </c>
      <c r="E705" t="s">
        <v>19</v>
      </c>
      <c r="F705">
        <v>13</v>
      </c>
      <c r="G705">
        <v>42168</v>
      </c>
      <c r="H705">
        <v>5</v>
      </c>
      <c r="I705">
        <v>44</v>
      </c>
      <c r="J705">
        <v>3</v>
      </c>
      <c r="K705">
        <v>99</v>
      </c>
      <c r="L705" t="s">
        <v>23</v>
      </c>
    </row>
    <row r="706" spans="1:12" x14ac:dyDescent="0.25">
      <c r="A706" t="s">
        <v>748</v>
      </c>
      <c r="B706" t="s">
        <v>18</v>
      </c>
      <c r="C706" t="s">
        <v>25</v>
      </c>
      <c r="D706">
        <v>28</v>
      </c>
      <c r="E706" t="s">
        <v>19</v>
      </c>
      <c r="F706">
        <v>11</v>
      </c>
      <c r="G706">
        <v>52581</v>
      </c>
      <c r="H706">
        <v>3</v>
      </c>
      <c r="I706">
        <v>45</v>
      </c>
      <c r="J706">
        <v>3</v>
      </c>
      <c r="K706">
        <v>100</v>
      </c>
      <c r="L706" t="s">
        <v>23</v>
      </c>
    </row>
    <row r="707" spans="1:12" x14ac:dyDescent="0.25">
      <c r="A707" t="s">
        <v>749</v>
      </c>
      <c r="B707" t="s">
        <v>70</v>
      </c>
      <c r="C707" t="s">
        <v>25</v>
      </c>
      <c r="D707">
        <v>23</v>
      </c>
      <c r="E707" t="s">
        <v>19</v>
      </c>
      <c r="F707">
        <v>13</v>
      </c>
      <c r="G707">
        <v>66867</v>
      </c>
      <c r="H707">
        <v>7</v>
      </c>
      <c r="I707">
        <v>45</v>
      </c>
      <c r="J707">
        <v>1</v>
      </c>
      <c r="K707">
        <v>98</v>
      </c>
      <c r="L707" t="s">
        <v>23</v>
      </c>
    </row>
    <row r="708" spans="1:12" x14ac:dyDescent="0.25">
      <c r="A708" t="s">
        <v>750</v>
      </c>
      <c r="B708" t="s">
        <v>77</v>
      </c>
      <c r="C708" t="s">
        <v>14</v>
      </c>
      <c r="D708">
        <v>30</v>
      </c>
      <c r="E708" t="s">
        <v>19</v>
      </c>
      <c r="F708">
        <v>7</v>
      </c>
      <c r="G708">
        <v>71560</v>
      </c>
      <c r="H708">
        <v>6</v>
      </c>
      <c r="I708">
        <v>44</v>
      </c>
      <c r="J708">
        <v>5</v>
      </c>
      <c r="K708">
        <v>92</v>
      </c>
      <c r="L708" t="s">
        <v>16</v>
      </c>
    </row>
    <row r="709" spans="1:12" x14ac:dyDescent="0.25">
      <c r="A709" t="s">
        <v>751</v>
      </c>
      <c r="B709" t="s">
        <v>77</v>
      </c>
      <c r="C709" t="s">
        <v>25</v>
      </c>
      <c r="D709">
        <v>30</v>
      </c>
      <c r="E709" t="s">
        <v>19</v>
      </c>
      <c r="F709">
        <v>8</v>
      </c>
      <c r="G709">
        <v>64104</v>
      </c>
      <c r="H709">
        <v>13</v>
      </c>
      <c r="I709">
        <v>50</v>
      </c>
      <c r="J709">
        <v>3</v>
      </c>
      <c r="K709">
        <v>93</v>
      </c>
      <c r="L709" t="s">
        <v>26</v>
      </c>
    </row>
    <row r="710" spans="1:12" x14ac:dyDescent="0.25">
      <c r="A710" t="s">
        <v>752</v>
      </c>
      <c r="B710" t="s">
        <v>63</v>
      </c>
      <c r="C710" t="s">
        <v>14</v>
      </c>
      <c r="D710">
        <v>25</v>
      </c>
      <c r="E710" t="s">
        <v>15</v>
      </c>
      <c r="F710">
        <v>11</v>
      </c>
      <c r="G710">
        <v>47563</v>
      </c>
      <c r="H710">
        <v>4</v>
      </c>
      <c r="I710">
        <v>41</v>
      </c>
      <c r="J710">
        <v>2</v>
      </c>
      <c r="K710">
        <v>94</v>
      </c>
      <c r="L710" t="s">
        <v>16</v>
      </c>
    </row>
    <row r="711" spans="1:12" x14ac:dyDescent="0.25">
      <c r="A711" t="s">
        <v>753</v>
      </c>
      <c r="B711" t="s">
        <v>34</v>
      </c>
      <c r="C711" t="s">
        <v>22</v>
      </c>
      <c r="D711">
        <v>40</v>
      </c>
      <c r="E711" t="s">
        <v>19</v>
      </c>
      <c r="F711">
        <v>15</v>
      </c>
      <c r="G711">
        <v>41699</v>
      </c>
      <c r="H711">
        <v>7</v>
      </c>
      <c r="I711">
        <v>35</v>
      </c>
      <c r="J711">
        <v>4</v>
      </c>
      <c r="K711">
        <v>87</v>
      </c>
      <c r="L711" t="s">
        <v>16</v>
      </c>
    </row>
    <row r="712" spans="1:12" x14ac:dyDescent="0.25">
      <c r="A712" t="s">
        <v>754</v>
      </c>
      <c r="B712" t="s">
        <v>28</v>
      </c>
      <c r="C712" t="s">
        <v>29</v>
      </c>
      <c r="D712">
        <v>39</v>
      </c>
      <c r="E712" t="s">
        <v>15</v>
      </c>
      <c r="F712">
        <v>1</v>
      </c>
      <c r="G712">
        <v>64229</v>
      </c>
      <c r="H712">
        <v>14</v>
      </c>
      <c r="I712">
        <v>48</v>
      </c>
      <c r="J712">
        <v>4</v>
      </c>
      <c r="K712">
        <v>100</v>
      </c>
      <c r="L712" t="s">
        <v>32</v>
      </c>
    </row>
    <row r="713" spans="1:12" x14ac:dyDescent="0.25">
      <c r="A713" t="s">
        <v>755</v>
      </c>
      <c r="B713" t="s">
        <v>70</v>
      </c>
      <c r="C713" t="s">
        <v>22</v>
      </c>
      <c r="D713">
        <v>27</v>
      </c>
      <c r="E713" t="s">
        <v>19</v>
      </c>
      <c r="F713">
        <v>13</v>
      </c>
      <c r="G713">
        <v>43918</v>
      </c>
      <c r="H713">
        <v>12</v>
      </c>
      <c r="I713">
        <v>35</v>
      </c>
      <c r="J713">
        <v>1</v>
      </c>
      <c r="K713">
        <v>88</v>
      </c>
      <c r="L713" t="s">
        <v>16</v>
      </c>
    </row>
    <row r="714" spans="1:12" x14ac:dyDescent="0.25">
      <c r="A714" t="s">
        <v>756</v>
      </c>
      <c r="B714" t="s">
        <v>94</v>
      </c>
      <c r="C714" t="s">
        <v>14</v>
      </c>
      <c r="D714">
        <v>26</v>
      </c>
      <c r="E714" t="s">
        <v>19</v>
      </c>
      <c r="F714">
        <v>11</v>
      </c>
      <c r="G714">
        <v>58930</v>
      </c>
      <c r="H714">
        <v>5</v>
      </c>
      <c r="I714">
        <v>44</v>
      </c>
      <c r="J714">
        <v>2</v>
      </c>
      <c r="K714">
        <v>92</v>
      </c>
      <c r="L714" t="s">
        <v>23</v>
      </c>
    </row>
    <row r="715" spans="1:12" x14ac:dyDescent="0.25">
      <c r="A715" t="s">
        <v>757</v>
      </c>
      <c r="B715" t="s">
        <v>83</v>
      </c>
      <c r="C715" t="s">
        <v>29</v>
      </c>
      <c r="D715">
        <v>26</v>
      </c>
      <c r="E715" t="s">
        <v>19</v>
      </c>
      <c r="F715">
        <v>12</v>
      </c>
      <c r="G715">
        <v>71354</v>
      </c>
      <c r="H715">
        <v>9</v>
      </c>
      <c r="I715">
        <v>40</v>
      </c>
      <c r="J715">
        <v>5</v>
      </c>
      <c r="K715">
        <v>88</v>
      </c>
      <c r="L715" t="s">
        <v>26</v>
      </c>
    </row>
    <row r="716" spans="1:12" x14ac:dyDescent="0.25">
      <c r="A716" t="s">
        <v>758</v>
      </c>
      <c r="B716" t="s">
        <v>36</v>
      </c>
      <c r="C716" t="s">
        <v>14</v>
      </c>
      <c r="D716">
        <v>39</v>
      </c>
      <c r="E716" t="s">
        <v>15</v>
      </c>
      <c r="F716">
        <v>15</v>
      </c>
      <c r="G716">
        <v>28807</v>
      </c>
      <c r="H716">
        <v>12</v>
      </c>
      <c r="I716">
        <v>38</v>
      </c>
      <c r="J716">
        <v>1</v>
      </c>
      <c r="K716">
        <v>87</v>
      </c>
      <c r="L716" t="s">
        <v>37</v>
      </c>
    </row>
    <row r="717" spans="1:12" x14ac:dyDescent="0.25">
      <c r="A717" t="s">
        <v>759</v>
      </c>
      <c r="B717" t="s">
        <v>45</v>
      </c>
      <c r="C717" t="s">
        <v>29</v>
      </c>
      <c r="D717">
        <v>36</v>
      </c>
      <c r="E717" t="s">
        <v>15</v>
      </c>
      <c r="F717">
        <v>3</v>
      </c>
      <c r="G717">
        <v>46803</v>
      </c>
      <c r="H717">
        <v>3</v>
      </c>
      <c r="I717">
        <v>44</v>
      </c>
      <c r="J717">
        <v>1</v>
      </c>
      <c r="K717">
        <v>85</v>
      </c>
      <c r="L717" t="s">
        <v>23</v>
      </c>
    </row>
    <row r="718" spans="1:12" x14ac:dyDescent="0.25">
      <c r="A718" t="s">
        <v>760</v>
      </c>
      <c r="B718" t="s">
        <v>83</v>
      </c>
      <c r="C718" t="s">
        <v>25</v>
      </c>
      <c r="D718">
        <v>33</v>
      </c>
      <c r="E718" t="s">
        <v>15</v>
      </c>
      <c r="F718">
        <v>3</v>
      </c>
      <c r="G718">
        <v>30382</v>
      </c>
      <c r="H718">
        <v>11</v>
      </c>
      <c r="I718">
        <v>45</v>
      </c>
      <c r="J718">
        <v>1</v>
      </c>
      <c r="K718">
        <v>88</v>
      </c>
      <c r="L718" t="s">
        <v>37</v>
      </c>
    </row>
    <row r="719" spans="1:12" x14ac:dyDescent="0.25">
      <c r="A719" t="s">
        <v>761</v>
      </c>
      <c r="B719" t="s">
        <v>45</v>
      </c>
      <c r="C719" t="s">
        <v>22</v>
      </c>
      <c r="D719">
        <v>39</v>
      </c>
      <c r="E719" t="s">
        <v>19</v>
      </c>
      <c r="F719">
        <v>5</v>
      </c>
      <c r="G719">
        <v>68983</v>
      </c>
      <c r="H719">
        <v>13</v>
      </c>
      <c r="I719">
        <v>49</v>
      </c>
      <c r="J719">
        <v>4</v>
      </c>
      <c r="K719">
        <v>92</v>
      </c>
      <c r="L719" t="s">
        <v>16</v>
      </c>
    </row>
    <row r="720" spans="1:12" x14ac:dyDescent="0.25">
      <c r="A720" t="s">
        <v>762</v>
      </c>
      <c r="B720" t="s">
        <v>75</v>
      </c>
      <c r="C720" t="s">
        <v>25</v>
      </c>
      <c r="D720">
        <v>38</v>
      </c>
      <c r="E720" t="s">
        <v>19</v>
      </c>
      <c r="F720">
        <v>14</v>
      </c>
      <c r="G720">
        <v>69650</v>
      </c>
      <c r="H720">
        <v>5</v>
      </c>
      <c r="I720">
        <v>41</v>
      </c>
      <c r="J720">
        <v>3</v>
      </c>
      <c r="K720">
        <v>94</v>
      </c>
      <c r="L720" t="s">
        <v>51</v>
      </c>
    </row>
    <row r="721" spans="1:12" x14ac:dyDescent="0.25">
      <c r="A721" t="s">
        <v>763</v>
      </c>
      <c r="B721" t="s">
        <v>65</v>
      </c>
      <c r="C721" t="s">
        <v>14</v>
      </c>
      <c r="D721">
        <v>39</v>
      </c>
      <c r="E721" t="s">
        <v>15</v>
      </c>
      <c r="F721">
        <v>6</v>
      </c>
      <c r="G721">
        <v>60185</v>
      </c>
      <c r="H721">
        <v>15</v>
      </c>
      <c r="I721">
        <v>42</v>
      </c>
      <c r="J721">
        <v>3</v>
      </c>
      <c r="K721">
        <v>86</v>
      </c>
      <c r="L721" t="s">
        <v>23</v>
      </c>
    </row>
    <row r="722" spans="1:12" x14ac:dyDescent="0.25">
      <c r="A722" t="s">
        <v>764</v>
      </c>
      <c r="B722" t="s">
        <v>65</v>
      </c>
      <c r="C722" t="s">
        <v>29</v>
      </c>
      <c r="D722">
        <v>31</v>
      </c>
      <c r="E722" t="s">
        <v>15</v>
      </c>
      <c r="F722">
        <v>14</v>
      </c>
      <c r="G722">
        <v>27658</v>
      </c>
      <c r="H722">
        <v>14</v>
      </c>
      <c r="I722">
        <v>50</v>
      </c>
      <c r="J722">
        <v>5</v>
      </c>
      <c r="K722">
        <v>99</v>
      </c>
      <c r="L722" t="s">
        <v>37</v>
      </c>
    </row>
    <row r="723" spans="1:12" x14ac:dyDescent="0.25">
      <c r="A723" t="s">
        <v>765</v>
      </c>
      <c r="B723" t="s">
        <v>53</v>
      </c>
      <c r="C723" t="s">
        <v>22</v>
      </c>
      <c r="D723">
        <v>35</v>
      </c>
      <c r="E723" t="s">
        <v>15</v>
      </c>
      <c r="F723">
        <v>7</v>
      </c>
      <c r="G723">
        <v>45134</v>
      </c>
      <c r="H723">
        <v>10</v>
      </c>
      <c r="I723">
        <v>42</v>
      </c>
      <c r="J723">
        <v>4</v>
      </c>
      <c r="K723">
        <v>86</v>
      </c>
      <c r="L723" t="s">
        <v>32</v>
      </c>
    </row>
    <row r="724" spans="1:12" x14ac:dyDescent="0.25">
      <c r="A724" t="s">
        <v>766</v>
      </c>
      <c r="B724" t="s">
        <v>18</v>
      </c>
      <c r="C724" t="s">
        <v>14</v>
      </c>
      <c r="D724">
        <v>40</v>
      </c>
      <c r="E724" t="s">
        <v>19</v>
      </c>
      <c r="F724">
        <v>13</v>
      </c>
      <c r="G724">
        <v>67783</v>
      </c>
      <c r="H724">
        <v>10</v>
      </c>
      <c r="I724">
        <v>36</v>
      </c>
      <c r="J724">
        <v>4</v>
      </c>
      <c r="K724">
        <v>94</v>
      </c>
      <c r="L724" t="s">
        <v>16</v>
      </c>
    </row>
    <row r="725" spans="1:12" x14ac:dyDescent="0.25">
      <c r="A725" t="s">
        <v>767</v>
      </c>
      <c r="B725" t="s">
        <v>75</v>
      </c>
      <c r="C725" t="s">
        <v>29</v>
      </c>
      <c r="D725">
        <v>27</v>
      </c>
      <c r="E725" t="s">
        <v>19</v>
      </c>
      <c r="F725">
        <v>10</v>
      </c>
      <c r="G725">
        <v>74627</v>
      </c>
      <c r="H725">
        <v>13</v>
      </c>
      <c r="I725">
        <v>48</v>
      </c>
      <c r="J725">
        <v>5</v>
      </c>
      <c r="K725">
        <v>94</v>
      </c>
      <c r="L725" t="s">
        <v>51</v>
      </c>
    </row>
    <row r="726" spans="1:12" x14ac:dyDescent="0.25">
      <c r="A726" t="s">
        <v>768</v>
      </c>
      <c r="B726" t="s">
        <v>34</v>
      </c>
      <c r="C726" t="s">
        <v>14</v>
      </c>
      <c r="D726">
        <v>39</v>
      </c>
      <c r="E726" t="s">
        <v>19</v>
      </c>
      <c r="F726">
        <v>5</v>
      </c>
      <c r="G726">
        <v>51728</v>
      </c>
      <c r="H726">
        <v>14</v>
      </c>
      <c r="I726">
        <v>46</v>
      </c>
      <c r="J726">
        <v>3</v>
      </c>
      <c r="K726">
        <v>91</v>
      </c>
      <c r="L726" t="s">
        <v>16</v>
      </c>
    </row>
    <row r="727" spans="1:12" x14ac:dyDescent="0.25">
      <c r="A727" t="s">
        <v>769</v>
      </c>
      <c r="B727" t="s">
        <v>31</v>
      </c>
      <c r="C727" t="s">
        <v>25</v>
      </c>
      <c r="D727">
        <v>39</v>
      </c>
      <c r="E727" t="s">
        <v>19</v>
      </c>
      <c r="F727">
        <v>4</v>
      </c>
      <c r="G727">
        <v>76635</v>
      </c>
      <c r="H727">
        <v>12</v>
      </c>
      <c r="I727">
        <v>35</v>
      </c>
      <c r="J727">
        <v>3</v>
      </c>
      <c r="K727">
        <v>87</v>
      </c>
      <c r="L727" t="s">
        <v>37</v>
      </c>
    </row>
    <row r="728" spans="1:12" x14ac:dyDescent="0.25">
      <c r="A728" t="s">
        <v>770</v>
      </c>
      <c r="B728" t="s">
        <v>75</v>
      </c>
      <c r="C728" t="s">
        <v>25</v>
      </c>
      <c r="D728">
        <v>35</v>
      </c>
      <c r="E728" t="s">
        <v>19</v>
      </c>
      <c r="F728">
        <v>5</v>
      </c>
      <c r="G728">
        <v>69810</v>
      </c>
      <c r="H728">
        <v>11</v>
      </c>
      <c r="I728">
        <v>37</v>
      </c>
      <c r="J728">
        <v>5</v>
      </c>
      <c r="K728">
        <v>97</v>
      </c>
      <c r="L728" t="s">
        <v>37</v>
      </c>
    </row>
    <row r="729" spans="1:12" x14ac:dyDescent="0.25">
      <c r="A729" t="s">
        <v>771</v>
      </c>
      <c r="B729" t="s">
        <v>45</v>
      </c>
      <c r="C729" t="s">
        <v>22</v>
      </c>
      <c r="D729">
        <v>40</v>
      </c>
      <c r="E729" t="s">
        <v>19</v>
      </c>
      <c r="F729">
        <v>1</v>
      </c>
      <c r="G729">
        <v>31414</v>
      </c>
      <c r="H729">
        <v>6</v>
      </c>
      <c r="I729">
        <v>44</v>
      </c>
      <c r="J729">
        <v>4</v>
      </c>
      <c r="K729">
        <v>100</v>
      </c>
      <c r="L729" t="s">
        <v>16</v>
      </c>
    </row>
    <row r="730" spans="1:12" x14ac:dyDescent="0.25">
      <c r="A730" t="s">
        <v>772</v>
      </c>
      <c r="B730" t="s">
        <v>77</v>
      </c>
      <c r="C730" t="s">
        <v>14</v>
      </c>
      <c r="D730">
        <v>39</v>
      </c>
      <c r="E730" t="s">
        <v>19</v>
      </c>
      <c r="F730">
        <v>12</v>
      </c>
      <c r="G730">
        <v>63943</v>
      </c>
      <c r="H730">
        <v>15</v>
      </c>
      <c r="I730">
        <v>48</v>
      </c>
      <c r="J730">
        <v>4</v>
      </c>
      <c r="K730">
        <v>95</v>
      </c>
      <c r="L730" t="s">
        <v>32</v>
      </c>
    </row>
    <row r="731" spans="1:12" x14ac:dyDescent="0.25">
      <c r="A731" t="s">
        <v>773</v>
      </c>
      <c r="B731" t="s">
        <v>36</v>
      </c>
      <c r="C731" t="s">
        <v>22</v>
      </c>
      <c r="D731">
        <v>26</v>
      </c>
      <c r="E731" t="s">
        <v>19</v>
      </c>
      <c r="F731">
        <v>12</v>
      </c>
      <c r="G731">
        <v>59495</v>
      </c>
      <c r="H731">
        <v>13</v>
      </c>
      <c r="I731">
        <v>46</v>
      </c>
      <c r="J731">
        <v>5</v>
      </c>
      <c r="K731">
        <v>98</v>
      </c>
      <c r="L731" t="s">
        <v>23</v>
      </c>
    </row>
    <row r="732" spans="1:12" x14ac:dyDescent="0.25">
      <c r="A732" t="s">
        <v>774</v>
      </c>
      <c r="B732" t="s">
        <v>77</v>
      </c>
      <c r="C732" t="s">
        <v>14</v>
      </c>
      <c r="D732">
        <v>23</v>
      </c>
      <c r="E732" t="s">
        <v>15</v>
      </c>
      <c r="F732">
        <v>7</v>
      </c>
      <c r="G732">
        <v>38055</v>
      </c>
      <c r="H732">
        <v>12</v>
      </c>
      <c r="I732">
        <v>45</v>
      </c>
      <c r="J732">
        <v>5</v>
      </c>
      <c r="K732">
        <v>89</v>
      </c>
      <c r="L732" t="s">
        <v>23</v>
      </c>
    </row>
    <row r="733" spans="1:12" x14ac:dyDescent="0.25">
      <c r="A733" t="s">
        <v>775</v>
      </c>
      <c r="B733" t="s">
        <v>21</v>
      </c>
      <c r="C733" t="s">
        <v>25</v>
      </c>
      <c r="D733">
        <v>31</v>
      </c>
      <c r="E733" t="s">
        <v>15</v>
      </c>
      <c r="F733">
        <v>12</v>
      </c>
      <c r="G733">
        <v>71700</v>
      </c>
      <c r="H733">
        <v>10</v>
      </c>
      <c r="I733">
        <v>43</v>
      </c>
      <c r="J733">
        <v>4</v>
      </c>
      <c r="K733">
        <v>89</v>
      </c>
      <c r="L733" t="s">
        <v>37</v>
      </c>
    </row>
    <row r="734" spans="1:12" x14ac:dyDescent="0.25">
      <c r="A734" t="s">
        <v>776</v>
      </c>
      <c r="B734" t="s">
        <v>18</v>
      </c>
      <c r="C734" t="s">
        <v>29</v>
      </c>
      <c r="D734">
        <v>33</v>
      </c>
      <c r="E734" t="s">
        <v>19</v>
      </c>
      <c r="F734">
        <v>4</v>
      </c>
      <c r="G734">
        <v>50835</v>
      </c>
      <c r="H734">
        <v>6</v>
      </c>
      <c r="I734">
        <v>43</v>
      </c>
      <c r="J734">
        <v>3</v>
      </c>
      <c r="K734">
        <v>86</v>
      </c>
      <c r="L734" t="s">
        <v>32</v>
      </c>
    </row>
    <row r="735" spans="1:12" x14ac:dyDescent="0.25">
      <c r="A735" t="s">
        <v>777</v>
      </c>
      <c r="B735" t="s">
        <v>83</v>
      </c>
      <c r="C735" t="s">
        <v>25</v>
      </c>
      <c r="D735">
        <v>24</v>
      </c>
      <c r="E735" t="s">
        <v>19</v>
      </c>
      <c r="F735">
        <v>2</v>
      </c>
      <c r="G735">
        <v>46387</v>
      </c>
      <c r="H735">
        <v>6</v>
      </c>
      <c r="I735">
        <v>41</v>
      </c>
      <c r="J735">
        <v>4</v>
      </c>
      <c r="K735">
        <v>96</v>
      </c>
      <c r="L735" t="s">
        <v>32</v>
      </c>
    </row>
    <row r="736" spans="1:12" x14ac:dyDescent="0.25">
      <c r="A736" t="s">
        <v>778</v>
      </c>
      <c r="B736" t="s">
        <v>40</v>
      </c>
      <c r="C736" t="s">
        <v>25</v>
      </c>
      <c r="D736">
        <v>23</v>
      </c>
      <c r="E736" t="s">
        <v>15</v>
      </c>
      <c r="F736">
        <v>10</v>
      </c>
      <c r="G736">
        <v>38423</v>
      </c>
      <c r="H736">
        <v>15</v>
      </c>
      <c r="I736">
        <v>39</v>
      </c>
      <c r="J736">
        <v>2</v>
      </c>
      <c r="K736">
        <v>89</v>
      </c>
      <c r="L736" t="s">
        <v>23</v>
      </c>
    </row>
    <row r="737" spans="1:12" x14ac:dyDescent="0.25">
      <c r="A737" t="s">
        <v>779</v>
      </c>
      <c r="B737" t="s">
        <v>75</v>
      </c>
      <c r="C737" t="s">
        <v>29</v>
      </c>
      <c r="D737">
        <v>37</v>
      </c>
      <c r="E737" t="s">
        <v>19</v>
      </c>
      <c r="F737">
        <v>12</v>
      </c>
      <c r="G737">
        <v>35524</v>
      </c>
      <c r="H737">
        <v>7</v>
      </c>
      <c r="I737">
        <v>37</v>
      </c>
      <c r="J737">
        <v>1</v>
      </c>
      <c r="K737">
        <v>96</v>
      </c>
      <c r="L737" t="s">
        <v>32</v>
      </c>
    </row>
    <row r="738" spans="1:12" x14ac:dyDescent="0.25">
      <c r="A738" t="s">
        <v>780</v>
      </c>
      <c r="B738" t="s">
        <v>89</v>
      </c>
      <c r="C738" t="s">
        <v>29</v>
      </c>
      <c r="D738">
        <v>31</v>
      </c>
      <c r="E738" t="s">
        <v>19</v>
      </c>
      <c r="F738">
        <v>4</v>
      </c>
      <c r="G738">
        <v>28364</v>
      </c>
      <c r="H738">
        <v>12</v>
      </c>
      <c r="I738">
        <v>35</v>
      </c>
      <c r="J738">
        <v>2</v>
      </c>
      <c r="K738">
        <v>100</v>
      </c>
      <c r="L738" t="s">
        <v>51</v>
      </c>
    </row>
    <row r="739" spans="1:12" x14ac:dyDescent="0.25">
      <c r="A739" t="s">
        <v>781</v>
      </c>
      <c r="B739" t="s">
        <v>75</v>
      </c>
      <c r="C739" t="s">
        <v>29</v>
      </c>
      <c r="D739">
        <v>23</v>
      </c>
      <c r="E739" t="s">
        <v>19</v>
      </c>
      <c r="F739">
        <v>13</v>
      </c>
      <c r="G739">
        <v>74819</v>
      </c>
      <c r="H739">
        <v>13</v>
      </c>
      <c r="I739">
        <v>43</v>
      </c>
      <c r="J739">
        <v>2</v>
      </c>
      <c r="K739">
        <v>94</v>
      </c>
      <c r="L739" t="s">
        <v>32</v>
      </c>
    </row>
    <row r="740" spans="1:12" x14ac:dyDescent="0.25">
      <c r="A740" t="s">
        <v>782</v>
      </c>
      <c r="B740" t="s">
        <v>21</v>
      </c>
      <c r="C740" t="s">
        <v>29</v>
      </c>
      <c r="D740">
        <v>26</v>
      </c>
      <c r="E740" t="s">
        <v>15</v>
      </c>
      <c r="F740">
        <v>10</v>
      </c>
      <c r="G740">
        <v>63222</v>
      </c>
      <c r="H740">
        <v>7</v>
      </c>
      <c r="I740">
        <v>47</v>
      </c>
      <c r="J740">
        <v>2</v>
      </c>
      <c r="K740">
        <v>87</v>
      </c>
      <c r="L740" t="s">
        <v>16</v>
      </c>
    </row>
    <row r="741" spans="1:12" x14ac:dyDescent="0.25">
      <c r="A741" t="s">
        <v>783</v>
      </c>
      <c r="B741" t="s">
        <v>45</v>
      </c>
      <c r="C741" t="s">
        <v>29</v>
      </c>
      <c r="D741">
        <v>29</v>
      </c>
      <c r="E741" t="s">
        <v>19</v>
      </c>
      <c r="F741">
        <v>8</v>
      </c>
      <c r="G741">
        <v>72233</v>
      </c>
      <c r="H741">
        <v>8</v>
      </c>
      <c r="I741">
        <v>44</v>
      </c>
      <c r="J741">
        <v>1</v>
      </c>
      <c r="K741">
        <v>88</v>
      </c>
      <c r="L741" t="s">
        <v>37</v>
      </c>
    </row>
    <row r="742" spans="1:12" x14ac:dyDescent="0.25">
      <c r="A742" t="s">
        <v>784</v>
      </c>
      <c r="B742" t="s">
        <v>18</v>
      </c>
      <c r="C742" t="s">
        <v>14</v>
      </c>
      <c r="D742">
        <v>28</v>
      </c>
      <c r="E742" t="s">
        <v>15</v>
      </c>
      <c r="F742">
        <v>13</v>
      </c>
      <c r="G742">
        <v>57958</v>
      </c>
      <c r="H742">
        <v>5</v>
      </c>
      <c r="I742">
        <v>45</v>
      </c>
      <c r="J742">
        <v>4</v>
      </c>
      <c r="K742">
        <v>94</v>
      </c>
      <c r="L742" t="s">
        <v>51</v>
      </c>
    </row>
    <row r="743" spans="1:12" x14ac:dyDescent="0.25">
      <c r="A743" t="s">
        <v>785</v>
      </c>
      <c r="B743" t="s">
        <v>65</v>
      </c>
      <c r="C743" t="s">
        <v>14</v>
      </c>
      <c r="D743">
        <v>34</v>
      </c>
      <c r="E743" t="s">
        <v>19</v>
      </c>
      <c r="F743">
        <v>13</v>
      </c>
      <c r="G743">
        <v>78164</v>
      </c>
      <c r="H743">
        <v>11</v>
      </c>
      <c r="I743">
        <v>46</v>
      </c>
      <c r="J743">
        <v>5</v>
      </c>
      <c r="K743">
        <v>100</v>
      </c>
      <c r="L743" t="s">
        <v>37</v>
      </c>
    </row>
    <row r="744" spans="1:12" x14ac:dyDescent="0.25">
      <c r="A744" t="s">
        <v>786</v>
      </c>
      <c r="B744" t="s">
        <v>63</v>
      </c>
      <c r="C744" t="s">
        <v>29</v>
      </c>
      <c r="D744">
        <v>35</v>
      </c>
      <c r="E744" t="s">
        <v>19</v>
      </c>
      <c r="F744">
        <v>15</v>
      </c>
      <c r="G744">
        <v>72829</v>
      </c>
      <c r="H744">
        <v>12</v>
      </c>
      <c r="I744">
        <v>38</v>
      </c>
      <c r="J744">
        <v>1</v>
      </c>
      <c r="K744">
        <v>89</v>
      </c>
      <c r="L744" t="s">
        <v>51</v>
      </c>
    </row>
    <row r="745" spans="1:12" x14ac:dyDescent="0.25">
      <c r="A745" t="s">
        <v>787</v>
      </c>
      <c r="B745" t="s">
        <v>45</v>
      </c>
      <c r="C745" t="s">
        <v>22</v>
      </c>
      <c r="D745">
        <v>40</v>
      </c>
      <c r="E745" t="s">
        <v>19</v>
      </c>
      <c r="F745">
        <v>6</v>
      </c>
      <c r="G745">
        <v>27347</v>
      </c>
      <c r="H745">
        <v>11</v>
      </c>
      <c r="I745">
        <v>35</v>
      </c>
      <c r="J745">
        <v>2</v>
      </c>
      <c r="K745">
        <v>91</v>
      </c>
      <c r="L745" t="s">
        <v>51</v>
      </c>
    </row>
    <row r="746" spans="1:12" x14ac:dyDescent="0.25">
      <c r="A746" t="s">
        <v>788</v>
      </c>
      <c r="B746" t="s">
        <v>13</v>
      </c>
      <c r="C746" t="s">
        <v>14</v>
      </c>
      <c r="D746">
        <v>22</v>
      </c>
      <c r="E746" t="s">
        <v>19</v>
      </c>
      <c r="F746">
        <v>14</v>
      </c>
      <c r="G746">
        <v>60946</v>
      </c>
      <c r="H746">
        <v>9</v>
      </c>
      <c r="I746">
        <v>45</v>
      </c>
      <c r="J746">
        <v>5</v>
      </c>
      <c r="K746">
        <v>93</v>
      </c>
      <c r="L746" t="s">
        <v>51</v>
      </c>
    </row>
    <row r="747" spans="1:12" x14ac:dyDescent="0.25">
      <c r="A747" t="s">
        <v>789</v>
      </c>
      <c r="B747" t="s">
        <v>45</v>
      </c>
      <c r="C747" t="s">
        <v>22</v>
      </c>
      <c r="D747">
        <v>26</v>
      </c>
      <c r="E747" t="s">
        <v>15</v>
      </c>
      <c r="F747">
        <v>13</v>
      </c>
      <c r="G747">
        <v>60238</v>
      </c>
      <c r="H747">
        <v>15</v>
      </c>
      <c r="I747">
        <v>43</v>
      </c>
      <c r="J747">
        <v>3</v>
      </c>
      <c r="K747">
        <v>94</v>
      </c>
      <c r="L747" t="s">
        <v>37</v>
      </c>
    </row>
    <row r="748" spans="1:12" x14ac:dyDescent="0.25">
      <c r="A748" t="s">
        <v>790</v>
      </c>
      <c r="B748" t="s">
        <v>21</v>
      </c>
      <c r="C748" t="s">
        <v>22</v>
      </c>
      <c r="D748">
        <v>40</v>
      </c>
      <c r="E748" t="s">
        <v>19</v>
      </c>
      <c r="F748">
        <v>13</v>
      </c>
      <c r="G748">
        <v>35225</v>
      </c>
      <c r="H748">
        <v>10</v>
      </c>
      <c r="I748">
        <v>36</v>
      </c>
      <c r="J748">
        <v>1</v>
      </c>
      <c r="K748">
        <v>92</v>
      </c>
      <c r="L748" t="s">
        <v>23</v>
      </c>
    </row>
    <row r="749" spans="1:12" x14ac:dyDescent="0.25">
      <c r="A749" t="s">
        <v>791</v>
      </c>
      <c r="B749" t="s">
        <v>77</v>
      </c>
      <c r="C749" t="s">
        <v>22</v>
      </c>
      <c r="D749">
        <v>38</v>
      </c>
      <c r="E749" t="s">
        <v>19</v>
      </c>
      <c r="F749">
        <v>12</v>
      </c>
      <c r="G749">
        <v>66664</v>
      </c>
      <c r="H749">
        <v>10</v>
      </c>
      <c r="I749">
        <v>47</v>
      </c>
      <c r="J749">
        <v>1</v>
      </c>
      <c r="K749">
        <v>100</v>
      </c>
      <c r="L749" t="s">
        <v>37</v>
      </c>
    </row>
    <row r="750" spans="1:12" x14ac:dyDescent="0.25">
      <c r="A750" t="s">
        <v>792</v>
      </c>
      <c r="B750" t="s">
        <v>70</v>
      </c>
      <c r="C750" t="s">
        <v>22</v>
      </c>
      <c r="D750">
        <v>35</v>
      </c>
      <c r="E750" t="s">
        <v>15</v>
      </c>
      <c r="F750">
        <v>5</v>
      </c>
      <c r="G750">
        <v>75063</v>
      </c>
      <c r="H750">
        <v>5</v>
      </c>
      <c r="I750">
        <v>35</v>
      </c>
      <c r="J750">
        <v>5</v>
      </c>
      <c r="K750">
        <v>99</v>
      </c>
      <c r="L750" t="s">
        <v>16</v>
      </c>
    </row>
    <row r="751" spans="1:12" x14ac:dyDescent="0.25">
      <c r="A751" t="s">
        <v>793</v>
      </c>
      <c r="B751" t="s">
        <v>65</v>
      </c>
      <c r="C751" t="s">
        <v>25</v>
      </c>
      <c r="D751">
        <v>37</v>
      </c>
      <c r="E751" t="s">
        <v>15</v>
      </c>
      <c r="F751">
        <v>2</v>
      </c>
      <c r="G751">
        <v>55675</v>
      </c>
      <c r="H751">
        <v>8</v>
      </c>
      <c r="I751">
        <v>48</v>
      </c>
      <c r="J751">
        <v>2</v>
      </c>
      <c r="K751">
        <v>98</v>
      </c>
      <c r="L751" t="s">
        <v>32</v>
      </c>
    </row>
    <row r="752" spans="1:12" x14ac:dyDescent="0.25">
      <c r="A752" t="s">
        <v>794</v>
      </c>
      <c r="B752" t="s">
        <v>77</v>
      </c>
      <c r="C752" t="s">
        <v>25</v>
      </c>
      <c r="D752">
        <v>35</v>
      </c>
      <c r="E752" t="s">
        <v>19</v>
      </c>
      <c r="F752">
        <v>2</v>
      </c>
      <c r="G752">
        <v>36294</v>
      </c>
      <c r="H752">
        <v>15</v>
      </c>
      <c r="I752">
        <v>45</v>
      </c>
      <c r="J752">
        <v>4</v>
      </c>
      <c r="K752">
        <v>87</v>
      </c>
      <c r="L752" t="s">
        <v>26</v>
      </c>
    </row>
    <row r="753" spans="1:12" x14ac:dyDescent="0.25">
      <c r="A753" t="s">
        <v>795</v>
      </c>
      <c r="B753" t="s">
        <v>75</v>
      </c>
      <c r="C753" t="s">
        <v>14</v>
      </c>
      <c r="D753">
        <v>37</v>
      </c>
      <c r="E753" t="s">
        <v>19</v>
      </c>
      <c r="F753">
        <v>15</v>
      </c>
      <c r="G753">
        <v>31449</v>
      </c>
      <c r="H753">
        <v>11</v>
      </c>
      <c r="I753">
        <v>49</v>
      </c>
      <c r="J753">
        <v>5</v>
      </c>
      <c r="K753">
        <v>95</v>
      </c>
      <c r="L753" t="s">
        <v>26</v>
      </c>
    </row>
    <row r="754" spans="1:12" x14ac:dyDescent="0.25">
      <c r="A754" t="s">
        <v>796</v>
      </c>
      <c r="B754" t="s">
        <v>53</v>
      </c>
      <c r="C754" t="s">
        <v>22</v>
      </c>
      <c r="D754">
        <v>29</v>
      </c>
      <c r="E754" t="s">
        <v>15</v>
      </c>
      <c r="F754">
        <v>9</v>
      </c>
      <c r="G754">
        <v>56505</v>
      </c>
      <c r="H754">
        <v>8</v>
      </c>
      <c r="I754">
        <v>50</v>
      </c>
      <c r="J754">
        <v>1</v>
      </c>
      <c r="K754">
        <v>95</v>
      </c>
      <c r="L754" t="s">
        <v>16</v>
      </c>
    </row>
    <row r="755" spans="1:12" x14ac:dyDescent="0.25">
      <c r="A755" t="s">
        <v>797</v>
      </c>
      <c r="B755" t="s">
        <v>94</v>
      </c>
      <c r="C755" t="s">
        <v>22</v>
      </c>
      <c r="D755">
        <v>36</v>
      </c>
      <c r="E755" t="s">
        <v>15</v>
      </c>
      <c r="F755">
        <v>8</v>
      </c>
      <c r="G755">
        <v>35416</v>
      </c>
      <c r="H755">
        <v>5</v>
      </c>
      <c r="I755">
        <v>44</v>
      </c>
      <c r="J755">
        <v>4</v>
      </c>
      <c r="K755">
        <v>94</v>
      </c>
      <c r="L755" t="s">
        <v>51</v>
      </c>
    </row>
    <row r="756" spans="1:12" x14ac:dyDescent="0.25">
      <c r="A756" t="s">
        <v>798</v>
      </c>
      <c r="B756" t="s">
        <v>77</v>
      </c>
      <c r="C756" t="s">
        <v>29</v>
      </c>
      <c r="D756">
        <v>24</v>
      </c>
      <c r="E756" t="s">
        <v>19</v>
      </c>
      <c r="F756">
        <v>10</v>
      </c>
      <c r="G756">
        <v>57445</v>
      </c>
      <c r="H756">
        <v>13</v>
      </c>
      <c r="I756">
        <v>39</v>
      </c>
      <c r="J756">
        <v>5</v>
      </c>
      <c r="K756">
        <v>95</v>
      </c>
      <c r="L756" t="s">
        <v>16</v>
      </c>
    </row>
    <row r="757" spans="1:12" x14ac:dyDescent="0.25">
      <c r="A757" t="s">
        <v>799</v>
      </c>
      <c r="B757" t="s">
        <v>43</v>
      </c>
      <c r="C757" t="s">
        <v>25</v>
      </c>
      <c r="D757">
        <v>30</v>
      </c>
      <c r="E757" t="s">
        <v>15</v>
      </c>
      <c r="F757">
        <v>6</v>
      </c>
      <c r="G757">
        <v>56977</v>
      </c>
      <c r="H757">
        <v>11</v>
      </c>
      <c r="I757">
        <v>37</v>
      </c>
      <c r="J757">
        <v>3</v>
      </c>
      <c r="K757">
        <v>95</v>
      </c>
      <c r="L757" t="s">
        <v>37</v>
      </c>
    </row>
    <row r="758" spans="1:12" x14ac:dyDescent="0.25">
      <c r="A758" t="s">
        <v>800</v>
      </c>
      <c r="B758" t="s">
        <v>83</v>
      </c>
      <c r="C758" t="s">
        <v>14</v>
      </c>
      <c r="D758">
        <v>25</v>
      </c>
      <c r="E758" t="s">
        <v>19</v>
      </c>
      <c r="F758">
        <v>15</v>
      </c>
      <c r="G758">
        <v>52308</v>
      </c>
      <c r="H758">
        <v>12</v>
      </c>
      <c r="I758">
        <v>43</v>
      </c>
      <c r="J758">
        <v>5</v>
      </c>
      <c r="K758">
        <v>90</v>
      </c>
      <c r="L758" t="s">
        <v>16</v>
      </c>
    </row>
    <row r="759" spans="1:12" x14ac:dyDescent="0.25">
      <c r="A759" t="s">
        <v>801</v>
      </c>
      <c r="B759" t="s">
        <v>28</v>
      </c>
      <c r="C759" t="s">
        <v>25</v>
      </c>
      <c r="D759">
        <v>35</v>
      </c>
      <c r="E759" t="s">
        <v>19</v>
      </c>
      <c r="F759">
        <v>1</v>
      </c>
      <c r="G759">
        <v>58532</v>
      </c>
      <c r="H759">
        <v>13</v>
      </c>
      <c r="I759">
        <v>38</v>
      </c>
      <c r="J759">
        <v>4</v>
      </c>
      <c r="K759">
        <v>90</v>
      </c>
      <c r="L759" t="s">
        <v>23</v>
      </c>
    </row>
    <row r="760" spans="1:12" x14ac:dyDescent="0.25">
      <c r="A760" t="s">
        <v>802</v>
      </c>
      <c r="B760" t="s">
        <v>94</v>
      </c>
      <c r="C760" t="s">
        <v>14</v>
      </c>
      <c r="D760">
        <v>26</v>
      </c>
      <c r="E760" t="s">
        <v>15</v>
      </c>
      <c r="F760">
        <v>8</v>
      </c>
      <c r="G760">
        <v>73165</v>
      </c>
      <c r="H760">
        <v>14</v>
      </c>
      <c r="I760">
        <v>37</v>
      </c>
      <c r="J760">
        <v>4</v>
      </c>
      <c r="K760">
        <v>100</v>
      </c>
      <c r="L760" t="s">
        <v>32</v>
      </c>
    </row>
    <row r="761" spans="1:12" x14ac:dyDescent="0.25">
      <c r="A761" t="s">
        <v>803</v>
      </c>
      <c r="B761" t="s">
        <v>77</v>
      </c>
      <c r="C761" t="s">
        <v>25</v>
      </c>
      <c r="D761">
        <v>23</v>
      </c>
      <c r="E761" t="s">
        <v>19</v>
      </c>
      <c r="F761">
        <v>5</v>
      </c>
      <c r="G761">
        <v>51900</v>
      </c>
      <c r="H761">
        <v>3</v>
      </c>
      <c r="I761">
        <v>47</v>
      </c>
      <c r="J761">
        <v>4</v>
      </c>
      <c r="K761">
        <v>96</v>
      </c>
      <c r="L761" t="s">
        <v>51</v>
      </c>
    </row>
    <row r="762" spans="1:12" x14ac:dyDescent="0.25">
      <c r="A762" t="s">
        <v>804</v>
      </c>
      <c r="B762" t="s">
        <v>94</v>
      </c>
      <c r="C762" t="s">
        <v>14</v>
      </c>
      <c r="D762">
        <v>27</v>
      </c>
      <c r="E762" t="s">
        <v>19</v>
      </c>
      <c r="F762">
        <v>7</v>
      </c>
      <c r="G762">
        <v>59942</v>
      </c>
      <c r="H762">
        <v>13</v>
      </c>
      <c r="I762">
        <v>39</v>
      </c>
      <c r="J762">
        <v>2</v>
      </c>
      <c r="K762">
        <v>90</v>
      </c>
      <c r="L762" t="s">
        <v>37</v>
      </c>
    </row>
    <row r="763" spans="1:12" x14ac:dyDescent="0.25">
      <c r="A763" t="s">
        <v>805</v>
      </c>
      <c r="B763" t="s">
        <v>28</v>
      </c>
      <c r="C763" t="s">
        <v>22</v>
      </c>
      <c r="D763">
        <v>28</v>
      </c>
      <c r="E763" t="s">
        <v>15</v>
      </c>
      <c r="F763">
        <v>4</v>
      </c>
      <c r="G763">
        <v>68844</v>
      </c>
      <c r="H763">
        <v>15</v>
      </c>
      <c r="I763">
        <v>37</v>
      </c>
      <c r="J763">
        <v>4</v>
      </c>
      <c r="K763">
        <v>91</v>
      </c>
      <c r="L763" t="s">
        <v>37</v>
      </c>
    </row>
    <row r="764" spans="1:12" x14ac:dyDescent="0.25">
      <c r="A764" t="s">
        <v>806</v>
      </c>
      <c r="B764" t="s">
        <v>81</v>
      </c>
      <c r="C764" t="s">
        <v>29</v>
      </c>
      <c r="D764">
        <v>22</v>
      </c>
      <c r="E764" t="s">
        <v>19</v>
      </c>
      <c r="F764">
        <v>12</v>
      </c>
      <c r="G764">
        <v>39989</v>
      </c>
      <c r="H764">
        <v>15</v>
      </c>
      <c r="I764">
        <v>38</v>
      </c>
      <c r="J764">
        <v>4</v>
      </c>
      <c r="K764">
        <v>94</v>
      </c>
      <c r="L764" t="s">
        <v>26</v>
      </c>
    </row>
    <row r="765" spans="1:12" x14ac:dyDescent="0.25">
      <c r="A765" t="s">
        <v>807</v>
      </c>
      <c r="B765" t="s">
        <v>40</v>
      </c>
      <c r="C765" t="s">
        <v>25</v>
      </c>
      <c r="D765">
        <v>37</v>
      </c>
      <c r="E765" t="s">
        <v>15</v>
      </c>
      <c r="F765">
        <v>5</v>
      </c>
      <c r="G765">
        <v>32548</v>
      </c>
      <c r="H765">
        <v>10</v>
      </c>
      <c r="I765">
        <v>45</v>
      </c>
      <c r="J765">
        <v>5</v>
      </c>
      <c r="K765">
        <v>86</v>
      </c>
      <c r="L765" t="s">
        <v>26</v>
      </c>
    </row>
    <row r="766" spans="1:12" x14ac:dyDescent="0.25">
      <c r="A766" t="s">
        <v>808</v>
      </c>
      <c r="B766" t="s">
        <v>63</v>
      </c>
      <c r="C766" t="s">
        <v>22</v>
      </c>
      <c r="D766">
        <v>28</v>
      </c>
      <c r="E766" t="s">
        <v>15</v>
      </c>
      <c r="F766">
        <v>11</v>
      </c>
      <c r="G766">
        <v>64181</v>
      </c>
      <c r="H766">
        <v>15</v>
      </c>
      <c r="I766">
        <v>41</v>
      </c>
      <c r="J766">
        <v>4</v>
      </c>
      <c r="K766">
        <v>89</v>
      </c>
      <c r="L766" t="s">
        <v>51</v>
      </c>
    </row>
    <row r="767" spans="1:12" x14ac:dyDescent="0.25">
      <c r="A767" t="s">
        <v>809</v>
      </c>
      <c r="B767" t="s">
        <v>21</v>
      </c>
      <c r="C767" t="s">
        <v>14</v>
      </c>
      <c r="D767">
        <v>38</v>
      </c>
      <c r="E767" t="s">
        <v>19</v>
      </c>
      <c r="F767">
        <v>9</v>
      </c>
      <c r="G767">
        <v>43320</v>
      </c>
      <c r="H767">
        <v>10</v>
      </c>
      <c r="I767">
        <v>39</v>
      </c>
      <c r="J767">
        <v>3</v>
      </c>
      <c r="K767">
        <v>99</v>
      </c>
      <c r="L767" t="s">
        <v>26</v>
      </c>
    </row>
    <row r="768" spans="1:12" x14ac:dyDescent="0.25">
      <c r="A768" t="s">
        <v>810</v>
      </c>
      <c r="B768" t="s">
        <v>36</v>
      </c>
      <c r="C768" t="s">
        <v>29</v>
      </c>
      <c r="D768">
        <v>33</v>
      </c>
      <c r="E768" t="s">
        <v>19</v>
      </c>
      <c r="F768">
        <v>11</v>
      </c>
      <c r="G768">
        <v>59755</v>
      </c>
      <c r="H768">
        <v>3</v>
      </c>
      <c r="I768">
        <v>40</v>
      </c>
      <c r="J768">
        <v>5</v>
      </c>
      <c r="K768">
        <v>92</v>
      </c>
      <c r="L768" t="s">
        <v>32</v>
      </c>
    </row>
    <row r="769" spans="1:12" x14ac:dyDescent="0.25">
      <c r="A769" t="s">
        <v>811</v>
      </c>
      <c r="B769" t="s">
        <v>28</v>
      </c>
      <c r="C769" t="s">
        <v>29</v>
      </c>
      <c r="D769">
        <v>32</v>
      </c>
      <c r="E769" t="s">
        <v>19</v>
      </c>
      <c r="F769">
        <v>12</v>
      </c>
      <c r="G769">
        <v>70242</v>
      </c>
      <c r="H769">
        <v>6</v>
      </c>
      <c r="I769">
        <v>36</v>
      </c>
      <c r="J769">
        <v>1</v>
      </c>
      <c r="K769">
        <v>87</v>
      </c>
      <c r="L769" t="s">
        <v>26</v>
      </c>
    </row>
    <row r="770" spans="1:12" x14ac:dyDescent="0.25">
      <c r="A770" t="s">
        <v>812</v>
      </c>
      <c r="B770" t="s">
        <v>83</v>
      </c>
      <c r="C770" t="s">
        <v>22</v>
      </c>
      <c r="D770">
        <v>25</v>
      </c>
      <c r="E770" t="s">
        <v>19</v>
      </c>
      <c r="F770">
        <v>5</v>
      </c>
      <c r="G770">
        <v>25059</v>
      </c>
      <c r="H770">
        <v>13</v>
      </c>
      <c r="I770">
        <v>49</v>
      </c>
      <c r="J770">
        <v>2</v>
      </c>
      <c r="K770">
        <v>97</v>
      </c>
      <c r="L770" t="s">
        <v>32</v>
      </c>
    </row>
    <row r="771" spans="1:12" x14ac:dyDescent="0.25">
      <c r="A771" t="s">
        <v>813</v>
      </c>
      <c r="B771" t="s">
        <v>81</v>
      </c>
      <c r="C771" t="s">
        <v>14</v>
      </c>
      <c r="D771">
        <v>31</v>
      </c>
      <c r="E771" t="s">
        <v>19</v>
      </c>
      <c r="F771">
        <v>14</v>
      </c>
      <c r="G771">
        <v>65770</v>
      </c>
      <c r="H771">
        <v>6</v>
      </c>
      <c r="I771">
        <v>39</v>
      </c>
      <c r="J771">
        <v>3</v>
      </c>
      <c r="K771">
        <v>97</v>
      </c>
      <c r="L771" t="s">
        <v>37</v>
      </c>
    </row>
    <row r="772" spans="1:12" x14ac:dyDescent="0.25">
      <c r="A772" t="s">
        <v>814</v>
      </c>
      <c r="B772" t="s">
        <v>77</v>
      </c>
      <c r="C772" t="s">
        <v>25</v>
      </c>
      <c r="D772">
        <v>38</v>
      </c>
      <c r="E772" t="s">
        <v>19</v>
      </c>
      <c r="F772">
        <v>12</v>
      </c>
      <c r="G772">
        <v>63711</v>
      </c>
      <c r="H772">
        <v>15</v>
      </c>
      <c r="I772">
        <v>50</v>
      </c>
      <c r="J772">
        <v>3</v>
      </c>
      <c r="K772">
        <v>94</v>
      </c>
      <c r="L772" t="s">
        <v>37</v>
      </c>
    </row>
    <row r="773" spans="1:12" x14ac:dyDescent="0.25">
      <c r="A773" t="s">
        <v>815</v>
      </c>
      <c r="B773" t="s">
        <v>36</v>
      </c>
      <c r="C773" t="s">
        <v>25</v>
      </c>
      <c r="D773">
        <v>27</v>
      </c>
      <c r="E773" t="s">
        <v>19</v>
      </c>
      <c r="F773">
        <v>5</v>
      </c>
      <c r="G773">
        <v>65198</v>
      </c>
      <c r="H773">
        <v>3</v>
      </c>
      <c r="I773">
        <v>38</v>
      </c>
      <c r="J773">
        <v>1</v>
      </c>
      <c r="K773">
        <v>92</v>
      </c>
      <c r="L773" t="s">
        <v>26</v>
      </c>
    </row>
    <row r="774" spans="1:12" x14ac:dyDescent="0.25">
      <c r="A774" t="s">
        <v>816</v>
      </c>
      <c r="B774" t="s">
        <v>34</v>
      </c>
      <c r="C774" t="s">
        <v>14</v>
      </c>
      <c r="D774">
        <v>32</v>
      </c>
      <c r="E774" t="s">
        <v>19</v>
      </c>
      <c r="F774">
        <v>8</v>
      </c>
      <c r="G774">
        <v>29324</v>
      </c>
      <c r="H774">
        <v>13</v>
      </c>
      <c r="I774">
        <v>36</v>
      </c>
      <c r="J774">
        <v>5</v>
      </c>
      <c r="K774">
        <v>97</v>
      </c>
      <c r="L774" t="s">
        <v>32</v>
      </c>
    </row>
    <row r="775" spans="1:12" x14ac:dyDescent="0.25">
      <c r="A775" t="s">
        <v>817</v>
      </c>
      <c r="B775" t="s">
        <v>40</v>
      </c>
      <c r="C775" t="s">
        <v>25</v>
      </c>
      <c r="D775">
        <v>39</v>
      </c>
      <c r="E775" t="s">
        <v>15</v>
      </c>
      <c r="F775">
        <v>15</v>
      </c>
      <c r="G775">
        <v>65233</v>
      </c>
      <c r="H775">
        <v>15</v>
      </c>
      <c r="I775">
        <v>42</v>
      </c>
      <c r="J775">
        <v>1</v>
      </c>
      <c r="K775">
        <v>96</v>
      </c>
      <c r="L775" t="s">
        <v>32</v>
      </c>
    </row>
    <row r="776" spans="1:12" x14ac:dyDescent="0.25">
      <c r="A776" t="s">
        <v>818</v>
      </c>
      <c r="B776" t="s">
        <v>18</v>
      </c>
      <c r="C776" t="s">
        <v>29</v>
      </c>
      <c r="D776">
        <v>24</v>
      </c>
      <c r="E776" t="s">
        <v>15</v>
      </c>
      <c r="F776">
        <v>2</v>
      </c>
      <c r="G776">
        <v>43037</v>
      </c>
      <c r="H776">
        <v>4</v>
      </c>
      <c r="I776">
        <v>48</v>
      </c>
      <c r="J776">
        <v>4</v>
      </c>
      <c r="K776">
        <v>90</v>
      </c>
      <c r="L776" t="s">
        <v>23</v>
      </c>
    </row>
    <row r="777" spans="1:12" x14ac:dyDescent="0.25">
      <c r="A777" t="s">
        <v>819</v>
      </c>
      <c r="B777" t="s">
        <v>89</v>
      </c>
      <c r="C777" t="s">
        <v>29</v>
      </c>
      <c r="D777">
        <v>40</v>
      </c>
      <c r="E777" t="s">
        <v>19</v>
      </c>
      <c r="F777">
        <v>5</v>
      </c>
      <c r="G777">
        <v>28572</v>
      </c>
      <c r="H777">
        <v>6</v>
      </c>
      <c r="I777">
        <v>48</v>
      </c>
      <c r="J777">
        <v>3</v>
      </c>
      <c r="K777">
        <v>91</v>
      </c>
      <c r="L777" t="s">
        <v>37</v>
      </c>
    </row>
    <row r="778" spans="1:12" x14ac:dyDescent="0.25">
      <c r="A778" t="s">
        <v>820</v>
      </c>
      <c r="B778" t="s">
        <v>53</v>
      </c>
      <c r="C778" t="s">
        <v>29</v>
      </c>
      <c r="D778">
        <v>38</v>
      </c>
      <c r="E778" t="s">
        <v>15</v>
      </c>
      <c r="F778">
        <v>2</v>
      </c>
      <c r="G778">
        <v>54853</v>
      </c>
      <c r="H778">
        <v>6</v>
      </c>
      <c r="I778">
        <v>50</v>
      </c>
      <c r="J778">
        <v>3</v>
      </c>
      <c r="K778">
        <v>89</v>
      </c>
      <c r="L778" t="s">
        <v>37</v>
      </c>
    </row>
    <row r="779" spans="1:12" x14ac:dyDescent="0.25">
      <c r="A779" t="s">
        <v>821</v>
      </c>
      <c r="B779" t="s">
        <v>77</v>
      </c>
      <c r="C779" t="s">
        <v>25</v>
      </c>
      <c r="D779">
        <v>32</v>
      </c>
      <c r="E779" t="s">
        <v>19</v>
      </c>
      <c r="F779">
        <v>2</v>
      </c>
      <c r="G779">
        <v>48319</v>
      </c>
      <c r="H779">
        <v>10</v>
      </c>
      <c r="I779">
        <v>37</v>
      </c>
      <c r="J779">
        <v>1</v>
      </c>
      <c r="K779">
        <v>86</v>
      </c>
      <c r="L779" t="s">
        <v>51</v>
      </c>
    </row>
    <row r="780" spans="1:12" x14ac:dyDescent="0.25">
      <c r="A780" t="s">
        <v>822</v>
      </c>
      <c r="B780" t="s">
        <v>21</v>
      </c>
      <c r="C780" t="s">
        <v>14</v>
      </c>
      <c r="D780">
        <v>24</v>
      </c>
      <c r="E780" t="s">
        <v>15</v>
      </c>
      <c r="F780">
        <v>13</v>
      </c>
      <c r="G780">
        <v>46527</v>
      </c>
      <c r="H780">
        <v>3</v>
      </c>
      <c r="I780">
        <v>38</v>
      </c>
      <c r="J780">
        <v>1</v>
      </c>
      <c r="K780">
        <v>91</v>
      </c>
      <c r="L780" t="s">
        <v>26</v>
      </c>
    </row>
    <row r="781" spans="1:12" x14ac:dyDescent="0.25">
      <c r="A781" t="s">
        <v>823</v>
      </c>
      <c r="B781" t="s">
        <v>43</v>
      </c>
      <c r="C781" t="s">
        <v>14</v>
      </c>
      <c r="D781">
        <v>32</v>
      </c>
      <c r="E781" t="s">
        <v>15</v>
      </c>
      <c r="F781">
        <v>13</v>
      </c>
      <c r="G781">
        <v>50387</v>
      </c>
      <c r="H781">
        <v>7</v>
      </c>
      <c r="I781">
        <v>44</v>
      </c>
      <c r="J781">
        <v>4</v>
      </c>
      <c r="K781">
        <v>89</v>
      </c>
      <c r="L781" t="s">
        <v>37</v>
      </c>
    </row>
    <row r="782" spans="1:12" x14ac:dyDescent="0.25">
      <c r="A782" t="s">
        <v>824</v>
      </c>
      <c r="B782" t="s">
        <v>53</v>
      </c>
      <c r="C782" t="s">
        <v>25</v>
      </c>
      <c r="D782">
        <v>36</v>
      </c>
      <c r="E782" t="s">
        <v>15</v>
      </c>
      <c r="F782">
        <v>10</v>
      </c>
      <c r="G782">
        <v>45329</v>
      </c>
      <c r="H782">
        <v>10</v>
      </c>
      <c r="I782">
        <v>45</v>
      </c>
      <c r="J782">
        <v>5</v>
      </c>
      <c r="K782">
        <v>88</v>
      </c>
      <c r="L782" t="s">
        <v>23</v>
      </c>
    </row>
    <row r="783" spans="1:12" x14ac:dyDescent="0.25">
      <c r="A783" t="s">
        <v>825</v>
      </c>
      <c r="B783" t="s">
        <v>83</v>
      </c>
      <c r="C783" t="s">
        <v>22</v>
      </c>
      <c r="D783">
        <v>34</v>
      </c>
      <c r="E783" t="s">
        <v>19</v>
      </c>
      <c r="F783">
        <v>5</v>
      </c>
      <c r="G783">
        <v>42880</v>
      </c>
      <c r="H783">
        <v>8</v>
      </c>
      <c r="I783">
        <v>43</v>
      </c>
      <c r="J783">
        <v>4</v>
      </c>
      <c r="K783">
        <v>92</v>
      </c>
      <c r="L783" t="s">
        <v>37</v>
      </c>
    </row>
    <row r="784" spans="1:12" x14ac:dyDescent="0.25">
      <c r="A784" t="s">
        <v>826</v>
      </c>
      <c r="B784" t="s">
        <v>43</v>
      </c>
      <c r="C784" t="s">
        <v>22</v>
      </c>
      <c r="D784">
        <v>24</v>
      </c>
      <c r="E784" t="s">
        <v>19</v>
      </c>
      <c r="F784">
        <v>11</v>
      </c>
      <c r="G784">
        <v>56689</v>
      </c>
      <c r="H784">
        <v>7</v>
      </c>
      <c r="I784">
        <v>40</v>
      </c>
      <c r="J784">
        <v>2</v>
      </c>
      <c r="K784">
        <v>96</v>
      </c>
      <c r="L784" t="s">
        <v>23</v>
      </c>
    </row>
    <row r="785" spans="1:12" x14ac:dyDescent="0.25">
      <c r="A785" t="s">
        <v>827</v>
      </c>
      <c r="B785" t="s">
        <v>13</v>
      </c>
      <c r="C785" t="s">
        <v>25</v>
      </c>
      <c r="D785">
        <v>37</v>
      </c>
      <c r="E785" t="s">
        <v>15</v>
      </c>
      <c r="F785">
        <v>8</v>
      </c>
      <c r="G785">
        <v>66787</v>
      </c>
      <c r="H785">
        <v>6</v>
      </c>
      <c r="I785">
        <v>50</v>
      </c>
      <c r="J785">
        <v>2</v>
      </c>
      <c r="K785">
        <v>91</v>
      </c>
      <c r="L785" t="s">
        <v>26</v>
      </c>
    </row>
    <row r="786" spans="1:12" x14ac:dyDescent="0.25">
      <c r="A786" t="s">
        <v>828</v>
      </c>
      <c r="B786" t="s">
        <v>81</v>
      </c>
      <c r="C786" t="s">
        <v>25</v>
      </c>
      <c r="D786">
        <v>33</v>
      </c>
      <c r="E786" t="s">
        <v>15</v>
      </c>
      <c r="F786">
        <v>6</v>
      </c>
      <c r="G786">
        <v>43122</v>
      </c>
      <c r="H786">
        <v>3</v>
      </c>
      <c r="I786">
        <v>44</v>
      </c>
      <c r="J786">
        <v>3</v>
      </c>
      <c r="K786">
        <v>93</v>
      </c>
      <c r="L786" t="s">
        <v>32</v>
      </c>
    </row>
    <row r="787" spans="1:12" x14ac:dyDescent="0.25">
      <c r="A787" t="s">
        <v>829</v>
      </c>
      <c r="B787" t="s">
        <v>13</v>
      </c>
      <c r="C787" t="s">
        <v>22</v>
      </c>
      <c r="D787">
        <v>32</v>
      </c>
      <c r="E787" t="s">
        <v>15</v>
      </c>
      <c r="F787">
        <v>12</v>
      </c>
      <c r="G787">
        <v>32457</v>
      </c>
      <c r="H787">
        <v>3</v>
      </c>
      <c r="I787">
        <v>50</v>
      </c>
      <c r="J787">
        <v>1</v>
      </c>
      <c r="K787">
        <v>86</v>
      </c>
      <c r="L787" t="s">
        <v>23</v>
      </c>
    </row>
    <row r="788" spans="1:12" x14ac:dyDescent="0.25">
      <c r="A788" t="s">
        <v>830</v>
      </c>
      <c r="B788" t="s">
        <v>63</v>
      </c>
      <c r="C788" t="s">
        <v>22</v>
      </c>
      <c r="D788">
        <v>22</v>
      </c>
      <c r="E788" t="s">
        <v>19</v>
      </c>
      <c r="F788">
        <v>1</v>
      </c>
      <c r="G788">
        <v>70571</v>
      </c>
      <c r="H788">
        <v>12</v>
      </c>
      <c r="I788">
        <v>42</v>
      </c>
      <c r="J788">
        <v>4</v>
      </c>
      <c r="K788">
        <v>95</v>
      </c>
      <c r="L788" t="s">
        <v>51</v>
      </c>
    </row>
    <row r="789" spans="1:12" x14ac:dyDescent="0.25">
      <c r="A789" t="s">
        <v>831</v>
      </c>
      <c r="B789" t="s">
        <v>53</v>
      </c>
      <c r="C789" t="s">
        <v>29</v>
      </c>
      <c r="D789">
        <v>38</v>
      </c>
      <c r="E789" t="s">
        <v>15</v>
      </c>
      <c r="F789">
        <v>3</v>
      </c>
      <c r="G789">
        <v>39338</v>
      </c>
      <c r="H789">
        <v>14</v>
      </c>
      <c r="I789">
        <v>37</v>
      </c>
      <c r="J789">
        <v>5</v>
      </c>
      <c r="K789">
        <v>91</v>
      </c>
      <c r="L789" t="s">
        <v>32</v>
      </c>
    </row>
    <row r="790" spans="1:12" x14ac:dyDescent="0.25">
      <c r="A790" t="s">
        <v>832</v>
      </c>
      <c r="B790" t="s">
        <v>94</v>
      </c>
      <c r="C790" t="s">
        <v>25</v>
      </c>
      <c r="D790">
        <v>35</v>
      </c>
      <c r="E790" t="s">
        <v>15</v>
      </c>
      <c r="F790">
        <v>15</v>
      </c>
      <c r="G790">
        <v>35468</v>
      </c>
      <c r="H790">
        <v>11</v>
      </c>
      <c r="I790">
        <v>38</v>
      </c>
      <c r="J790">
        <v>4</v>
      </c>
      <c r="K790">
        <v>90</v>
      </c>
      <c r="L790" t="s">
        <v>23</v>
      </c>
    </row>
    <row r="791" spans="1:12" x14ac:dyDescent="0.25">
      <c r="A791" t="s">
        <v>833</v>
      </c>
      <c r="B791" t="s">
        <v>34</v>
      </c>
      <c r="C791" t="s">
        <v>29</v>
      </c>
      <c r="D791">
        <v>26</v>
      </c>
      <c r="E791" t="s">
        <v>19</v>
      </c>
      <c r="F791">
        <v>10</v>
      </c>
      <c r="G791">
        <v>77673</v>
      </c>
      <c r="H791">
        <v>12</v>
      </c>
      <c r="I791">
        <v>44</v>
      </c>
      <c r="J791">
        <v>4</v>
      </c>
      <c r="K791">
        <v>96</v>
      </c>
      <c r="L791" t="s">
        <v>26</v>
      </c>
    </row>
    <row r="792" spans="1:12" x14ac:dyDescent="0.25">
      <c r="A792" t="s">
        <v>834</v>
      </c>
      <c r="B792" t="s">
        <v>13</v>
      </c>
      <c r="C792" t="s">
        <v>25</v>
      </c>
      <c r="D792">
        <v>39</v>
      </c>
      <c r="E792" t="s">
        <v>15</v>
      </c>
      <c r="F792">
        <v>7</v>
      </c>
      <c r="G792">
        <v>26573</v>
      </c>
      <c r="H792">
        <v>8</v>
      </c>
      <c r="I792">
        <v>37</v>
      </c>
      <c r="J792">
        <v>3</v>
      </c>
      <c r="K792">
        <v>93</v>
      </c>
      <c r="L792" t="s">
        <v>16</v>
      </c>
    </row>
    <row r="793" spans="1:12" x14ac:dyDescent="0.25">
      <c r="A793" t="s">
        <v>835</v>
      </c>
      <c r="B793" t="s">
        <v>21</v>
      </c>
      <c r="C793" t="s">
        <v>14</v>
      </c>
      <c r="D793">
        <v>39</v>
      </c>
      <c r="E793" t="s">
        <v>15</v>
      </c>
      <c r="F793">
        <v>8</v>
      </c>
      <c r="G793">
        <v>50036</v>
      </c>
      <c r="H793">
        <v>12</v>
      </c>
      <c r="I793">
        <v>39</v>
      </c>
      <c r="J793">
        <v>4</v>
      </c>
      <c r="K793">
        <v>87</v>
      </c>
      <c r="L793" t="s">
        <v>51</v>
      </c>
    </row>
    <row r="794" spans="1:12" x14ac:dyDescent="0.25">
      <c r="A794" t="s">
        <v>836</v>
      </c>
      <c r="B794" t="s">
        <v>13</v>
      </c>
      <c r="C794" t="s">
        <v>14</v>
      </c>
      <c r="D794">
        <v>22</v>
      </c>
      <c r="E794" t="s">
        <v>15</v>
      </c>
      <c r="F794">
        <v>9</v>
      </c>
      <c r="G794">
        <v>71429</v>
      </c>
      <c r="H794">
        <v>6</v>
      </c>
      <c r="I794">
        <v>39</v>
      </c>
      <c r="J794">
        <v>1</v>
      </c>
      <c r="K794">
        <v>100</v>
      </c>
      <c r="L794" t="s">
        <v>51</v>
      </c>
    </row>
    <row r="795" spans="1:12" x14ac:dyDescent="0.25">
      <c r="A795" t="s">
        <v>837</v>
      </c>
      <c r="B795" t="s">
        <v>53</v>
      </c>
      <c r="C795" t="s">
        <v>25</v>
      </c>
      <c r="D795">
        <v>25</v>
      </c>
      <c r="E795" t="s">
        <v>15</v>
      </c>
      <c r="F795">
        <v>7</v>
      </c>
      <c r="G795">
        <v>55753</v>
      </c>
      <c r="H795">
        <v>6</v>
      </c>
      <c r="I795">
        <v>49</v>
      </c>
      <c r="J795">
        <v>1</v>
      </c>
      <c r="K795">
        <v>96</v>
      </c>
      <c r="L795" t="s">
        <v>32</v>
      </c>
    </row>
    <row r="796" spans="1:12" x14ac:dyDescent="0.25">
      <c r="A796" t="s">
        <v>838</v>
      </c>
      <c r="B796" t="s">
        <v>70</v>
      </c>
      <c r="C796" t="s">
        <v>25</v>
      </c>
      <c r="D796">
        <v>28</v>
      </c>
      <c r="E796" t="s">
        <v>19</v>
      </c>
      <c r="F796">
        <v>6</v>
      </c>
      <c r="G796">
        <v>32629</v>
      </c>
      <c r="H796">
        <v>11</v>
      </c>
      <c r="I796">
        <v>47</v>
      </c>
      <c r="J796">
        <v>3</v>
      </c>
      <c r="K796">
        <v>96</v>
      </c>
      <c r="L796" t="s">
        <v>26</v>
      </c>
    </row>
    <row r="797" spans="1:12" x14ac:dyDescent="0.25">
      <c r="A797" t="s">
        <v>839</v>
      </c>
      <c r="B797" t="s">
        <v>28</v>
      </c>
      <c r="C797" t="s">
        <v>14</v>
      </c>
      <c r="D797">
        <v>30</v>
      </c>
      <c r="E797" t="s">
        <v>19</v>
      </c>
      <c r="F797">
        <v>4</v>
      </c>
      <c r="G797">
        <v>26852</v>
      </c>
      <c r="H797">
        <v>8</v>
      </c>
      <c r="I797">
        <v>40</v>
      </c>
      <c r="J797">
        <v>5</v>
      </c>
      <c r="K797">
        <v>90</v>
      </c>
      <c r="L797" t="s">
        <v>37</v>
      </c>
    </row>
    <row r="798" spans="1:12" x14ac:dyDescent="0.25">
      <c r="A798" t="s">
        <v>840</v>
      </c>
      <c r="B798" t="s">
        <v>31</v>
      </c>
      <c r="C798" t="s">
        <v>25</v>
      </c>
      <c r="D798">
        <v>37</v>
      </c>
      <c r="E798" t="s">
        <v>19</v>
      </c>
      <c r="F798">
        <v>1</v>
      </c>
      <c r="G798">
        <v>32958</v>
      </c>
      <c r="H798">
        <v>6</v>
      </c>
      <c r="I798">
        <v>49</v>
      </c>
      <c r="J798">
        <v>1</v>
      </c>
      <c r="K798">
        <v>95</v>
      </c>
      <c r="L798" t="s">
        <v>37</v>
      </c>
    </row>
    <row r="799" spans="1:12" x14ac:dyDescent="0.25">
      <c r="A799" t="s">
        <v>841</v>
      </c>
      <c r="B799" t="s">
        <v>43</v>
      </c>
      <c r="C799" t="s">
        <v>14</v>
      </c>
      <c r="D799">
        <v>28</v>
      </c>
      <c r="E799" t="s">
        <v>19</v>
      </c>
      <c r="F799">
        <v>12</v>
      </c>
      <c r="G799">
        <v>58874</v>
      </c>
      <c r="H799">
        <v>13</v>
      </c>
      <c r="I799">
        <v>47</v>
      </c>
      <c r="J799">
        <v>2</v>
      </c>
      <c r="K799">
        <v>99</v>
      </c>
      <c r="L799" t="s">
        <v>32</v>
      </c>
    </row>
    <row r="800" spans="1:12" x14ac:dyDescent="0.25">
      <c r="A800" t="s">
        <v>842</v>
      </c>
      <c r="B800" t="s">
        <v>81</v>
      </c>
      <c r="C800" t="s">
        <v>22</v>
      </c>
      <c r="D800">
        <v>31</v>
      </c>
      <c r="E800" t="s">
        <v>15</v>
      </c>
      <c r="F800">
        <v>3</v>
      </c>
      <c r="G800">
        <v>63199</v>
      </c>
      <c r="H800">
        <v>7</v>
      </c>
      <c r="I800">
        <v>48</v>
      </c>
      <c r="J800">
        <v>3</v>
      </c>
      <c r="K800">
        <v>97</v>
      </c>
      <c r="L800" t="s">
        <v>16</v>
      </c>
    </row>
    <row r="801" spans="1:12" x14ac:dyDescent="0.25">
      <c r="A801" t="s">
        <v>843</v>
      </c>
      <c r="B801" t="s">
        <v>81</v>
      </c>
      <c r="C801" t="s">
        <v>29</v>
      </c>
      <c r="D801">
        <v>33</v>
      </c>
      <c r="E801" t="s">
        <v>19</v>
      </c>
      <c r="F801">
        <v>7</v>
      </c>
      <c r="G801">
        <v>51353</v>
      </c>
      <c r="H801">
        <v>10</v>
      </c>
      <c r="I801">
        <v>46</v>
      </c>
      <c r="J801">
        <v>2</v>
      </c>
      <c r="K801">
        <v>96</v>
      </c>
      <c r="L801" t="s">
        <v>32</v>
      </c>
    </row>
    <row r="802" spans="1:12" x14ac:dyDescent="0.25">
      <c r="A802" t="s">
        <v>844</v>
      </c>
      <c r="B802" t="s">
        <v>75</v>
      </c>
      <c r="C802" t="s">
        <v>29</v>
      </c>
      <c r="D802">
        <v>37</v>
      </c>
      <c r="E802" t="s">
        <v>15</v>
      </c>
      <c r="F802">
        <v>7</v>
      </c>
      <c r="G802">
        <v>64028</v>
      </c>
      <c r="H802">
        <v>8</v>
      </c>
      <c r="I802">
        <v>50</v>
      </c>
      <c r="J802">
        <v>5</v>
      </c>
      <c r="K802">
        <v>90</v>
      </c>
      <c r="L802" t="s">
        <v>51</v>
      </c>
    </row>
    <row r="803" spans="1:12" x14ac:dyDescent="0.25">
      <c r="A803" t="s">
        <v>845</v>
      </c>
      <c r="B803" t="s">
        <v>21</v>
      </c>
      <c r="C803" t="s">
        <v>29</v>
      </c>
      <c r="D803">
        <v>32</v>
      </c>
      <c r="E803" t="s">
        <v>19</v>
      </c>
      <c r="F803">
        <v>11</v>
      </c>
      <c r="G803">
        <v>63673</v>
      </c>
      <c r="H803">
        <v>5</v>
      </c>
      <c r="I803">
        <v>42</v>
      </c>
      <c r="J803">
        <v>1</v>
      </c>
      <c r="K803">
        <v>87</v>
      </c>
      <c r="L803" t="s">
        <v>51</v>
      </c>
    </row>
    <row r="804" spans="1:12" x14ac:dyDescent="0.25">
      <c r="A804" t="s">
        <v>846</v>
      </c>
      <c r="B804" t="s">
        <v>83</v>
      </c>
      <c r="C804" t="s">
        <v>14</v>
      </c>
      <c r="D804">
        <v>34</v>
      </c>
      <c r="E804" t="s">
        <v>19</v>
      </c>
      <c r="F804">
        <v>6</v>
      </c>
      <c r="G804">
        <v>58956</v>
      </c>
      <c r="H804">
        <v>3</v>
      </c>
      <c r="I804">
        <v>49</v>
      </c>
      <c r="J804">
        <v>4</v>
      </c>
      <c r="K804">
        <v>91</v>
      </c>
      <c r="L804" t="s">
        <v>51</v>
      </c>
    </row>
    <row r="805" spans="1:12" x14ac:dyDescent="0.25">
      <c r="A805" t="s">
        <v>847</v>
      </c>
      <c r="B805" t="s">
        <v>21</v>
      </c>
      <c r="C805" t="s">
        <v>14</v>
      </c>
      <c r="D805">
        <v>39</v>
      </c>
      <c r="E805" t="s">
        <v>15</v>
      </c>
      <c r="F805">
        <v>4</v>
      </c>
      <c r="G805">
        <v>32375</v>
      </c>
      <c r="H805">
        <v>10</v>
      </c>
      <c r="I805">
        <v>37</v>
      </c>
      <c r="J805">
        <v>1</v>
      </c>
      <c r="K805">
        <v>92</v>
      </c>
      <c r="L805" t="s">
        <v>23</v>
      </c>
    </row>
    <row r="806" spans="1:12" x14ac:dyDescent="0.25">
      <c r="A806" t="s">
        <v>848</v>
      </c>
      <c r="B806" t="s">
        <v>75</v>
      </c>
      <c r="C806" t="s">
        <v>14</v>
      </c>
      <c r="D806">
        <v>27</v>
      </c>
      <c r="E806" t="s">
        <v>19</v>
      </c>
      <c r="F806">
        <v>12</v>
      </c>
      <c r="G806">
        <v>60342</v>
      </c>
      <c r="H806">
        <v>8</v>
      </c>
      <c r="I806">
        <v>50</v>
      </c>
      <c r="J806">
        <v>4</v>
      </c>
      <c r="K806">
        <v>95</v>
      </c>
      <c r="L806" t="s">
        <v>23</v>
      </c>
    </row>
    <row r="807" spans="1:12" x14ac:dyDescent="0.25">
      <c r="A807" t="s">
        <v>849</v>
      </c>
      <c r="B807" t="s">
        <v>28</v>
      </c>
      <c r="C807" t="s">
        <v>22</v>
      </c>
      <c r="D807">
        <v>27</v>
      </c>
      <c r="E807" t="s">
        <v>15</v>
      </c>
      <c r="F807">
        <v>2</v>
      </c>
      <c r="G807">
        <v>45767</v>
      </c>
      <c r="H807">
        <v>4</v>
      </c>
      <c r="I807">
        <v>47</v>
      </c>
      <c r="J807">
        <v>5</v>
      </c>
      <c r="K807">
        <v>87</v>
      </c>
      <c r="L807" t="s">
        <v>23</v>
      </c>
    </row>
    <row r="808" spans="1:12" x14ac:dyDescent="0.25">
      <c r="A808" t="s">
        <v>850</v>
      </c>
      <c r="B808" t="s">
        <v>77</v>
      </c>
      <c r="C808" t="s">
        <v>25</v>
      </c>
      <c r="D808">
        <v>33</v>
      </c>
      <c r="E808" t="s">
        <v>15</v>
      </c>
      <c r="F808">
        <v>13</v>
      </c>
      <c r="G808">
        <v>52816</v>
      </c>
      <c r="H808">
        <v>10</v>
      </c>
      <c r="I808">
        <v>36</v>
      </c>
      <c r="J808">
        <v>4</v>
      </c>
      <c r="K808">
        <v>85</v>
      </c>
      <c r="L808" t="s">
        <v>26</v>
      </c>
    </row>
    <row r="809" spans="1:12" x14ac:dyDescent="0.25">
      <c r="A809" t="s">
        <v>851</v>
      </c>
      <c r="B809" t="s">
        <v>81</v>
      </c>
      <c r="C809" t="s">
        <v>25</v>
      </c>
      <c r="D809">
        <v>36</v>
      </c>
      <c r="E809" t="s">
        <v>19</v>
      </c>
      <c r="F809">
        <v>10</v>
      </c>
      <c r="G809">
        <v>56872</v>
      </c>
      <c r="H809">
        <v>8</v>
      </c>
      <c r="I809">
        <v>38</v>
      </c>
      <c r="J809">
        <v>2</v>
      </c>
      <c r="K809">
        <v>85</v>
      </c>
      <c r="L809" t="s">
        <v>26</v>
      </c>
    </row>
    <row r="810" spans="1:12" x14ac:dyDescent="0.25">
      <c r="A810" t="s">
        <v>852</v>
      </c>
      <c r="B810" t="s">
        <v>31</v>
      </c>
      <c r="C810" t="s">
        <v>22</v>
      </c>
      <c r="D810">
        <v>40</v>
      </c>
      <c r="E810" t="s">
        <v>19</v>
      </c>
      <c r="F810">
        <v>6</v>
      </c>
      <c r="G810">
        <v>55610</v>
      </c>
      <c r="H810">
        <v>10</v>
      </c>
      <c r="I810">
        <v>47</v>
      </c>
      <c r="J810">
        <v>1</v>
      </c>
      <c r="K810">
        <v>90</v>
      </c>
      <c r="L810" t="s">
        <v>37</v>
      </c>
    </row>
    <row r="811" spans="1:12" x14ac:dyDescent="0.25">
      <c r="A811" t="s">
        <v>853</v>
      </c>
      <c r="B811" t="s">
        <v>70</v>
      </c>
      <c r="C811" t="s">
        <v>22</v>
      </c>
      <c r="D811">
        <v>32</v>
      </c>
      <c r="E811" t="s">
        <v>15</v>
      </c>
      <c r="F811">
        <v>7</v>
      </c>
      <c r="G811">
        <v>49181</v>
      </c>
      <c r="H811">
        <v>4</v>
      </c>
      <c r="I811">
        <v>37</v>
      </c>
      <c r="J811">
        <v>2</v>
      </c>
      <c r="K811">
        <v>93</v>
      </c>
      <c r="L811" t="s">
        <v>16</v>
      </c>
    </row>
    <row r="812" spans="1:12" x14ac:dyDescent="0.25">
      <c r="A812" t="s">
        <v>854</v>
      </c>
      <c r="B812" t="s">
        <v>53</v>
      </c>
      <c r="C812" t="s">
        <v>14</v>
      </c>
      <c r="D812">
        <v>35</v>
      </c>
      <c r="E812" t="s">
        <v>15</v>
      </c>
      <c r="F812">
        <v>6</v>
      </c>
      <c r="G812">
        <v>43715</v>
      </c>
      <c r="H812">
        <v>14</v>
      </c>
      <c r="I812">
        <v>49</v>
      </c>
      <c r="J812">
        <v>1</v>
      </c>
      <c r="K812">
        <v>92</v>
      </c>
      <c r="L812" t="s">
        <v>51</v>
      </c>
    </row>
    <row r="813" spans="1:12" x14ac:dyDescent="0.25">
      <c r="A813" t="s">
        <v>855</v>
      </c>
      <c r="B813" t="s">
        <v>65</v>
      </c>
      <c r="C813" t="s">
        <v>25</v>
      </c>
      <c r="D813">
        <v>40</v>
      </c>
      <c r="E813" t="s">
        <v>19</v>
      </c>
      <c r="F813">
        <v>10</v>
      </c>
      <c r="G813">
        <v>69960</v>
      </c>
      <c r="H813">
        <v>12</v>
      </c>
      <c r="I813">
        <v>38</v>
      </c>
      <c r="J813">
        <v>1</v>
      </c>
      <c r="K813">
        <v>89</v>
      </c>
      <c r="L813" t="s">
        <v>32</v>
      </c>
    </row>
    <row r="814" spans="1:12" x14ac:dyDescent="0.25">
      <c r="A814" t="s">
        <v>856</v>
      </c>
      <c r="B814" t="s">
        <v>77</v>
      </c>
      <c r="C814" t="s">
        <v>14</v>
      </c>
      <c r="D814">
        <v>23</v>
      </c>
      <c r="E814" t="s">
        <v>15</v>
      </c>
      <c r="F814">
        <v>2</v>
      </c>
      <c r="G814">
        <v>47483</v>
      </c>
      <c r="H814">
        <v>4</v>
      </c>
      <c r="I814">
        <v>40</v>
      </c>
      <c r="J814">
        <v>1</v>
      </c>
      <c r="K814">
        <v>88</v>
      </c>
      <c r="L814" t="s">
        <v>37</v>
      </c>
    </row>
    <row r="815" spans="1:12" x14ac:dyDescent="0.25">
      <c r="A815" t="s">
        <v>857</v>
      </c>
      <c r="B815" t="s">
        <v>28</v>
      </c>
      <c r="C815" t="s">
        <v>25</v>
      </c>
      <c r="D815">
        <v>22</v>
      </c>
      <c r="E815" t="s">
        <v>15</v>
      </c>
      <c r="F815">
        <v>6</v>
      </c>
      <c r="G815">
        <v>78682</v>
      </c>
      <c r="H815">
        <v>11</v>
      </c>
      <c r="I815">
        <v>46</v>
      </c>
      <c r="J815">
        <v>1</v>
      </c>
      <c r="K815">
        <v>95</v>
      </c>
      <c r="L815" t="s">
        <v>37</v>
      </c>
    </row>
    <row r="816" spans="1:12" x14ac:dyDescent="0.25">
      <c r="A816" t="s">
        <v>858</v>
      </c>
      <c r="B816" t="s">
        <v>75</v>
      </c>
      <c r="C816" t="s">
        <v>25</v>
      </c>
      <c r="D816">
        <v>36</v>
      </c>
      <c r="E816" t="s">
        <v>15</v>
      </c>
      <c r="F816">
        <v>1</v>
      </c>
      <c r="G816">
        <v>40418</v>
      </c>
      <c r="H816">
        <v>15</v>
      </c>
      <c r="I816">
        <v>43</v>
      </c>
      <c r="J816">
        <v>1</v>
      </c>
      <c r="K816">
        <v>96</v>
      </c>
      <c r="L816" t="s">
        <v>26</v>
      </c>
    </row>
    <row r="817" spans="1:12" x14ac:dyDescent="0.25">
      <c r="A817" t="s">
        <v>859</v>
      </c>
      <c r="B817" t="s">
        <v>83</v>
      </c>
      <c r="C817" t="s">
        <v>14</v>
      </c>
      <c r="D817">
        <v>26</v>
      </c>
      <c r="E817" t="s">
        <v>19</v>
      </c>
      <c r="F817">
        <v>13</v>
      </c>
      <c r="G817">
        <v>55717</v>
      </c>
      <c r="H817">
        <v>14</v>
      </c>
      <c r="I817">
        <v>42</v>
      </c>
      <c r="J817">
        <v>4</v>
      </c>
      <c r="K817">
        <v>87</v>
      </c>
      <c r="L817" t="s">
        <v>51</v>
      </c>
    </row>
    <row r="818" spans="1:12" x14ac:dyDescent="0.25">
      <c r="A818" t="s">
        <v>860</v>
      </c>
      <c r="B818" t="s">
        <v>94</v>
      </c>
      <c r="C818" t="s">
        <v>29</v>
      </c>
      <c r="D818">
        <v>24</v>
      </c>
      <c r="E818" t="s">
        <v>19</v>
      </c>
      <c r="F818">
        <v>11</v>
      </c>
      <c r="G818">
        <v>36309</v>
      </c>
      <c r="H818">
        <v>13</v>
      </c>
      <c r="I818">
        <v>50</v>
      </c>
      <c r="J818">
        <v>5</v>
      </c>
      <c r="K818">
        <v>92</v>
      </c>
      <c r="L818" t="s">
        <v>51</v>
      </c>
    </row>
    <row r="819" spans="1:12" x14ac:dyDescent="0.25">
      <c r="A819" t="s">
        <v>861</v>
      </c>
      <c r="B819" t="s">
        <v>63</v>
      </c>
      <c r="C819" t="s">
        <v>22</v>
      </c>
      <c r="D819">
        <v>32</v>
      </c>
      <c r="E819" t="s">
        <v>19</v>
      </c>
      <c r="F819">
        <v>14</v>
      </c>
      <c r="G819">
        <v>64803</v>
      </c>
      <c r="H819">
        <v>11</v>
      </c>
      <c r="I819">
        <v>44</v>
      </c>
      <c r="J819">
        <v>4</v>
      </c>
      <c r="K819">
        <v>92</v>
      </c>
      <c r="L819" t="s">
        <v>26</v>
      </c>
    </row>
    <row r="820" spans="1:12" x14ac:dyDescent="0.25">
      <c r="A820" t="s">
        <v>862</v>
      </c>
      <c r="B820" t="s">
        <v>28</v>
      </c>
      <c r="C820" t="s">
        <v>29</v>
      </c>
      <c r="D820">
        <v>39</v>
      </c>
      <c r="E820" t="s">
        <v>15</v>
      </c>
      <c r="F820">
        <v>8</v>
      </c>
      <c r="G820">
        <v>26504</v>
      </c>
      <c r="H820">
        <v>13</v>
      </c>
      <c r="I820">
        <v>49</v>
      </c>
      <c r="J820">
        <v>3</v>
      </c>
      <c r="K820">
        <v>85</v>
      </c>
      <c r="L820" t="s">
        <v>23</v>
      </c>
    </row>
    <row r="821" spans="1:12" x14ac:dyDescent="0.25">
      <c r="A821" t="s">
        <v>863</v>
      </c>
      <c r="B821" t="s">
        <v>89</v>
      </c>
      <c r="C821" t="s">
        <v>14</v>
      </c>
      <c r="D821">
        <v>37</v>
      </c>
      <c r="E821" t="s">
        <v>19</v>
      </c>
      <c r="F821">
        <v>7</v>
      </c>
      <c r="G821">
        <v>65122</v>
      </c>
      <c r="H821">
        <v>6</v>
      </c>
      <c r="I821">
        <v>41</v>
      </c>
      <c r="J821">
        <v>4</v>
      </c>
      <c r="K821">
        <v>89</v>
      </c>
      <c r="L821" t="s">
        <v>37</v>
      </c>
    </row>
    <row r="822" spans="1:12" x14ac:dyDescent="0.25">
      <c r="A822" t="s">
        <v>864</v>
      </c>
      <c r="B822" t="s">
        <v>70</v>
      </c>
      <c r="C822" t="s">
        <v>14</v>
      </c>
      <c r="D822">
        <v>30</v>
      </c>
      <c r="E822" t="s">
        <v>15</v>
      </c>
      <c r="F822">
        <v>5</v>
      </c>
      <c r="G822">
        <v>78576</v>
      </c>
      <c r="H822">
        <v>9</v>
      </c>
      <c r="I822">
        <v>41</v>
      </c>
      <c r="J822">
        <v>4</v>
      </c>
      <c r="K822">
        <v>91</v>
      </c>
      <c r="L822" t="s">
        <v>26</v>
      </c>
    </row>
    <row r="823" spans="1:12" x14ac:dyDescent="0.25">
      <c r="A823" t="s">
        <v>865</v>
      </c>
      <c r="B823" t="s">
        <v>36</v>
      </c>
      <c r="C823" t="s">
        <v>14</v>
      </c>
      <c r="D823">
        <v>39</v>
      </c>
      <c r="E823" t="s">
        <v>19</v>
      </c>
      <c r="F823">
        <v>12</v>
      </c>
      <c r="G823">
        <v>78803</v>
      </c>
      <c r="H823">
        <v>12</v>
      </c>
      <c r="I823">
        <v>47</v>
      </c>
      <c r="J823">
        <v>5</v>
      </c>
      <c r="K823">
        <v>88</v>
      </c>
      <c r="L823" t="s">
        <v>37</v>
      </c>
    </row>
    <row r="824" spans="1:12" x14ac:dyDescent="0.25">
      <c r="A824" t="s">
        <v>866</v>
      </c>
      <c r="B824" t="s">
        <v>45</v>
      </c>
      <c r="C824" t="s">
        <v>14</v>
      </c>
      <c r="D824">
        <v>23</v>
      </c>
      <c r="E824" t="s">
        <v>15</v>
      </c>
      <c r="F824">
        <v>6</v>
      </c>
      <c r="G824">
        <v>52431</v>
      </c>
      <c r="H824">
        <v>6</v>
      </c>
      <c r="I824">
        <v>44</v>
      </c>
      <c r="J824">
        <v>5</v>
      </c>
      <c r="K824">
        <v>100</v>
      </c>
      <c r="L824" t="s">
        <v>37</v>
      </c>
    </row>
    <row r="825" spans="1:12" x14ac:dyDescent="0.25">
      <c r="A825" t="s">
        <v>867</v>
      </c>
      <c r="B825" t="s">
        <v>75</v>
      </c>
      <c r="C825" t="s">
        <v>29</v>
      </c>
      <c r="D825">
        <v>38</v>
      </c>
      <c r="E825" t="s">
        <v>19</v>
      </c>
      <c r="F825">
        <v>2</v>
      </c>
      <c r="G825">
        <v>69734</v>
      </c>
      <c r="H825">
        <v>13</v>
      </c>
      <c r="I825">
        <v>38</v>
      </c>
      <c r="J825">
        <v>5</v>
      </c>
      <c r="K825">
        <v>89</v>
      </c>
      <c r="L825" t="s">
        <v>26</v>
      </c>
    </row>
    <row r="826" spans="1:12" x14ac:dyDescent="0.25">
      <c r="A826" t="s">
        <v>868</v>
      </c>
      <c r="B826" t="s">
        <v>43</v>
      </c>
      <c r="C826" t="s">
        <v>22</v>
      </c>
      <c r="D826">
        <v>40</v>
      </c>
      <c r="E826" t="s">
        <v>15</v>
      </c>
      <c r="F826">
        <v>2</v>
      </c>
      <c r="G826">
        <v>59916</v>
      </c>
      <c r="H826">
        <v>10</v>
      </c>
      <c r="I826">
        <v>35</v>
      </c>
      <c r="J826">
        <v>1</v>
      </c>
      <c r="K826">
        <v>98</v>
      </c>
      <c r="L826" t="s">
        <v>23</v>
      </c>
    </row>
    <row r="827" spans="1:12" x14ac:dyDescent="0.25">
      <c r="A827" t="s">
        <v>869</v>
      </c>
      <c r="B827" t="s">
        <v>31</v>
      </c>
      <c r="C827" t="s">
        <v>22</v>
      </c>
      <c r="D827">
        <v>36</v>
      </c>
      <c r="E827" t="s">
        <v>15</v>
      </c>
      <c r="F827">
        <v>15</v>
      </c>
      <c r="G827">
        <v>42203</v>
      </c>
      <c r="H827">
        <v>8</v>
      </c>
      <c r="I827">
        <v>50</v>
      </c>
      <c r="J827">
        <v>3</v>
      </c>
      <c r="K827">
        <v>90</v>
      </c>
      <c r="L827" t="s">
        <v>23</v>
      </c>
    </row>
    <row r="828" spans="1:12" x14ac:dyDescent="0.25">
      <c r="A828" t="s">
        <v>870</v>
      </c>
      <c r="B828" t="s">
        <v>13</v>
      </c>
      <c r="C828" t="s">
        <v>22</v>
      </c>
      <c r="D828">
        <v>39</v>
      </c>
      <c r="E828" t="s">
        <v>19</v>
      </c>
      <c r="F828">
        <v>2</v>
      </c>
      <c r="G828">
        <v>32567</v>
      </c>
      <c r="H828">
        <v>12</v>
      </c>
      <c r="I828">
        <v>43</v>
      </c>
      <c r="J828">
        <v>1</v>
      </c>
      <c r="K828">
        <v>93</v>
      </c>
      <c r="L828" t="s">
        <v>51</v>
      </c>
    </row>
    <row r="829" spans="1:12" x14ac:dyDescent="0.25">
      <c r="A829" t="s">
        <v>871</v>
      </c>
      <c r="B829" t="s">
        <v>13</v>
      </c>
      <c r="C829" t="s">
        <v>22</v>
      </c>
      <c r="D829">
        <v>40</v>
      </c>
      <c r="E829" t="s">
        <v>15</v>
      </c>
      <c r="F829">
        <v>9</v>
      </c>
      <c r="G829">
        <v>58225</v>
      </c>
      <c r="H829">
        <v>3</v>
      </c>
      <c r="I829">
        <v>47</v>
      </c>
      <c r="J829">
        <v>2</v>
      </c>
      <c r="K829">
        <v>88</v>
      </c>
      <c r="L829" t="s">
        <v>26</v>
      </c>
    </row>
    <row r="830" spans="1:12" x14ac:dyDescent="0.25">
      <c r="A830" t="s">
        <v>872</v>
      </c>
      <c r="B830" t="s">
        <v>94</v>
      </c>
      <c r="C830" t="s">
        <v>25</v>
      </c>
      <c r="D830">
        <v>28</v>
      </c>
      <c r="E830" t="s">
        <v>19</v>
      </c>
      <c r="F830">
        <v>1</v>
      </c>
      <c r="G830">
        <v>71342</v>
      </c>
      <c r="H830">
        <v>11</v>
      </c>
      <c r="I830">
        <v>41</v>
      </c>
      <c r="J830">
        <v>1</v>
      </c>
      <c r="K830">
        <v>89</v>
      </c>
      <c r="L830" t="s">
        <v>51</v>
      </c>
    </row>
    <row r="831" spans="1:12" x14ac:dyDescent="0.25">
      <c r="A831" t="s">
        <v>873</v>
      </c>
      <c r="B831" t="s">
        <v>75</v>
      </c>
      <c r="C831" t="s">
        <v>29</v>
      </c>
      <c r="D831">
        <v>36</v>
      </c>
      <c r="E831" t="s">
        <v>19</v>
      </c>
      <c r="F831">
        <v>12</v>
      </c>
      <c r="G831">
        <v>49197</v>
      </c>
      <c r="H831">
        <v>3</v>
      </c>
      <c r="I831">
        <v>40</v>
      </c>
      <c r="J831">
        <v>4</v>
      </c>
      <c r="K831">
        <v>100</v>
      </c>
      <c r="L831" t="s">
        <v>32</v>
      </c>
    </row>
    <row r="832" spans="1:12" x14ac:dyDescent="0.25">
      <c r="A832" t="s">
        <v>874</v>
      </c>
      <c r="B832" t="s">
        <v>13</v>
      </c>
      <c r="C832" t="s">
        <v>14</v>
      </c>
      <c r="D832">
        <v>22</v>
      </c>
      <c r="E832" t="s">
        <v>19</v>
      </c>
      <c r="F832">
        <v>9</v>
      </c>
      <c r="G832">
        <v>78748</v>
      </c>
      <c r="H832">
        <v>3</v>
      </c>
      <c r="I832">
        <v>39</v>
      </c>
      <c r="J832">
        <v>1</v>
      </c>
      <c r="K832">
        <v>91</v>
      </c>
      <c r="L832" t="s">
        <v>32</v>
      </c>
    </row>
    <row r="833" spans="1:12" x14ac:dyDescent="0.25">
      <c r="A833" t="s">
        <v>875</v>
      </c>
      <c r="B833" t="s">
        <v>13</v>
      </c>
      <c r="C833" t="s">
        <v>22</v>
      </c>
      <c r="D833">
        <v>25</v>
      </c>
      <c r="E833" t="s">
        <v>19</v>
      </c>
      <c r="F833">
        <v>2</v>
      </c>
      <c r="G833">
        <v>47078</v>
      </c>
      <c r="H833">
        <v>9</v>
      </c>
      <c r="I833">
        <v>49</v>
      </c>
      <c r="J833">
        <v>3</v>
      </c>
      <c r="K833">
        <v>100</v>
      </c>
      <c r="L833" t="s">
        <v>23</v>
      </c>
    </row>
    <row r="834" spans="1:12" x14ac:dyDescent="0.25">
      <c r="A834" t="s">
        <v>876</v>
      </c>
      <c r="B834" t="s">
        <v>31</v>
      </c>
      <c r="C834" t="s">
        <v>25</v>
      </c>
      <c r="D834">
        <v>29</v>
      </c>
      <c r="E834" t="s">
        <v>19</v>
      </c>
      <c r="F834">
        <v>13</v>
      </c>
      <c r="G834">
        <v>37227</v>
      </c>
      <c r="H834">
        <v>3</v>
      </c>
      <c r="I834">
        <v>46</v>
      </c>
      <c r="J834">
        <v>5</v>
      </c>
      <c r="K834">
        <v>86</v>
      </c>
      <c r="L834" t="s">
        <v>26</v>
      </c>
    </row>
    <row r="835" spans="1:12" x14ac:dyDescent="0.25">
      <c r="A835" t="s">
        <v>877</v>
      </c>
      <c r="B835" t="s">
        <v>70</v>
      </c>
      <c r="C835" t="s">
        <v>25</v>
      </c>
      <c r="D835">
        <v>27</v>
      </c>
      <c r="E835" t="s">
        <v>19</v>
      </c>
      <c r="F835">
        <v>12</v>
      </c>
      <c r="G835">
        <v>65112</v>
      </c>
      <c r="H835">
        <v>15</v>
      </c>
      <c r="I835">
        <v>39</v>
      </c>
      <c r="J835">
        <v>1</v>
      </c>
      <c r="K835">
        <v>87</v>
      </c>
      <c r="L835" t="s">
        <v>26</v>
      </c>
    </row>
    <row r="836" spans="1:12" x14ac:dyDescent="0.25">
      <c r="A836" t="s">
        <v>878</v>
      </c>
      <c r="B836" t="s">
        <v>36</v>
      </c>
      <c r="C836" t="s">
        <v>22</v>
      </c>
      <c r="D836">
        <v>39</v>
      </c>
      <c r="E836" t="s">
        <v>15</v>
      </c>
      <c r="F836">
        <v>4</v>
      </c>
      <c r="G836">
        <v>42304</v>
      </c>
      <c r="H836">
        <v>7</v>
      </c>
      <c r="I836">
        <v>45</v>
      </c>
      <c r="J836">
        <v>1</v>
      </c>
      <c r="K836">
        <v>93</v>
      </c>
      <c r="L836" t="s">
        <v>16</v>
      </c>
    </row>
    <row r="837" spans="1:12" x14ac:dyDescent="0.25">
      <c r="A837" t="s">
        <v>879</v>
      </c>
      <c r="B837" t="s">
        <v>43</v>
      </c>
      <c r="C837" t="s">
        <v>25</v>
      </c>
      <c r="D837">
        <v>35</v>
      </c>
      <c r="E837" t="s">
        <v>19</v>
      </c>
      <c r="F837">
        <v>13</v>
      </c>
      <c r="G837">
        <v>50592</v>
      </c>
      <c r="H837">
        <v>12</v>
      </c>
      <c r="I837">
        <v>42</v>
      </c>
      <c r="J837">
        <v>4</v>
      </c>
      <c r="K837">
        <v>89</v>
      </c>
      <c r="L837" t="s">
        <v>51</v>
      </c>
    </row>
    <row r="838" spans="1:12" x14ac:dyDescent="0.25">
      <c r="A838" t="s">
        <v>880</v>
      </c>
      <c r="B838" t="s">
        <v>28</v>
      </c>
      <c r="C838" t="s">
        <v>22</v>
      </c>
      <c r="D838">
        <v>26</v>
      </c>
      <c r="E838" t="s">
        <v>15</v>
      </c>
      <c r="F838">
        <v>13</v>
      </c>
      <c r="G838">
        <v>68675</v>
      </c>
      <c r="H838">
        <v>11</v>
      </c>
      <c r="I838">
        <v>41</v>
      </c>
      <c r="J838">
        <v>5</v>
      </c>
      <c r="K838">
        <v>92</v>
      </c>
      <c r="L838" t="s">
        <v>26</v>
      </c>
    </row>
    <row r="839" spans="1:12" x14ac:dyDescent="0.25">
      <c r="A839" t="s">
        <v>881</v>
      </c>
      <c r="B839" t="s">
        <v>34</v>
      </c>
      <c r="C839" t="s">
        <v>25</v>
      </c>
      <c r="D839">
        <v>38</v>
      </c>
      <c r="E839" t="s">
        <v>15</v>
      </c>
      <c r="F839">
        <v>11</v>
      </c>
      <c r="G839">
        <v>75787</v>
      </c>
      <c r="H839">
        <v>6</v>
      </c>
      <c r="I839">
        <v>38</v>
      </c>
      <c r="J839">
        <v>4</v>
      </c>
      <c r="K839">
        <v>88</v>
      </c>
      <c r="L839" t="s">
        <v>32</v>
      </c>
    </row>
    <row r="840" spans="1:12" x14ac:dyDescent="0.25">
      <c r="A840" t="s">
        <v>882</v>
      </c>
      <c r="B840" t="s">
        <v>28</v>
      </c>
      <c r="C840" t="s">
        <v>22</v>
      </c>
      <c r="D840">
        <v>23</v>
      </c>
      <c r="E840" t="s">
        <v>15</v>
      </c>
      <c r="F840">
        <v>3</v>
      </c>
      <c r="G840">
        <v>68014</v>
      </c>
      <c r="H840">
        <v>8</v>
      </c>
      <c r="I840">
        <v>38</v>
      </c>
      <c r="J840">
        <v>2</v>
      </c>
      <c r="K840">
        <v>98</v>
      </c>
      <c r="L840" t="s">
        <v>16</v>
      </c>
    </row>
    <row r="841" spans="1:12" x14ac:dyDescent="0.25">
      <c r="A841" t="s">
        <v>883</v>
      </c>
      <c r="B841" t="s">
        <v>83</v>
      </c>
      <c r="C841" t="s">
        <v>25</v>
      </c>
      <c r="D841">
        <v>23</v>
      </c>
      <c r="E841" t="s">
        <v>19</v>
      </c>
      <c r="F841">
        <v>8</v>
      </c>
      <c r="G841">
        <v>65686</v>
      </c>
      <c r="H841">
        <v>4</v>
      </c>
      <c r="I841">
        <v>46</v>
      </c>
      <c r="J841">
        <v>4</v>
      </c>
      <c r="K841">
        <v>94</v>
      </c>
      <c r="L841" t="s">
        <v>37</v>
      </c>
    </row>
    <row r="842" spans="1:12" x14ac:dyDescent="0.25">
      <c r="A842" t="s">
        <v>884</v>
      </c>
      <c r="B842" t="s">
        <v>65</v>
      </c>
      <c r="C842" t="s">
        <v>22</v>
      </c>
      <c r="D842">
        <v>24</v>
      </c>
      <c r="E842" t="s">
        <v>19</v>
      </c>
      <c r="F842">
        <v>1</v>
      </c>
      <c r="G842">
        <v>44268</v>
      </c>
      <c r="H842">
        <v>3</v>
      </c>
      <c r="I842">
        <v>36</v>
      </c>
      <c r="J842">
        <v>3</v>
      </c>
      <c r="K842">
        <v>88</v>
      </c>
      <c r="L842" t="s">
        <v>51</v>
      </c>
    </row>
    <row r="843" spans="1:12" x14ac:dyDescent="0.25">
      <c r="A843" t="s">
        <v>885</v>
      </c>
      <c r="B843" t="s">
        <v>81</v>
      </c>
      <c r="C843" t="s">
        <v>22</v>
      </c>
      <c r="D843">
        <v>38</v>
      </c>
      <c r="E843" t="s">
        <v>19</v>
      </c>
      <c r="F843">
        <v>14</v>
      </c>
      <c r="G843">
        <v>46340</v>
      </c>
      <c r="H843">
        <v>13</v>
      </c>
      <c r="I843">
        <v>48</v>
      </c>
      <c r="J843">
        <v>2</v>
      </c>
      <c r="K843">
        <v>95</v>
      </c>
      <c r="L843" t="s">
        <v>16</v>
      </c>
    </row>
    <row r="844" spans="1:12" x14ac:dyDescent="0.25">
      <c r="A844" t="s">
        <v>886</v>
      </c>
      <c r="B844" t="s">
        <v>18</v>
      </c>
      <c r="C844" t="s">
        <v>22</v>
      </c>
      <c r="D844">
        <v>32</v>
      </c>
      <c r="E844" t="s">
        <v>15</v>
      </c>
      <c r="F844">
        <v>7</v>
      </c>
      <c r="G844">
        <v>51630</v>
      </c>
      <c r="H844">
        <v>15</v>
      </c>
      <c r="I844">
        <v>46</v>
      </c>
      <c r="J844">
        <v>3</v>
      </c>
      <c r="K844">
        <v>85</v>
      </c>
      <c r="L844" t="s">
        <v>51</v>
      </c>
    </row>
    <row r="845" spans="1:12" x14ac:dyDescent="0.25">
      <c r="A845" t="s">
        <v>887</v>
      </c>
      <c r="B845" t="s">
        <v>89</v>
      </c>
      <c r="C845" t="s">
        <v>22</v>
      </c>
      <c r="D845">
        <v>27</v>
      </c>
      <c r="E845" t="s">
        <v>15</v>
      </c>
      <c r="F845">
        <v>4</v>
      </c>
      <c r="G845">
        <v>66701</v>
      </c>
      <c r="H845">
        <v>6</v>
      </c>
      <c r="I845">
        <v>45</v>
      </c>
      <c r="J845">
        <v>1</v>
      </c>
      <c r="K845">
        <v>97</v>
      </c>
      <c r="L845" t="s">
        <v>23</v>
      </c>
    </row>
    <row r="846" spans="1:12" x14ac:dyDescent="0.25">
      <c r="A846" t="s">
        <v>888</v>
      </c>
      <c r="B846" t="s">
        <v>70</v>
      </c>
      <c r="C846" t="s">
        <v>22</v>
      </c>
      <c r="D846">
        <v>29</v>
      </c>
      <c r="E846" t="s">
        <v>19</v>
      </c>
      <c r="F846">
        <v>9</v>
      </c>
      <c r="G846">
        <v>28079</v>
      </c>
      <c r="H846">
        <v>4</v>
      </c>
      <c r="I846">
        <v>50</v>
      </c>
      <c r="J846">
        <v>4</v>
      </c>
      <c r="K846">
        <v>86</v>
      </c>
      <c r="L846" t="s">
        <v>37</v>
      </c>
    </row>
    <row r="847" spans="1:12" x14ac:dyDescent="0.25">
      <c r="A847" t="s">
        <v>889</v>
      </c>
      <c r="B847" t="s">
        <v>63</v>
      </c>
      <c r="C847" t="s">
        <v>14</v>
      </c>
      <c r="D847">
        <v>28</v>
      </c>
      <c r="E847" t="s">
        <v>19</v>
      </c>
      <c r="F847">
        <v>5</v>
      </c>
      <c r="G847">
        <v>54843</v>
      </c>
      <c r="H847">
        <v>8</v>
      </c>
      <c r="I847">
        <v>44</v>
      </c>
      <c r="J847">
        <v>1</v>
      </c>
      <c r="K847">
        <v>100</v>
      </c>
      <c r="L847" t="s">
        <v>32</v>
      </c>
    </row>
    <row r="848" spans="1:12" x14ac:dyDescent="0.25">
      <c r="A848" t="s">
        <v>890</v>
      </c>
      <c r="B848" t="s">
        <v>53</v>
      </c>
      <c r="C848" t="s">
        <v>14</v>
      </c>
      <c r="D848">
        <v>24</v>
      </c>
      <c r="E848" t="s">
        <v>15</v>
      </c>
      <c r="F848">
        <v>9</v>
      </c>
      <c r="G848">
        <v>35988</v>
      </c>
      <c r="H848">
        <v>9</v>
      </c>
      <c r="I848">
        <v>35</v>
      </c>
      <c r="J848">
        <v>2</v>
      </c>
      <c r="K848">
        <v>90</v>
      </c>
      <c r="L848" t="s">
        <v>26</v>
      </c>
    </row>
    <row r="849" spans="1:12" x14ac:dyDescent="0.25">
      <c r="A849" t="s">
        <v>891</v>
      </c>
      <c r="B849" t="s">
        <v>75</v>
      </c>
      <c r="C849" t="s">
        <v>29</v>
      </c>
      <c r="D849">
        <v>24</v>
      </c>
      <c r="E849" t="s">
        <v>15</v>
      </c>
      <c r="F849">
        <v>11</v>
      </c>
      <c r="G849">
        <v>30124</v>
      </c>
      <c r="H849">
        <v>5</v>
      </c>
      <c r="I849">
        <v>38</v>
      </c>
      <c r="J849">
        <v>5</v>
      </c>
      <c r="K849">
        <v>90</v>
      </c>
      <c r="L849" t="s">
        <v>51</v>
      </c>
    </row>
    <row r="850" spans="1:12" x14ac:dyDescent="0.25">
      <c r="A850" t="s">
        <v>892</v>
      </c>
      <c r="B850" t="s">
        <v>13</v>
      </c>
      <c r="C850" t="s">
        <v>22</v>
      </c>
      <c r="D850">
        <v>38</v>
      </c>
      <c r="E850" t="s">
        <v>19</v>
      </c>
      <c r="F850">
        <v>3</v>
      </c>
      <c r="G850">
        <v>46069</v>
      </c>
      <c r="H850">
        <v>12</v>
      </c>
      <c r="I850">
        <v>45</v>
      </c>
      <c r="J850">
        <v>1</v>
      </c>
      <c r="K850">
        <v>85</v>
      </c>
      <c r="L850" t="s">
        <v>37</v>
      </c>
    </row>
    <row r="851" spans="1:12" x14ac:dyDescent="0.25">
      <c r="A851" t="s">
        <v>893</v>
      </c>
      <c r="B851" t="s">
        <v>94</v>
      </c>
      <c r="C851" t="s">
        <v>29</v>
      </c>
      <c r="D851">
        <v>39</v>
      </c>
      <c r="E851" t="s">
        <v>15</v>
      </c>
      <c r="F851">
        <v>14</v>
      </c>
      <c r="G851">
        <v>49969</v>
      </c>
      <c r="H851">
        <v>10</v>
      </c>
      <c r="I851">
        <v>41</v>
      </c>
      <c r="J851">
        <v>1</v>
      </c>
      <c r="K851">
        <v>94</v>
      </c>
      <c r="L851" t="s">
        <v>51</v>
      </c>
    </row>
    <row r="852" spans="1:12" x14ac:dyDescent="0.25">
      <c r="A852" t="s">
        <v>894</v>
      </c>
      <c r="B852" t="s">
        <v>70</v>
      </c>
      <c r="C852" t="s">
        <v>14</v>
      </c>
      <c r="D852">
        <v>38</v>
      </c>
      <c r="E852" t="s">
        <v>19</v>
      </c>
      <c r="F852">
        <v>9</v>
      </c>
      <c r="G852">
        <v>47827</v>
      </c>
      <c r="H852">
        <v>3</v>
      </c>
      <c r="I852">
        <v>48</v>
      </c>
      <c r="J852">
        <v>1</v>
      </c>
      <c r="K852">
        <v>95</v>
      </c>
      <c r="L852" t="s">
        <v>26</v>
      </c>
    </row>
    <row r="853" spans="1:12" x14ac:dyDescent="0.25">
      <c r="A853" t="s">
        <v>895</v>
      </c>
      <c r="B853" t="s">
        <v>53</v>
      </c>
      <c r="C853" t="s">
        <v>14</v>
      </c>
      <c r="D853">
        <v>38</v>
      </c>
      <c r="E853" t="s">
        <v>19</v>
      </c>
      <c r="F853">
        <v>2</v>
      </c>
      <c r="G853">
        <v>62234</v>
      </c>
      <c r="H853">
        <v>11</v>
      </c>
      <c r="I853">
        <v>50</v>
      </c>
      <c r="J853">
        <v>4</v>
      </c>
      <c r="K853">
        <v>94</v>
      </c>
      <c r="L853" t="s">
        <v>32</v>
      </c>
    </row>
    <row r="854" spans="1:12" x14ac:dyDescent="0.25">
      <c r="A854" t="s">
        <v>896</v>
      </c>
      <c r="B854" t="s">
        <v>75</v>
      </c>
      <c r="C854" t="s">
        <v>14</v>
      </c>
      <c r="D854">
        <v>27</v>
      </c>
      <c r="E854" t="s">
        <v>19</v>
      </c>
      <c r="F854">
        <v>14</v>
      </c>
      <c r="G854">
        <v>25613</v>
      </c>
      <c r="H854">
        <v>4</v>
      </c>
      <c r="I854">
        <v>38</v>
      </c>
      <c r="J854">
        <v>2</v>
      </c>
      <c r="K854">
        <v>87</v>
      </c>
      <c r="L854" t="s">
        <v>26</v>
      </c>
    </row>
    <row r="855" spans="1:12" x14ac:dyDescent="0.25">
      <c r="A855" t="s">
        <v>897</v>
      </c>
      <c r="B855" t="s">
        <v>83</v>
      </c>
      <c r="C855" t="s">
        <v>29</v>
      </c>
      <c r="D855">
        <v>30</v>
      </c>
      <c r="E855" t="s">
        <v>15</v>
      </c>
      <c r="F855">
        <v>3</v>
      </c>
      <c r="G855">
        <v>26438</v>
      </c>
      <c r="H855">
        <v>14</v>
      </c>
      <c r="I855">
        <v>48</v>
      </c>
      <c r="J855">
        <v>3</v>
      </c>
      <c r="K855">
        <v>94</v>
      </c>
      <c r="L855" t="s">
        <v>37</v>
      </c>
    </row>
    <row r="856" spans="1:12" x14ac:dyDescent="0.25">
      <c r="A856" t="s">
        <v>898</v>
      </c>
      <c r="B856" t="s">
        <v>21</v>
      </c>
      <c r="C856" t="s">
        <v>25</v>
      </c>
      <c r="D856">
        <v>26</v>
      </c>
      <c r="E856" t="s">
        <v>19</v>
      </c>
      <c r="F856">
        <v>11</v>
      </c>
      <c r="G856">
        <v>57734</v>
      </c>
      <c r="H856">
        <v>5</v>
      </c>
      <c r="I856">
        <v>49</v>
      </c>
      <c r="J856">
        <v>3</v>
      </c>
      <c r="K856">
        <v>90</v>
      </c>
      <c r="L856" t="s">
        <v>23</v>
      </c>
    </row>
    <row r="857" spans="1:12" x14ac:dyDescent="0.25">
      <c r="A857" t="s">
        <v>899</v>
      </c>
      <c r="B857" t="s">
        <v>18</v>
      </c>
      <c r="C857" t="s">
        <v>29</v>
      </c>
      <c r="D857">
        <v>25</v>
      </c>
      <c r="E857" t="s">
        <v>15</v>
      </c>
      <c r="F857">
        <v>5</v>
      </c>
      <c r="G857">
        <v>69535</v>
      </c>
      <c r="H857">
        <v>13</v>
      </c>
      <c r="I857">
        <v>38</v>
      </c>
      <c r="J857">
        <v>5</v>
      </c>
      <c r="K857">
        <v>93</v>
      </c>
      <c r="L857" t="s">
        <v>37</v>
      </c>
    </row>
    <row r="858" spans="1:12" x14ac:dyDescent="0.25">
      <c r="A858" t="s">
        <v>900</v>
      </c>
      <c r="B858" t="s">
        <v>63</v>
      </c>
      <c r="C858" t="s">
        <v>25</v>
      </c>
      <c r="D858">
        <v>40</v>
      </c>
      <c r="E858" t="s">
        <v>15</v>
      </c>
      <c r="F858">
        <v>10</v>
      </c>
      <c r="G858">
        <v>31457</v>
      </c>
      <c r="H858">
        <v>8</v>
      </c>
      <c r="I858">
        <v>44</v>
      </c>
      <c r="J858">
        <v>4</v>
      </c>
      <c r="K858">
        <v>91</v>
      </c>
      <c r="L858" t="s">
        <v>26</v>
      </c>
    </row>
    <row r="859" spans="1:12" x14ac:dyDescent="0.25">
      <c r="A859" t="s">
        <v>901</v>
      </c>
      <c r="B859" t="s">
        <v>75</v>
      </c>
      <c r="C859" t="s">
        <v>25</v>
      </c>
      <c r="D859">
        <v>25</v>
      </c>
      <c r="E859" t="s">
        <v>19</v>
      </c>
      <c r="F859">
        <v>6</v>
      </c>
      <c r="G859">
        <v>35911</v>
      </c>
      <c r="H859">
        <v>6</v>
      </c>
      <c r="I859">
        <v>41</v>
      </c>
      <c r="J859">
        <v>2</v>
      </c>
      <c r="K859">
        <v>86</v>
      </c>
      <c r="L859" t="s">
        <v>37</v>
      </c>
    </row>
    <row r="860" spans="1:12" x14ac:dyDescent="0.25">
      <c r="A860" t="s">
        <v>902</v>
      </c>
      <c r="B860" t="s">
        <v>13</v>
      </c>
      <c r="C860" t="s">
        <v>22</v>
      </c>
      <c r="D860">
        <v>36</v>
      </c>
      <c r="E860" t="s">
        <v>15</v>
      </c>
      <c r="F860">
        <v>15</v>
      </c>
      <c r="G860">
        <v>42741</v>
      </c>
      <c r="H860">
        <v>11</v>
      </c>
      <c r="I860">
        <v>40</v>
      </c>
      <c r="J860">
        <v>2</v>
      </c>
      <c r="K860">
        <v>96</v>
      </c>
      <c r="L860" t="s">
        <v>26</v>
      </c>
    </row>
    <row r="861" spans="1:12" x14ac:dyDescent="0.25">
      <c r="A861" t="s">
        <v>903</v>
      </c>
      <c r="B861" t="s">
        <v>89</v>
      </c>
      <c r="C861" t="s">
        <v>29</v>
      </c>
      <c r="D861">
        <v>38</v>
      </c>
      <c r="E861" t="s">
        <v>15</v>
      </c>
      <c r="F861">
        <v>9</v>
      </c>
      <c r="G861">
        <v>34348</v>
      </c>
      <c r="H861">
        <v>4</v>
      </c>
      <c r="I861">
        <v>45</v>
      </c>
      <c r="J861">
        <v>4</v>
      </c>
      <c r="K861">
        <v>92</v>
      </c>
      <c r="L861" t="s">
        <v>26</v>
      </c>
    </row>
    <row r="862" spans="1:12" x14ac:dyDescent="0.25">
      <c r="A862" t="s">
        <v>904</v>
      </c>
      <c r="B862" t="s">
        <v>40</v>
      </c>
      <c r="C862" t="s">
        <v>22</v>
      </c>
      <c r="D862">
        <v>24</v>
      </c>
      <c r="E862" t="s">
        <v>15</v>
      </c>
      <c r="F862">
        <v>2</v>
      </c>
      <c r="G862">
        <v>62648</v>
      </c>
      <c r="H862">
        <v>3</v>
      </c>
      <c r="I862">
        <v>43</v>
      </c>
      <c r="J862">
        <v>2</v>
      </c>
      <c r="K862">
        <v>87</v>
      </c>
      <c r="L862" t="s">
        <v>23</v>
      </c>
    </row>
    <row r="863" spans="1:12" x14ac:dyDescent="0.25">
      <c r="A863" t="s">
        <v>905</v>
      </c>
      <c r="B863" t="s">
        <v>21</v>
      </c>
      <c r="C863" t="s">
        <v>29</v>
      </c>
      <c r="D863">
        <v>40</v>
      </c>
      <c r="E863" t="s">
        <v>15</v>
      </c>
      <c r="F863">
        <v>4</v>
      </c>
      <c r="G863">
        <v>38931</v>
      </c>
      <c r="H863">
        <v>15</v>
      </c>
      <c r="I863">
        <v>48</v>
      </c>
      <c r="J863">
        <v>5</v>
      </c>
      <c r="K863">
        <v>91</v>
      </c>
      <c r="L863" t="s">
        <v>32</v>
      </c>
    </row>
    <row r="864" spans="1:12" x14ac:dyDescent="0.25">
      <c r="A864" t="s">
        <v>906</v>
      </c>
      <c r="B864" t="s">
        <v>28</v>
      </c>
      <c r="C864" t="s">
        <v>25</v>
      </c>
      <c r="D864">
        <v>25</v>
      </c>
      <c r="E864" t="s">
        <v>15</v>
      </c>
      <c r="F864">
        <v>14</v>
      </c>
      <c r="G864">
        <v>32843</v>
      </c>
      <c r="H864">
        <v>3</v>
      </c>
      <c r="I864">
        <v>40</v>
      </c>
      <c r="J864">
        <v>4</v>
      </c>
      <c r="K864">
        <v>100</v>
      </c>
      <c r="L864" t="s">
        <v>16</v>
      </c>
    </row>
    <row r="865" spans="1:12" x14ac:dyDescent="0.25">
      <c r="A865" t="s">
        <v>907</v>
      </c>
      <c r="B865" t="s">
        <v>13</v>
      </c>
      <c r="C865" t="s">
        <v>22</v>
      </c>
      <c r="D865">
        <v>30</v>
      </c>
      <c r="E865" t="s">
        <v>15</v>
      </c>
      <c r="F865">
        <v>10</v>
      </c>
      <c r="G865">
        <v>36410</v>
      </c>
      <c r="H865">
        <v>5</v>
      </c>
      <c r="I865">
        <v>36</v>
      </c>
      <c r="J865">
        <v>1</v>
      </c>
      <c r="K865">
        <v>93</v>
      </c>
      <c r="L865" t="s">
        <v>26</v>
      </c>
    </row>
    <row r="866" spans="1:12" x14ac:dyDescent="0.25">
      <c r="A866" t="s">
        <v>908</v>
      </c>
      <c r="B866" t="s">
        <v>83</v>
      </c>
      <c r="C866" t="s">
        <v>29</v>
      </c>
      <c r="D866">
        <v>29</v>
      </c>
      <c r="E866" t="s">
        <v>15</v>
      </c>
      <c r="F866">
        <v>11</v>
      </c>
      <c r="G866">
        <v>74878</v>
      </c>
      <c r="H866">
        <v>3</v>
      </c>
      <c r="I866">
        <v>49</v>
      </c>
      <c r="J866">
        <v>4</v>
      </c>
      <c r="K866">
        <v>87</v>
      </c>
      <c r="L866" t="s">
        <v>26</v>
      </c>
    </row>
    <row r="867" spans="1:12" x14ac:dyDescent="0.25">
      <c r="A867" t="s">
        <v>909</v>
      </c>
      <c r="B867" t="s">
        <v>77</v>
      </c>
      <c r="C867" t="s">
        <v>25</v>
      </c>
      <c r="D867">
        <v>22</v>
      </c>
      <c r="E867" t="s">
        <v>19</v>
      </c>
      <c r="F867">
        <v>10</v>
      </c>
      <c r="G867">
        <v>78397</v>
      </c>
      <c r="H867">
        <v>5</v>
      </c>
      <c r="I867">
        <v>37</v>
      </c>
      <c r="J867">
        <v>5</v>
      </c>
      <c r="K867">
        <v>100</v>
      </c>
      <c r="L867" t="s">
        <v>16</v>
      </c>
    </row>
    <row r="868" spans="1:12" x14ac:dyDescent="0.25">
      <c r="A868" t="s">
        <v>910</v>
      </c>
      <c r="B868" t="s">
        <v>18</v>
      </c>
      <c r="C868" t="s">
        <v>29</v>
      </c>
      <c r="D868">
        <v>37</v>
      </c>
      <c r="E868" t="s">
        <v>19</v>
      </c>
      <c r="F868">
        <v>13</v>
      </c>
      <c r="G868">
        <v>59079</v>
      </c>
      <c r="H868">
        <v>15</v>
      </c>
      <c r="I868">
        <v>45</v>
      </c>
      <c r="J868">
        <v>5</v>
      </c>
      <c r="K868">
        <v>92</v>
      </c>
      <c r="L868" t="s">
        <v>32</v>
      </c>
    </row>
    <row r="869" spans="1:12" x14ac:dyDescent="0.25">
      <c r="A869" t="s">
        <v>911</v>
      </c>
      <c r="B869" t="s">
        <v>34</v>
      </c>
      <c r="C869" t="s">
        <v>14</v>
      </c>
      <c r="D869">
        <v>40</v>
      </c>
      <c r="E869" t="s">
        <v>19</v>
      </c>
      <c r="F869">
        <v>13</v>
      </c>
      <c r="G869">
        <v>49299</v>
      </c>
      <c r="H869">
        <v>5</v>
      </c>
      <c r="I869">
        <v>38</v>
      </c>
      <c r="J869">
        <v>3</v>
      </c>
      <c r="K869">
        <v>95</v>
      </c>
      <c r="L869" t="s">
        <v>37</v>
      </c>
    </row>
    <row r="870" spans="1:12" x14ac:dyDescent="0.25">
      <c r="A870" t="s">
        <v>912</v>
      </c>
      <c r="B870" t="s">
        <v>63</v>
      </c>
      <c r="C870" t="s">
        <v>22</v>
      </c>
      <c r="D870">
        <v>31</v>
      </c>
      <c r="E870" t="s">
        <v>19</v>
      </c>
      <c r="F870">
        <v>2</v>
      </c>
      <c r="G870">
        <v>30550</v>
      </c>
      <c r="H870">
        <v>9</v>
      </c>
      <c r="I870">
        <v>48</v>
      </c>
      <c r="J870">
        <v>2</v>
      </c>
      <c r="K870">
        <v>90</v>
      </c>
      <c r="L870" t="s">
        <v>37</v>
      </c>
    </row>
    <row r="871" spans="1:12" x14ac:dyDescent="0.25">
      <c r="A871" t="s">
        <v>913</v>
      </c>
      <c r="B871" t="s">
        <v>94</v>
      </c>
      <c r="C871" t="s">
        <v>25</v>
      </c>
      <c r="D871">
        <v>35</v>
      </c>
      <c r="E871" t="s">
        <v>15</v>
      </c>
      <c r="F871">
        <v>1</v>
      </c>
      <c r="G871">
        <v>52211</v>
      </c>
      <c r="H871">
        <v>14</v>
      </c>
      <c r="I871">
        <v>37</v>
      </c>
      <c r="J871">
        <v>5</v>
      </c>
      <c r="K871">
        <v>95</v>
      </c>
      <c r="L871" t="s">
        <v>16</v>
      </c>
    </row>
    <row r="872" spans="1:12" x14ac:dyDescent="0.25">
      <c r="A872" t="s">
        <v>914</v>
      </c>
      <c r="B872" t="s">
        <v>13</v>
      </c>
      <c r="C872" t="s">
        <v>22</v>
      </c>
      <c r="D872">
        <v>36</v>
      </c>
      <c r="E872" t="s">
        <v>19</v>
      </c>
      <c r="F872">
        <v>14</v>
      </c>
      <c r="G872">
        <v>52708</v>
      </c>
      <c r="H872">
        <v>8</v>
      </c>
      <c r="I872">
        <v>42</v>
      </c>
      <c r="J872">
        <v>2</v>
      </c>
      <c r="K872">
        <v>89</v>
      </c>
      <c r="L872" t="s">
        <v>23</v>
      </c>
    </row>
    <row r="873" spans="1:12" x14ac:dyDescent="0.25">
      <c r="A873" t="s">
        <v>915</v>
      </c>
      <c r="B873" t="s">
        <v>43</v>
      </c>
      <c r="C873" t="s">
        <v>22</v>
      </c>
      <c r="D873">
        <v>34</v>
      </c>
      <c r="E873" t="s">
        <v>19</v>
      </c>
      <c r="F873">
        <v>4</v>
      </c>
      <c r="G873">
        <v>51177</v>
      </c>
      <c r="H873">
        <v>10</v>
      </c>
      <c r="I873">
        <v>40</v>
      </c>
      <c r="J873">
        <v>2</v>
      </c>
      <c r="K873">
        <v>89</v>
      </c>
      <c r="L873" t="s">
        <v>23</v>
      </c>
    </row>
    <row r="874" spans="1:12" x14ac:dyDescent="0.25">
      <c r="A874" t="s">
        <v>916</v>
      </c>
      <c r="B874" t="s">
        <v>21</v>
      </c>
      <c r="C874" t="s">
        <v>22</v>
      </c>
      <c r="D874">
        <v>34</v>
      </c>
      <c r="E874" t="s">
        <v>19</v>
      </c>
      <c r="F874">
        <v>13</v>
      </c>
      <c r="G874">
        <v>73661</v>
      </c>
      <c r="H874">
        <v>6</v>
      </c>
      <c r="I874">
        <v>40</v>
      </c>
      <c r="J874">
        <v>4</v>
      </c>
      <c r="K874">
        <v>98</v>
      </c>
      <c r="L874" t="s">
        <v>16</v>
      </c>
    </row>
    <row r="875" spans="1:12" x14ac:dyDescent="0.25">
      <c r="A875" t="s">
        <v>917</v>
      </c>
      <c r="B875" t="s">
        <v>31</v>
      </c>
      <c r="C875" t="s">
        <v>14</v>
      </c>
      <c r="D875">
        <v>24</v>
      </c>
      <c r="E875" t="s">
        <v>19</v>
      </c>
      <c r="F875">
        <v>14</v>
      </c>
      <c r="G875">
        <v>46480</v>
      </c>
      <c r="H875">
        <v>12</v>
      </c>
      <c r="I875">
        <v>43</v>
      </c>
      <c r="J875">
        <v>1</v>
      </c>
      <c r="K875">
        <v>88</v>
      </c>
      <c r="L875" t="s">
        <v>37</v>
      </c>
    </row>
    <row r="876" spans="1:12" x14ac:dyDescent="0.25">
      <c r="A876" t="s">
        <v>918</v>
      </c>
      <c r="B876" t="s">
        <v>75</v>
      </c>
      <c r="C876" t="s">
        <v>25</v>
      </c>
      <c r="D876">
        <v>34</v>
      </c>
      <c r="E876" t="s">
        <v>19</v>
      </c>
      <c r="F876">
        <v>4</v>
      </c>
      <c r="G876">
        <v>66208</v>
      </c>
      <c r="H876">
        <v>3</v>
      </c>
      <c r="I876">
        <v>43</v>
      </c>
      <c r="J876">
        <v>5</v>
      </c>
      <c r="K876">
        <v>95</v>
      </c>
      <c r="L876" t="s">
        <v>32</v>
      </c>
    </row>
    <row r="877" spans="1:12" x14ac:dyDescent="0.25">
      <c r="A877" t="s">
        <v>919</v>
      </c>
      <c r="B877" t="s">
        <v>83</v>
      </c>
      <c r="C877" t="s">
        <v>22</v>
      </c>
      <c r="D877">
        <v>30</v>
      </c>
      <c r="E877" t="s">
        <v>15</v>
      </c>
      <c r="F877">
        <v>8</v>
      </c>
      <c r="G877">
        <v>27270</v>
      </c>
      <c r="H877">
        <v>5</v>
      </c>
      <c r="I877">
        <v>39</v>
      </c>
      <c r="J877">
        <v>4</v>
      </c>
      <c r="K877">
        <v>96</v>
      </c>
      <c r="L877" t="s">
        <v>32</v>
      </c>
    </row>
    <row r="878" spans="1:12" x14ac:dyDescent="0.25">
      <c r="A878" t="s">
        <v>920</v>
      </c>
      <c r="B878" t="s">
        <v>43</v>
      </c>
      <c r="C878" t="s">
        <v>25</v>
      </c>
      <c r="D878">
        <v>34</v>
      </c>
      <c r="E878" t="s">
        <v>19</v>
      </c>
      <c r="F878">
        <v>10</v>
      </c>
      <c r="G878">
        <v>56170</v>
      </c>
      <c r="H878">
        <v>12</v>
      </c>
      <c r="I878">
        <v>43</v>
      </c>
      <c r="J878">
        <v>3</v>
      </c>
      <c r="K878">
        <v>89</v>
      </c>
      <c r="L878" t="s">
        <v>23</v>
      </c>
    </row>
    <row r="879" spans="1:12" x14ac:dyDescent="0.25">
      <c r="A879" t="s">
        <v>921</v>
      </c>
      <c r="B879" t="s">
        <v>89</v>
      </c>
      <c r="C879" t="s">
        <v>14</v>
      </c>
      <c r="D879">
        <v>34</v>
      </c>
      <c r="E879" t="s">
        <v>15</v>
      </c>
      <c r="F879">
        <v>9</v>
      </c>
      <c r="G879">
        <v>67051</v>
      </c>
      <c r="H879">
        <v>5</v>
      </c>
      <c r="I879">
        <v>46</v>
      </c>
      <c r="J879">
        <v>1</v>
      </c>
      <c r="K879">
        <v>92</v>
      </c>
      <c r="L879" t="s">
        <v>51</v>
      </c>
    </row>
    <row r="880" spans="1:12" x14ac:dyDescent="0.25">
      <c r="A880" t="s">
        <v>922</v>
      </c>
      <c r="B880" t="s">
        <v>43</v>
      </c>
      <c r="C880" t="s">
        <v>22</v>
      </c>
      <c r="D880">
        <v>33</v>
      </c>
      <c r="E880" t="s">
        <v>15</v>
      </c>
      <c r="F880">
        <v>13</v>
      </c>
      <c r="G880">
        <v>79884</v>
      </c>
      <c r="H880">
        <v>12</v>
      </c>
      <c r="I880">
        <v>46</v>
      </c>
      <c r="J880">
        <v>2</v>
      </c>
      <c r="K880">
        <v>91</v>
      </c>
      <c r="L880" t="s">
        <v>23</v>
      </c>
    </row>
    <row r="881" spans="1:12" x14ac:dyDescent="0.25">
      <c r="A881" t="s">
        <v>923</v>
      </c>
      <c r="B881" t="s">
        <v>13</v>
      </c>
      <c r="C881" t="s">
        <v>22</v>
      </c>
      <c r="D881">
        <v>33</v>
      </c>
      <c r="E881" t="s">
        <v>15</v>
      </c>
      <c r="F881">
        <v>2</v>
      </c>
      <c r="G881">
        <v>59797</v>
      </c>
      <c r="H881">
        <v>8</v>
      </c>
      <c r="I881">
        <v>44</v>
      </c>
      <c r="J881">
        <v>3</v>
      </c>
      <c r="K881">
        <v>92</v>
      </c>
      <c r="L881" t="s">
        <v>51</v>
      </c>
    </row>
    <row r="882" spans="1:12" x14ac:dyDescent="0.25">
      <c r="A882" t="s">
        <v>924</v>
      </c>
      <c r="B882" t="s">
        <v>77</v>
      </c>
      <c r="C882" t="s">
        <v>25</v>
      </c>
      <c r="D882">
        <v>24</v>
      </c>
      <c r="E882" t="s">
        <v>15</v>
      </c>
      <c r="F882">
        <v>1</v>
      </c>
      <c r="G882">
        <v>71209</v>
      </c>
      <c r="H882">
        <v>6</v>
      </c>
      <c r="I882">
        <v>43</v>
      </c>
      <c r="J882">
        <v>2</v>
      </c>
      <c r="K882">
        <v>93</v>
      </c>
      <c r="L882" t="s">
        <v>26</v>
      </c>
    </row>
    <row r="883" spans="1:12" x14ac:dyDescent="0.25">
      <c r="A883" t="s">
        <v>925</v>
      </c>
      <c r="B883" t="s">
        <v>18</v>
      </c>
      <c r="C883" t="s">
        <v>25</v>
      </c>
      <c r="D883">
        <v>39</v>
      </c>
      <c r="E883" t="s">
        <v>19</v>
      </c>
      <c r="F883">
        <v>8</v>
      </c>
      <c r="G883">
        <v>79461</v>
      </c>
      <c r="H883">
        <v>15</v>
      </c>
      <c r="I883">
        <v>37</v>
      </c>
      <c r="J883">
        <v>5</v>
      </c>
      <c r="K883">
        <v>93</v>
      </c>
      <c r="L883" t="s">
        <v>37</v>
      </c>
    </row>
    <row r="884" spans="1:12" x14ac:dyDescent="0.25">
      <c r="A884" t="s">
        <v>926</v>
      </c>
      <c r="B884" t="s">
        <v>63</v>
      </c>
      <c r="C884" t="s">
        <v>14</v>
      </c>
      <c r="D884">
        <v>25</v>
      </c>
      <c r="E884" t="s">
        <v>19</v>
      </c>
      <c r="F884">
        <v>3</v>
      </c>
      <c r="G884">
        <v>40052</v>
      </c>
      <c r="H884">
        <v>13</v>
      </c>
      <c r="I884">
        <v>38</v>
      </c>
      <c r="J884">
        <v>5</v>
      </c>
      <c r="K884">
        <v>92</v>
      </c>
      <c r="L884" t="s">
        <v>16</v>
      </c>
    </row>
    <row r="885" spans="1:12" x14ac:dyDescent="0.25">
      <c r="A885" t="s">
        <v>927</v>
      </c>
      <c r="B885" t="s">
        <v>89</v>
      </c>
      <c r="C885" t="s">
        <v>22</v>
      </c>
      <c r="D885">
        <v>36</v>
      </c>
      <c r="E885" t="s">
        <v>15</v>
      </c>
      <c r="F885">
        <v>14</v>
      </c>
      <c r="G885">
        <v>27030</v>
      </c>
      <c r="H885">
        <v>5</v>
      </c>
      <c r="I885">
        <v>35</v>
      </c>
      <c r="J885">
        <v>3</v>
      </c>
      <c r="K885">
        <v>98</v>
      </c>
      <c r="L885" t="s">
        <v>37</v>
      </c>
    </row>
    <row r="886" spans="1:12" x14ac:dyDescent="0.25">
      <c r="A886" t="s">
        <v>928</v>
      </c>
      <c r="B886" t="s">
        <v>65</v>
      </c>
      <c r="C886" t="s">
        <v>14</v>
      </c>
      <c r="D886">
        <v>33</v>
      </c>
      <c r="E886" t="s">
        <v>19</v>
      </c>
      <c r="F886">
        <v>11</v>
      </c>
      <c r="G886">
        <v>79450</v>
      </c>
      <c r="H886">
        <v>9</v>
      </c>
      <c r="I886">
        <v>50</v>
      </c>
      <c r="J886">
        <v>3</v>
      </c>
      <c r="K886">
        <v>93</v>
      </c>
      <c r="L886" t="s">
        <v>32</v>
      </c>
    </row>
    <row r="887" spans="1:12" x14ac:dyDescent="0.25">
      <c r="A887" t="s">
        <v>929</v>
      </c>
      <c r="B887" t="s">
        <v>13</v>
      </c>
      <c r="C887" t="s">
        <v>22</v>
      </c>
      <c r="D887">
        <v>25</v>
      </c>
      <c r="E887" t="s">
        <v>19</v>
      </c>
      <c r="F887">
        <v>3</v>
      </c>
      <c r="G887">
        <v>65518</v>
      </c>
      <c r="H887">
        <v>10</v>
      </c>
      <c r="I887">
        <v>45</v>
      </c>
      <c r="J887">
        <v>1</v>
      </c>
      <c r="K887">
        <v>89</v>
      </c>
      <c r="L887" t="s">
        <v>16</v>
      </c>
    </row>
    <row r="888" spans="1:12" x14ac:dyDescent="0.25">
      <c r="A888" t="s">
        <v>930</v>
      </c>
      <c r="B888" t="s">
        <v>34</v>
      </c>
      <c r="C888" t="s">
        <v>25</v>
      </c>
      <c r="D888">
        <v>33</v>
      </c>
      <c r="E888" t="s">
        <v>19</v>
      </c>
      <c r="F888">
        <v>11</v>
      </c>
      <c r="G888">
        <v>42144</v>
      </c>
      <c r="H888">
        <v>6</v>
      </c>
      <c r="I888">
        <v>41</v>
      </c>
      <c r="J888">
        <v>5</v>
      </c>
      <c r="K888">
        <v>94</v>
      </c>
      <c r="L888" t="s">
        <v>51</v>
      </c>
    </row>
    <row r="889" spans="1:12" x14ac:dyDescent="0.25">
      <c r="A889" t="s">
        <v>931</v>
      </c>
      <c r="B889" t="s">
        <v>36</v>
      </c>
      <c r="C889" t="s">
        <v>25</v>
      </c>
      <c r="D889">
        <v>38</v>
      </c>
      <c r="E889" t="s">
        <v>15</v>
      </c>
      <c r="F889">
        <v>11</v>
      </c>
      <c r="G889">
        <v>25367</v>
      </c>
      <c r="H889">
        <v>6</v>
      </c>
      <c r="I889">
        <v>36</v>
      </c>
      <c r="J889">
        <v>5</v>
      </c>
      <c r="K889">
        <v>97</v>
      </c>
      <c r="L889" t="s">
        <v>32</v>
      </c>
    </row>
    <row r="890" spans="1:12" x14ac:dyDescent="0.25">
      <c r="A890" t="s">
        <v>932</v>
      </c>
      <c r="B890" t="s">
        <v>65</v>
      </c>
      <c r="C890" t="s">
        <v>25</v>
      </c>
      <c r="D890">
        <v>36</v>
      </c>
      <c r="E890" t="s">
        <v>15</v>
      </c>
      <c r="F890">
        <v>14</v>
      </c>
      <c r="G890">
        <v>45459</v>
      </c>
      <c r="H890">
        <v>11</v>
      </c>
      <c r="I890">
        <v>41</v>
      </c>
      <c r="J890">
        <v>5</v>
      </c>
      <c r="K890">
        <v>98</v>
      </c>
      <c r="L890" t="s">
        <v>26</v>
      </c>
    </row>
    <row r="891" spans="1:12" x14ac:dyDescent="0.25">
      <c r="A891" t="s">
        <v>933</v>
      </c>
      <c r="B891" t="s">
        <v>21</v>
      </c>
      <c r="C891" t="s">
        <v>25</v>
      </c>
      <c r="D891">
        <v>22</v>
      </c>
      <c r="E891" t="s">
        <v>15</v>
      </c>
      <c r="F891">
        <v>6</v>
      </c>
      <c r="G891">
        <v>57781</v>
      </c>
      <c r="H891">
        <v>11</v>
      </c>
      <c r="I891">
        <v>48</v>
      </c>
      <c r="J891">
        <v>5</v>
      </c>
      <c r="K891">
        <v>99</v>
      </c>
      <c r="L891" t="s">
        <v>23</v>
      </c>
    </row>
    <row r="892" spans="1:12" x14ac:dyDescent="0.25">
      <c r="A892" t="s">
        <v>934</v>
      </c>
      <c r="B892" t="s">
        <v>81</v>
      </c>
      <c r="C892" t="s">
        <v>14</v>
      </c>
      <c r="D892">
        <v>26</v>
      </c>
      <c r="E892" t="s">
        <v>15</v>
      </c>
      <c r="F892">
        <v>1</v>
      </c>
      <c r="G892">
        <v>59711</v>
      </c>
      <c r="H892">
        <v>6</v>
      </c>
      <c r="I892">
        <v>50</v>
      </c>
      <c r="J892">
        <v>1</v>
      </c>
      <c r="K892">
        <v>100</v>
      </c>
      <c r="L892" t="s">
        <v>37</v>
      </c>
    </row>
    <row r="893" spans="1:12" x14ac:dyDescent="0.25">
      <c r="A893" t="s">
        <v>935</v>
      </c>
      <c r="B893" t="s">
        <v>18</v>
      </c>
      <c r="C893" t="s">
        <v>29</v>
      </c>
      <c r="D893">
        <v>35</v>
      </c>
      <c r="E893" t="s">
        <v>15</v>
      </c>
      <c r="F893">
        <v>3</v>
      </c>
      <c r="G893">
        <v>76718</v>
      </c>
      <c r="H893">
        <v>14</v>
      </c>
      <c r="I893">
        <v>49</v>
      </c>
      <c r="J893">
        <v>1</v>
      </c>
      <c r="K893">
        <v>91</v>
      </c>
      <c r="L893" t="s">
        <v>16</v>
      </c>
    </row>
    <row r="894" spans="1:12" x14ac:dyDescent="0.25">
      <c r="A894" t="s">
        <v>936</v>
      </c>
      <c r="B894" t="s">
        <v>75</v>
      </c>
      <c r="C894" t="s">
        <v>14</v>
      </c>
      <c r="D894">
        <v>25</v>
      </c>
      <c r="E894" t="s">
        <v>19</v>
      </c>
      <c r="F894">
        <v>9</v>
      </c>
      <c r="G894">
        <v>42299</v>
      </c>
      <c r="H894">
        <v>4</v>
      </c>
      <c r="I894">
        <v>45</v>
      </c>
      <c r="J894">
        <v>4</v>
      </c>
      <c r="K894">
        <v>96</v>
      </c>
      <c r="L894" t="s">
        <v>23</v>
      </c>
    </row>
    <row r="895" spans="1:12" x14ac:dyDescent="0.25">
      <c r="A895" t="s">
        <v>937</v>
      </c>
      <c r="B895" t="s">
        <v>53</v>
      </c>
      <c r="C895" t="s">
        <v>22</v>
      </c>
      <c r="D895">
        <v>27</v>
      </c>
      <c r="E895" t="s">
        <v>19</v>
      </c>
      <c r="F895">
        <v>8</v>
      </c>
      <c r="G895">
        <v>34398</v>
      </c>
      <c r="H895">
        <v>12</v>
      </c>
      <c r="I895">
        <v>48</v>
      </c>
      <c r="J895">
        <v>1</v>
      </c>
      <c r="K895">
        <v>90</v>
      </c>
      <c r="L895" t="s">
        <v>32</v>
      </c>
    </row>
    <row r="896" spans="1:12" x14ac:dyDescent="0.25">
      <c r="A896" t="s">
        <v>938</v>
      </c>
      <c r="B896" t="s">
        <v>34</v>
      </c>
      <c r="C896" t="s">
        <v>14</v>
      </c>
      <c r="D896">
        <v>30</v>
      </c>
      <c r="E896" t="s">
        <v>15</v>
      </c>
      <c r="F896">
        <v>2</v>
      </c>
      <c r="G896">
        <v>59574</v>
      </c>
      <c r="H896">
        <v>12</v>
      </c>
      <c r="I896">
        <v>37</v>
      </c>
      <c r="J896">
        <v>3</v>
      </c>
      <c r="K896">
        <v>96</v>
      </c>
      <c r="L896" t="s">
        <v>23</v>
      </c>
    </row>
    <row r="897" spans="1:12" x14ac:dyDescent="0.25">
      <c r="A897" t="s">
        <v>939</v>
      </c>
      <c r="B897" t="s">
        <v>45</v>
      </c>
      <c r="C897" t="s">
        <v>29</v>
      </c>
      <c r="D897">
        <v>30</v>
      </c>
      <c r="E897" t="s">
        <v>19</v>
      </c>
      <c r="F897">
        <v>13</v>
      </c>
      <c r="G897">
        <v>43285</v>
      </c>
      <c r="H897">
        <v>15</v>
      </c>
      <c r="I897">
        <v>37</v>
      </c>
      <c r="J897">
        <v>3</v>
      </c>
      <c r="K897">
        <v>91</v>
      </c>
      <c r="L897" t="s">
        <v>23</v>
      </c>
    </row>
    <row r="898" spans="1:12" x14ac:dyDescent="0.25">
      <c r="A898" t="s">
        <v>940</v>
      </c>
      <c r="B898" t="s">
        <v>18</v>
      </c>
      <c r="C898" t="s">
        <v>14</v>
      </c>
      <c r="D898">
        <v>34</v>
      </c>
      <c r="E898" t="s">
        <v>15</v>
      </c>
      <c r="F898">
        <v>9</v>
      </c>
      <c r="G898">
        <v>34915</v>
      </c>
      <c r="H898">
        <v>6</v>
      </c>
      <c r="I898">
        <v>50</v>
      </c>
      <c r="J898">
        <v>5</v>
      </c>
      <c r="K898">
        <v>91</v>
      </c>
      <c r="L898" t="s">
        <v>26</v>
      </c>
    </row>
    <row r="899" spans="1:12" x14ac:dyDescent="0.25">
      <c r="A899" t="s">
        <v>941</v>
      </c>
      <c r="B899" t="s">
        <v>34</v>
      </c>
      <c r="C899" t="s">
        <v>25</v>
      </c>
      <c r="D899">
        <v>36</v>
      </c>
      <c r="E899" t="s">
        <v>15</v>
      </c>
      <c r="F899">
        <v>12</v>
      </c>
      <c r="G899">
        <v>34653</v>
      </c>
      <c r="H899">
        <v>13</v>
      </c>
      <c r="I899">
        <v>39</v>
      </c>
      <c r="J899">
        <v>1</v>
      </c>
      <c r="K899">
        <v>100</v>
      </c>
      <c r="L899" t="s">
        <v>32</v>
      </c>
    </row>
    <row r="900" spans="1:12" x14ac:dyDescent="0.25">
      <c r="A900" t="s">
        <v>942</v>
      </c>
      <c r="B900" t="s">
        <v>45</v>
      </c>
      <c r="C900" t="s">
        <v>29</v>
      </c>
      <c r="D900">
        <v>35</v>
      </c>
      <c r="E900" t="s">
        <v>15</v>
      </c>
      <c r="F900">
        <v>8</v>
      </c>
      <c r="G900">
        <v>33895</v>
      </c>
      <c r="H900">
        <v>6</v>
      </c>
      <c r="I900">
        <v>42</v>
      </c>
      <c r="J900">
        <v>5</v>
      </c>
      <c r="K900">
        <v>97</v>
      </c>
      <c r="L900" t="s">
        <v>26</v>
      </c>
    </row>
    <row r="901" spans="1:12" x14ac:dyDescent="0.25">
      <c r="A901" t="s">
        <v>943</v>
      </c>
      <c r="B901" t="s">
        <v>75</v>
      </c>
      <c r="C901" t="s">
        <v>25</v>
      </c>
      <c r="D901">
        <v>28</v>
      </c>
      <c r="E901" t="s">
        <v>19</v>
      </c>
      <c r="F901">
        <v>15</v>
      </c>
      <c r="G901">
        <v>29421</v>
      </c>
      <c r="H901">
        <v>15</v>
      </c>
      <c r="I901">
        <v>42</v>
      </c>
      <c r="J901">
        <v>2</v>
      </c>
      <c r="K901">
        <v>88</v>
      </c>
      <c r="L901" t="s">
        <v>37</v>
      </c>
    </row>
    <row r="902" spans="1:12" x14ac:dyDescent="0.25">
      <c r="A902" t="s">
        <v>944</v>
      </c>
      <c r="B902" t="s">
        <v>45</v>
      </c>
      <c r="C902" t="s">
        <v>29</v>
      </c>
      <c r="D902">
        <v>38</v>
      </c>
      <c r="E902" t="s">
        <v>15</v>
      </c>
      <c r="F902">
        <v>12</v>
      </c>
      <c r="G902">
        <v>78427</v>
      </c>
      <c r="H902">
        <v>9</v>
      </c>
      <c r="I902">
        <v>47</v>
      </c>
      <c r="J902">
        <v>4</v>
      </c>
      <c r="K902">
        <v>86</v>
      </c>
      <c r="L902" t="s">
        <v>51</v>
      </c>
    </row>
    <row r="903" spans="1:12" x14ac:dyDescent="0.25">
      <c r="A903" t="s">
        <v>945</v>
      </c>
      <c r="B903" t="s">
        <v>65</v>
      </c>
      <c r="C903" t="s">
        <v>22</v>
      </c>
      <c r="D903">
        <v>24</v>
      </c>
      <c r="E903" t="s">
        <v>15</v>
      </c>
      <c r="F903">
        <v>7</v>
      </c>
      <c r="G903">
        <v>60513</v>
      </c>
      <c r="H903">
        <v>8</v>
      </c>
      <c r="I903">
        <v>41</v>
      </c>
      <c r="J903">
        <v>1</v>
      </c>
      <c r="K903">
        <v>91</v>
      </c>
      <c r="L903" t="s">
        <v>37</v>
      </c>
    </row>
    <row r="904" spans="1:12" x14ac:dyDescent="0.25">
      <c r="A904" t="s">
        <v>946</v>
      </c>
      <c r="B904" t="s">
        <v>70</v>
      </c>
      <c r="C904" t="s">
        <v>14</v>
      </c>
      <c r="D904">
        <v>28</v>
      </c>
      <c r="E904" t="s">
        <v>19</v>
      </c>
      <c r="F904">
        <v>5</v>
      </c>
      <c r="G904">
        <v>60090</v>
      </c>
      <c r="H904">
        <v>13</v>
      </c>
      <c r="I904">
        <v>44</v>
      </c>
      <c r="J904">
        <v>5</v>
      </c>
      <c r="K904">
        <v>93</v>
      </c>
      <c r="L904" t="s">
        <v>32</v>
      </c>
    </row>
    <row r="905" spans="1:12" x14ac:dyDescent="0.25">
      <c r="A905" t="s">
        <v>947</v>
      </c>
      <c r="B905" t="s">
        <v>75</v>
      </c>
      <c r="C905" t="s">
        <v>22</v>
      </c>
      <c r="D905">
        <v>27</v>
      </c>
      <c r="E905" t="s">
        <v>15</v>
      </c>
      <c r="F905">
        <v>13</v>
      </c>
      <c r="G905">
        <v>32093</v>
      </c>
      <c r="H905">
        <v>4</v>
      </c>
      <c r="I905">
        <v>46</v>
      </c>
      <c r="J905">
        <v>5</v>
      </c>
      <c r="K905">
        <v>98</v>
      </c>
      <c r="L905" t="s">
        <v>16</v>
      </c>
    </row>
    <row r="906" spans="1:12" x14ac:dyDescent="0.25">
      <c r="A906" t="s">
        <v>948</v>
      </c>
      <c r="B906" t="s">
        <v>13</v>
      </c>
      <c r="C906" t="s">
        <v>29</v>
      </c>
      <c r="D906">
        <v>25</v>
      </c>
      <c r="E906" t="s">
        <v>15</v>
      </c>
      <c r="F906">
        <v>13</v>
      </c>
      <c r="G906">
        <v>50968</v>
      </c>
      <c r="H906">
        <v>12</v>
      </c>
      <c r="I906">
        <v>42</v>
      </c>
      <c r="J906">
        <v>3</v>
      </c>
      <c r="K906">
        <v>98</v>
      </c>
      <c r="L906" t="s">
        <v>32</v>
      </c>
    </row>
    <row r="907" spans="1:12" x14ac:dyDescent="0.25">
      <c r="A907" t="s">
        <v>949</v>
      </c>
      <c r="B907" t="s">
        <v>77</v>
      </c>
      <c r="C907" t="s">
        <v>25</v>
      </c>
      <c r="D907">
        <v>39</v>
      </c>
      <c r="E907" t="s">
        <v>15</v>
      </c>
      <c r="F907">
        <v>5</v>
      </c>
      <c r="G907">
        <v>25893</v>
      </c>
      <c r="H907">
        <v>15</v>
      </c>
      <c r="I907">
        <v>35</v>
      </c>
      <c r="J907">
        <v>4</v>
      </c>
      <c r="K907">
        <v>88</v>
      </c>
      <c r="L907" t="s">
        <v>23</v>
      </c>
    </row>
    <row r="908" spans="1:12" x14ac:dyDescent="0.25">
      <c r="A908" t="s">
        <v>950</v>
      </c>
      <c r="B908" t="s">
        <v>70</v>
      </c>
      <c r="C908" t="s">
        <v>22</v>
      </c>
      <c r="D908">
        <v>32</v>
      </c>
      <c r="E908" t="s">
        <v>19</v>
      </c>
      <c r="F908">
        <v>14</v>
      </c>
      <c r="G908">
        <v>74934</v>
      </c>
      <c r="H908">
        <v>11</v>
      </c>
      <c r="I908">
        <v>40</v>
      </c>
      <c r="J908">
        <v>5</v>
      </c>
      <c r="K908">
        <v>98</v>
      </c>
      <c r="L908" t="s">
        <v>16</v>
      </c>
    </row>
    <row r="909" spans="1:12" x14ac:dyDescent="0.25">
      <c r="A909" t="s">
        <v>951</v>
      </c>
      <c r="B909" t="s">
        <v>40</v>
      </c>
      <c r="C909" t="s">
        <v>25</v>
      </c>
      <c r="D909">
        <v>40</v>
      </c>
      <c r="E909" t="s">
        <v>15</v>
      </c>
      <c r="F909">
        <v>7</v>
      </c>
      <c r="G909">
        <v>79077</v>
      </c>
      <c r="H909">
        <v>9</v>
      </c>
      <c r="I909">
        <v>50</v>
      </c>
      <c r="J909">
        <v>4</v>
      </c>
      <c r="K909">
        <v>94</v>
      </c>
      <c r="L909" t="s">
        <v>23</v>
      </c>
    </row>
    <row r="910" spans="1:12" x14ac:dyDescent="0.25">
      <c r="A910" t="s">
        <v>952</v>
      </c>
      <c r="B910" t="s">
        <v>70</v>
      </c>
      <c r="C910" t="s">
        <v>25</v>
      </c>
      <c r="D910">
        <v>34</v>
      </c>
      <c r="E910" t="s">
        <v>19</v>
      </c>
      <c r="F910">
        <v>6</v>
      </c>
      <c r="G910">
        <v>62532</v>
      </c>
      <c r="H910">
        <v>13</v>
      </c>
      <c r="I910">
        <v>50</v>
      </c>
      <c r="J910">
        <v>3</v>
      </c>
      <c r="K910">
        <v>86</v>
      </c>
      <c r="L910" t="s">
        <v>16</v>
      </c>
    </row>
    <row r="911" spans="1:12" x14ac:dyDescent="0.25">
      <c r="A911" t="s">
        <v>953</v>
      </c>
      <c r="B911" t="s">
        <v>53</v>
      </c>
      <c r="C911" t="s">
        <v>25</v>
      </c>
      <c r="D911">
        <v>39</v>
      </c>
      <c r="E911" t="s">
        <v>19</v>
      </c>
      <c r="F911">
        <v>1</v>
      </c>
      <c r="G911">
        <v>30478</v>
      </c>
      <c r="H911">
        <v>15</v>
      </c>
      <c r="I911">
        <v>49</v>
      </c>
      <c r="J911">
        <v>3</v>
      </c>
      <c r="K911">
        <v>86</v>
      </c>
      <c r="L911" t="s">
        <v>16</v>
      </c>
    </row>
    <row r="912" spans="1:12" x14ac:dyDescent="0.25">
      <c r="A912" t="s">
        <v>954</v>
      </c>
      <c r="B912" t="s">
        <v>34</v>
      </c>
      <c r="C912" t="s">
        <v>22</v>
      </c>
      <c r="D912">
        <v>27</v>
      </c>
      <c r="E912" t="s">
        <v>15</v>
      </c>
      <c r="F912">
        <v>1</v>
      </c>
      <c r="G912">
        <v>71524</v>
      </c>
      <c r="H912">
        <v>7</v>
      </c>
      <c r="I912">
        <v>35</v>
      </c>
      <c r="J912">
        <v>1</v>
      </c>
      <c r="K912">
        <v>92</v>
      </c>
      <c r="L912" t="s">
        <v>32</v>
      </c>
    </row>
    <row r="913" spans="1:12" x14ac:dyDescent="0.25">
      <c r="A913" t="s">
        <v>955</v>
      </c>
      <c r="B913" t="s">
        <v>34</v>
      </c>
      <c r="C913" t="s">
        <v>14</v>
      </c>
      <c r="D913">
        <v>22</v>
      </c>
      <c r="E913" t="s">
        <v>15</v>
      </c>
      <c r="F913">
        <v>3</v>
      </c>
      <c r="G913">
        <v>75077</v>
      </c>
      <c r="H913">
        <v>14</v>
      </c>
      <c r="I913">
        <v>39</v>
      </c>
      <c r="J913">
        <v>1</v>
      </c>
      <c r="K913">
        <v>97</v>
      </c>
      <c r="L913" t="s">
        <v>23</v>
      </c>
    </row>
    <row r="914" spans="1:12" x14ac:dyDescent="0.25">
      <c r="A914" t="s">
        <v>956</v>
      </c>
      <c r="B914" t="s">
        <v>13</v>
      </c>
      <c r="C914" t="s">
        <v>22</v>
      </c>
      <c r="D914">
        <v>26</v>
      </c>
      <c r="E914" t="s">
        <v>15</v>
      </c>
      <c r="F914">
        <v>10</v>
      </c>
      <c r="G914">
        <v>25885</v>
      </c>
      <c r="H914">
        <v>3</v>
      </c>
      <c r="I914">
        <v>47</v>
      </c>
      <c r="J914">
        <v>4</v>
      </c>
      <c r="K914">
        <v>90</v>
      </c>
      <c r="L914" t="s">
        <v>32</v>
      </c>
    </row>
    <row r="915" spans="1:12" x14ac:dyDescent="0.25">
      <c r="A915" t="s">
        <v>957</v>
      </c>
      <c r="B915" t="s">
        <v>28</v>
      </c>
      <c r="C915" t="s">
        <v>22</v>
      </c>
      <c r="D915">
        <v>28</v>
      </c>
      <c r="E915" t="s">
        <v>15</v>
      </c>
      <c r="F915">
        <v>13</v>
      </c>
      <c r="G915">
        <v>43105</v>
      </c>
      <c r="H915">
        <v>15</v>
      </c>
      <c r="I915">
        <v>38</v>
      </c>
      <c r="J915">
        <v>3</v>
      </c>
      <c r="K915">
        <v>100</v>
      </c>
      <c r="L915" t="s">
        <v>26</v>
      </c>
    </row>
    <row r="916" spans="1:12" x14ac:dyDescent="0.25">
      <c r="A916" t="s">
        <v>958</v>
      </c>
      <c r="B916" t="s">
        <v>13</v>
      </c>
      <c r="C916" t="s">
        <v>25</v>
      </c>
      <c r="D916">
        <v>26</v>
      </c>
      <c r="E916" t="s">
        <v>19</v>
      </c>
      <c r="F916">
        <v>10</v>
      </c>
      <c r="G916">
        <v>45333</v>
      </c>
      <c r="H916">
        <v>12</v>
      </c>
      <c r="I916">
        <v>43</v>
      </c>
      <c r="J916">
        <v>3</v>
      </c>
      <c r="K916">
        <v>93</v>
      </c>
      <c r="L916" t="s">
        <v>16</v>
      </c>
    </row>
    <row r="917" spans="1:12" x14ac:dyDescent="0.25">
      <c r="A917" t="s">
        <v>959</v>
      </c>
      <c r="B917" t="s">
        <v>63</v>
      </c>
      <c r="C917" t="s">
        <v>14</v>
      </c>
      <c r="D917">
        <v>32</v>
      </c>
      <c r="E917" t="s">
        <v>15</v>
      </c>
      <c r="F917">
        <v>12</v>
      </c>
      <c r="G917">
        <v>37246</v>
      </c>
      <c r="H917">
        <v>12</v>
      </c>
      <c r="I917">
        <v>40</v>
      </c>
      <c r="J917">
        <v>5</v>
      </c>
      <c r="K917">
        <v>97</v>
      </c>
      <c r="L917" t="s">
        <v>23</v>
      </c>
    </row>
    <row r="918" spans="1:12" x14ac:dyDescent="0.25">
      <c r="A918" t="s">
        <v>960</v>
      </c>
      <c r="B918" t="s">
        <v>34</v>
      </c>
      <c r="C918" t="s">
        <v>14</v>
      </c>
      <c r="D918">
        <v>39</v>
      </c>
      <c r="E918" t="s">
        <v>15</v>
      </c>
      <c r="F918">
        <v>11</v>
      </c>
      <c r="G918">
        <v>70671</v>
      </c>
      <c r="H918">
        <v>12</v>
      </c>
      <c r="I918">
        <v>46</v>
      </c>
      <c r="J918">
        <v>2</v>
      </c>
      <c r="K918">
        <v>85</v>
      </c>
      <c r="L918" t="s">
        <v>16</v>
      </c>
    </row>
    <row r="919" spans="1:12" x14ac:dyDescent="0.25">
      <c r="A919" t="s">
        <v>961</v>
      </c>
      <c r="B919" t="s">
        <v>77</v>
      </c>
      <c r="C919" t="s">
        <v>22</v>
      </c>
      <c r="D919">
        <v>23</v>
      </c>
      <c r="E919" t="s">
        <v>19</v>
      </c>
      <c r="F919">
        <v>1</v>
      </c>
      <c r="G919">
        <v>36249</v>
      </c>
      <c r="H919">
        <v>7</v>
      </c>
      <c r="I919">
        <v>37</v>
      </c>
      <c r="J919">
        <v>4</v>
      </c>
      <c r="K919">
        <v>87</v>
      </c>
      <c r="L919" t="s">
        <v>37</v>
      </c>
    </row>
    <row r="920" spans="1:12" x14ac:dyDescent="0.25">
      <c r="A920" t="s">
        <v>962</v>
      </c>
      <c r="B920" t="s">
        <v>13</v>
      </c>
      <c r="C920" t="s">
        <v>25</v>
      </c>
      <c r="D920">
        <v>37</v>
      </c>
      <c r="E920" t="s">
        <v>19</v>
      </c>
      <c r="F920">
        <v>9</v>
      </c>
      <c r="G920">
        <v>67695</v>
      </c>
      <c r="H920">
        <v>11</v>
      </c>
      <c r="I920">
        <v>35</v>
      </c>
      <c r="J920">
        <v>5</v>
      </c>
      <c r="K920">
        <v>86</v>
      </c>
      <c r="L920" t="s">
        <v>23</v>
      </c>
    </row>
    <row r="921" spans="1:12" x14ac:dyDescent="0.25">
      <c r="A921" t="s">
        <v>963</v>
      </c>
      <c r="B921" t="s">
        <v>45</v>
      </c>
      <c r="C921" t="s">
        <v>25</v>
      </c>
      <c r="D921">
        <v>38</v>
      </c>
      <c r="E921" t="s">
        <v>15</v>
      </c>
      <c r="F921">
        <v>2</v>
      </c>
      <c r="G921">
        <v>48337</v>
      </c>
      <c r="H921">
        <v>9</v>
      </c>
      <c r="I921">
        <v>41</v>
      </c>
      <c r="J921">
        <v>2</v>
      </c>
      <c r="K921">
        <v>97</v>
      </c>
      <c r="L921" t="s">
        <v>16</v>
      </c>
    </row>
    <row r="922" spans="1:12" x14ac:dyDescent="0.25">
      <c r="A922" t="s">
        <v>964</v>
      </c>
      <c r="B922" t="s">
        <v>45</v>
      </c>
      <c r="C922" t="s">
        <v>22</v>
      </c>
      <c r="D922">
        <v>23</v>
      </c>
      <c r="E922" t="s">
        <v>15</v>
      </c>
      <c r="F922">
        <v>5</v>
      </c>
      <c r="G922">
        <v>73375</v>
      </c>
      <c r="H922">
        <v>4</v>
      </c>
      <c r="I922">
        <v>43</v>
      </c>
      <c r="J922">
        <v>5</v>
      </c>
      <c r="K922">
        <v>93</v>
      </c>
      <c r="L922" t="s">
        <v>51</v>
      </c>
    </row>
    <row r="923" spans="1:12" x14ac:dyDescent="0.25">
      <c r="A923" t="s">
        <v>965</v>
      </c>
      <c r="B923" t="s">
        <v>31</v>
      </c>
      <c r="C923" t="s">
        <v>22</v>
      </c>
      <c r="D923">
        <v>30</v>
      </c>
      <c r="E923" t="s">
        <v>19</v>
      </c>
      <c r="F923">
        <v>2</v>
      </c>
      <c r="G923">
        <v>56311</v>
      </c>
      <c r="H923">
        <v>15</v>
      </c>
      <c r="I923">
        <v>43</v>
      </c>
      <c r="J923">
        <v>2</v>
      </c>
      <c r="K923">
        <v>91</v>
      </c>
      <c r="L923" t="s">
        <v>32</v>
      </c>
    </row>
    <row r="924" spans="1:12" x14ac:dyDescent="0.25">
      <c r="A924" t="s">
        <v>966</v>
      </c>
      <c r="B924" t="s">
        <v>77</v>
      </c>
      <c r="C924" t="s">
        <v>14</v>
      </c>
      <c r="D924">
        <v>28</v>
      </c>
      <c r="E924" t="s">
        <v>19</v>
      </c>
      <c r="F924">
        <v>3</v>
      </c>
      <c r="G924">
        <v>25039</v>
      </c>
      <c r="H924">
        <v>11</v>
      </c>
      <c r="I924">
        <v>45</v>
      </c>
      <c r="J924">
        <v>3</v>
      </c>
      <c r="K924">
        <v>95</v>
      </c>
      <c r="L924" t="s">
        <v>23</v>
      </c>
    </row>
    <row r="925" spans="1:12" x14ac:dyDescent="0.25">
      <c r="A925" t="s">
        <v>967</v>
      </c>
      <c r="B925" t="s">
        <v>21</v>
      </c>
      <c r="C925" t="s">
        <v>14</v>
      </c>
      <c r="D925">
        <v>35</v>
      </c>
      <c r="E925" t="s">
        <v>15</v>
      </c>
      <c r="F925">
        <v>15</v>
      </c>
      <c r="G925">
        <v>49071</v>
      </c>
      <c r="H925">
        <v>13</v>
      </c>
      <c r="I925">
        <v>45</v>
      </c>
      <c r="J925">
        <v>4</v>
      </c>
      <c r="K925">
        <v>96</v>
      </c>
      <c r="L925" t="s">
        <v>26</v>
      </c>
    </row>
    <row r="926" spans="1:12" x14ac:dyDescent="0.25">
      <c r="A926" t="s">
        <v>968</v>
      </c>
      <c r="B926" t="s">
        <v>81</v>
      </c>
      <c r="C926" t="s">
        <v>22</v>
      </c>
      <c r="D926">
        <v>26</v>
      </c>
      <c r="E926" t="s">
        <v>19</v>
      </c>
      <c r="F926">
        <v>6</v>
      </c>
      <c r="G926">
        <v>68941</v>
      </c>
      <c r="H926">
        <v>9</v>
      </c>
      <c r="I926">
        <v>37</v>
      </c>
      <c r="J926">
        <v>1</v>
      </c>
      <c r="K926">
        <v>100</v>
      </c>
      <c r="L926" t="s">
        <v>16</v>
      </c>
    </row>
    <row r="927" spans="1:12" x14ac:dyDescent="0.25">
      <c r="A927" t="s">
        <v>969</v>
      </c>
      <c r="B927" t="s">
        <v>36</v>
      </c>
      <c r="C927" t="s">
        <v>25</v>
      </c>
      <c r="D927">
        <v>22</v>
      </c>
      <c r="E927" t="s">
        <v>19</v>
      </c>
      <c r="F927">
        <v>8</v>
      </c>
      <c r="G927">
        <v>76243</v>
      </c>
      <c r="H927">
        <v>9</v>
      </c>
      <c r="I927">
        <v>35</v>
      </c>
      <c r="J927">
        <v>1</v>
      </c>
      <c r="K927">
        <v>95</v>
      </c>
      <c r="L927" t="s">
        <v>32</v>
      </c>
    </row>
    <row r="928" spans="1:12" x14ac:dyDescent="0.25">
      <c r="A928" t="s">
        <v>970</v>
      </c>
      <c r="B928" t="s">
        <v>65</v>
      </c>
      <c r="C928" t="s">
        <v>29</v>
      </c>
      <c r="D928">
        <v>34</v>
      </c>
      <c r="E928" t="s">
        <v>15</v>
      </c>
      <c r="F928">
        <v>13</v>
      </c>
      <c r="G928">
        <v>52079</v>
      </c>
      <c r="H928">
        <v>9</v>
      </c>
      <c r="I928">
        <v>44</v>
      </c>
      <c r="J928">
        <v>5</v>
      </c>
      <c r="K928">
        <v>99</v>
      </c>
      <c r="L928" t="s">
        <v>16</v>
      </c>
    </row>
    <row r="929" spans="1:12" x14ac:dyDescent="0.25">
      <c r="A929" t="s">
        <v>971</v>
      </c>
      <c r="B929" t="s">
        <v>89</v>
      </c>
      <c r="C929" t="s">
        <v>22</v>
      </c>
      <c r="D929">
        <v>33</v>
      </c>
      <c r="E929" t="s">
        <v>15</v>
      </c>
      <c r="F929">
        <v>9</v>
      </c>
      <c r="G929">
        <v>44916</v>
      </c>
      <c r="H929">
        <v>6</v>
      </c>
      <c r="I929">
        <v>39</v>
      </c>
      <c r="J929">
        <v>5</v>
      </c>
      <c r="K929">
        <v>94</v>
      </c>
      <c r="L929" t="s">
        <v>32</v>
      </c>
    </row>
    <row r="930" spans="1:12" x14ac:dyDescent="0.25">
      <c r="A930" t="s">
        <v>972</v>
      </c>
      <c r="B930" t="s">
        <v>77</v>
      </c>
      <c r="C930" t="s">
        <v>25</v>
      </c>
      <c r="D930">
        <v>31</v>
      </c>
      <c r="E930" t="s">
        <v>15</v>
      </c>
      <c r="F930">
        <v>9</v>
      </c>
      <c r="G930">
        <v>51740</v>
      </c>
      <c r="H930">
        <v>15</v>
      </c>
      <c r="I930">
        <v>45</v>
      </c>
      <c r="J930">
        <v>5</v>
      </c>
      <c r="K930">
        <v>89</v>
      </c>
      <c r="L930" t="s">
        <v>37</v>
      </c>
    </row>
    <row r="931" spans="1:12" x14ac:dyDescent="0.25">
      <c r="A931" t="s">
        <v>973</v>
      </c>
      <c r="B931" t="s">
        <v>63</v>
      </c>
      <c r="C931" t="s">
        <v>25</v>
      </c>
      <c r="D931">
        <v>28</v>
      </c>
      <c r="E931" t="s">
        <v>19</v>
      </c>
      <c r="F931">
        <v>9</v>
      </c>
      <c r="G931">
        <v>43242</v>
      </c>
      <c r="H931">
        <v>6</v>
      </c>
      <c r="I931">
        <v>35</v>
      </c>
      <c r="J931">
        <v>3</v>
      </c>
      <c r="K931">
        <v>93</v>
      </c>
      <c r="L931" t="s">
        <v>32</v>
      </c>
    </row>
    <row r="932" spans="1:12" x14ac:dyDescent="0.25">
      <c r="A932" t="s">
        <v>974</v>
      </c>
      <c r="B932" t="s">
        <v>77</v>
      </c>
      <c r="C932" t="s">
        <v>25</v>
      </c>
      <c r="D932">
        <v>25</v>
      </c>
      <c r="E932" t="s">
        <v>15</v>
      </c>
      <c r="F932">
        <v>8</v>
      </c>
      <c r="G932">
        <v>56769</v>
      </c>
      <c r="H932">
        <v>14</v>
      </c>
      <c r="I932">
        <v>46</v>
      </c>
      <c r="J932">
        <v>4</v>
      </c>
      <c r="K932">
        <v>89</v>
      </c>
      <c r="L932" t="s">
        <v>23</v>
      </c>
    </row>
    <row r="933" spans="1:12" x14ac:dyDescent="0.25">
      <c r="A933" t="s">
        <v>975</v>
      </c>
      <c r="B933" t="s">
        <v>70</v>
      </c>
      <c r="C933" t="s">
        <v>14</v>
      </c>
      <c r="D933">
        <v>23</v>
      </c>
      <c r="E933" t="s">
        <v>15</v>
      </c>
      <c r="F933">
        <v>1</v>
      </c>
      <c r="G933">
        <v>44696</v>
      </c>
      <c r="H933">
        <v>12</v>
      </c>
      <c r="I933">
        <v>50</v>
      </c>
      <c r="J933">
        <v>3</v>
      </c>
      <c r="K933">
        <v>87</v>
      </c>
      <c r="L933" t="s">
        <v>16</v>
      </c>
    </row>
    <row r="934" spans="1:12" x14ac:dyDescent="0.25">
      <c r="A934" t="s">
        <v>976</v>
      </c>
      <c r="B934" t="s">
        <v>43</v>
      </c>
      <c r="C934" t="s">
        <v>22</v>
      </c>
      <c r="D934">
        <v>30</v>
      </c>
      <c r="E934" t="s">
        <v>15</v>
      </c>
      <c r="F934">
        <v>4</v>
      </c>
      <c r="G934">
        <v>26403</v>
      </c>
      <c r="H934">
        <v>4</v>
      </c>
      <c r="I934">
        <v>42</v>
      </c>
      <c r="J934">
        <v>2</v>
      </c>
      <c r="K934">
        <v>95</v>
      </c>
      <c r="L934" t="s">
        <v>26</v>
      </c>
    </row>
    <row r="935" spans="1:12" x14ac:dyDescent="0.25">
      <c r="A935" t="s">
        <v>977</v>
      </c>
      <c r="B935" t="s">
        <v>53</v>
      </c>
      <c r="C935" t="s">
        <v>14</v>
      </c>
      <c r="D935">
        <v>35</v>
      </c>
      <c r="E935" t="s">
        <v>19</v>
      </c>
      <c r="F935">
        <v>11</v>
      </c>
      <c r="G935">
        <v>79196</v>
      </c>
      <c r="H935">
        <v>7</v>
      </c>
      <c r="I935">
        <v>46</v>
      </c>
      <c r="J935">
        <v>3</v>
      </c>
      <c r="K935">
        <v>97</v>
      </c>
      <c r="L935" t="s">
        <v>23</v>
      </c>
    </row>
    <row r="936" spans="1:12" x14ac:dyDescent="0.25">
      <c r="A936" t="s">
        <v>978</v>
      </c>
      <c r="B936" t="s">
        <v>94</v>
      </c>
      <c r="C936" t="s">
        <v>25</v>
      </c>
      <c r="D936">
        <v>34</v>
      </c>
      <c r="E936" t="s">
        <v>15</v>
      </c>
      <c r="F936">
        <v>6</v>
      </c>
      <c r="G936">
        <v>43906</v>
      </c>
      <c r="H936">
        <v>13</v>
      </c>
      <c r="I936">
        <v>41</v>
      </c>
      <c r="J936">
        <v>4</v>
      </c>
      <c r="K936">
        <v>88</v>
      </c>
      <c r="L936" t="s">
        <v>37</v>
      </c>
    </row>
    <row r="937" spans="1:12" x14ac:dyDescent="0.25">
      <c r="A937" t="s">
        <v>979</v>
      </c>
      <c r="B937" t="s">
        <v>70</v>
      </c>
      <c r="C937" t="s">
        <v>25</v>
      </c>
      <c r="D937">
        <v>36</v>
      </c>
      <c r="E937" t="s">
        <v>19</v>
      </c>
      <c r="F937">
        <v>10</v>
      </c>
      <c r="G937">
        <v>62179</v>
      </c>
      <c r="H937">
        <v>6</v>
      </c>
      <c r="I937">
        <v>44</v>
      </c>
      <c r="J937">
        <v>5</v>
      </c>
      <c r="K937">
        <v>90</v>
      </c>
      <c r="L937" t="s">
        <v>26</v>
      </c>
    </row>
    <row r="938" spans="1:12" x14ac:dyDescent="0.25">
      <c r="A938" t="s">
        <v>980</v>
      </c>
      <c r="B938" t="s">
        <v>36</v>
      </c>
      <c r="C938" t="s">
        <v>14</v>
      </c>
      <c r="D938">
        <v>28</v>
      </c>
      <c r="E938" t="s">
        <v>19</v>
      </c>
      <c r="F938">
        <v>12</v>
      </c>
      <c r="G938">
        <v>60304</v>
      </c>
      <c r="H938">
        <v>15</v>
      </c>
      <c r="I938">
        <v>46</v>
      </c>
      <c r="J938">
        <v>2</v>
      </c>
      <c r="K938">
        <v>97</v>
      </c>
      <c r="L938" t="s">
        <v>51</v>
      </c>
    </row>
    <row r="939" spans="1:12" x14ac:dyDescent="0.25">
      <c r="A939" t="s">
        <v>981</v>
      </c>
      <c r="B939" t="s">
        <v>21</v>
      </c>
      <c r="C939" t="s">
        <v>22</v>
      </c>
      <c r="D939">
        <v>38</v>
      </c>
      <c r="E939" t="s">
        <v>19</v>
      </c>
      <c r="F939">
        <v>5</v>
      </c>
      <c r="G939">
        <v>74614</v>
      </c>
      <c r="H939">
        <v>13</v>
      </c>
      <c r="I939">
        <v>40</v>
      </c>
      <c r="J939">
        <v>5</v>
      </c>
      <c r="K939">
        <v>85</v>
      </c>
      <c r="L939" t="s">
        <v>16</v>
      </c>
    </row>
    <row r="940" spans="1:12" x14ac:dyDescent="0.25">
      <c r="A940" t="s">
        <v>982</v>
      </c>
      <c r="B940" t="s">
        <v>13</v>
      </c>
      <c r="C940" t="s">
        <v>25</v>
      </c>
      <c r="D940">
        <v>37</v>
      </c>
      <c r="E940" t="s">
        <v>19</v>
      </c>
      <c r="F940">
        <v>8</v>
      </c>
      <c r="G940">
        <v>71183</v>
      </c>
      <c r="H940">
        <v>11</v>
      </c>
      <c r="I940">
        <v>39</v>
      </c>
      <c r="J940">
        <v>1</v>
      </c>
      <c r="K940">
        <v>100</v>
      </c>
      <c r="L940" t="s">
        <v>16</v>
      </c>
    </row>
    <row r="941" spans="1:12" x14ac:dyDescent="0.25">
      <c r="A941" t="s">
        <v>983</v>
      </c>
      <c r="B941" t="s">
        <v>77</v>
      </c>
      <c r="C941" t="s">
        <v>14</v>
      </c>
      <c r="D941">
        <v>29</v>
      </c>
      <c r="E941" t="s">
        <v>15</v>
      </c>
      <c r="F941">
        <v>2</v>
      </c>
      <c r="G941">
        <v>31566</v>
      </c>
      <c r="H941">
        <v>9</v>
      </c>
      <c r="I941">
        <v>48</v>
      </c>
      <c r="J941">
        <v>4</v>
      </c>
      <c r="K941">
        <v>100</v>
      </c>
      <c r="L941" t="s">
        <v>51</v>
      </c>
    </row>
    <row r="942" spans="1:12" x14ac:dyDescent="0.25">
      <c r="A942" t="s">
        <v>984</v>
      </c>
      <c r="B942" t="s">
        <v>31</v>
      </c>
      <c r="C942" t="s">
        <v>25</v>
      </c>
      <c r="D942">
        <v>30</v>
      </c>
      <c r="E942" t="s">
        <v>15</v>
      </c>
      <c r="F942">
        <v>7</v>
      </c>
      <c r="G942">
        <v>39617</v>
      </c>
      <c r="H942">
        <v>3</v>
      </c>
      <c r="I942">
        <v>46</v>
      </c>
      <c r="J942">
        <v>1</v>
      </c>
      <c r="K942">
        <v>87</v>
      </c>
      <c r="L942" t="s">
        <v>51</v>
      </c>
    </row>
    <row r="943" spans="1:12" x14ac:dyDescent="0.25">
      <c r="A943" t="s">
        <v>985</v>
      </c>
      <c r="B943" t="s">
        <v>40</v>
      </c>
      <c r="C943" t="s">
        <v>25</v>
      </c>
      <c r="D943">
        <v>25</v>
      </c>
      <c r="E943" t="s">
        <v>15</v>
      </c>
      <c r="F943">
        <v>11</v>
      </c>
      <c r="G943">
        <v>58690</v>
      </c>
      <c r="H943">
        <v>5</v>
      </c>
      <c r="I943">
        <v>48</v>
      </c>
      <c r="J943">
        <v>4</v>
      </c>
      <c r="K943">
        <v>92</v>
      </c>
      <c r="L943" t="s">
        <v>16</v>
      </c>
    </row>
    <row r="944" spans="1:12" x14ac:dyDescent="0.25">
      <c r="A944" t="s">
        <v>986</v>
      </c>
      <c r="B944" t="s">
        <v>45</v>
      </c>
      <c r="C944" t="s">
        <v>14</v>
      </c>
      <c r="D944">
        <v>35</v>
      </c>
      <c r="E944" t="s">
        <v>15</v>
      </c>
      <c r="F944">
        <v>14</v>
      </c>
      <c r="G944">
        <v>52496</v>
      </c>
      <c r="H944">
        <v>8</v>
      </c>
      <c r="I944">
        <v>43</v>
      </c>
      <c r="J944">
        <v>5</v>
      </c>
      <c r="K944">
        <v>97</v>
      </c>
      <c r="L944" t="s">
        <v>26</v>
      </c>
    </row>
    <row r="945" spans="1:12" x14ac:dyDescent="0.25">
      <c r="A945" t="s">
        <v>987</v>
      </c>
      <c r="B945" t="s">
        <v>70</v>
      </c>
      <c r="C945" t="s">
        <v>29</v>
      </c>
      <c r="D945">
        <v>39</v>
      </c>
      <c r="E945" t="s">
        <v>15</v>
      </c>
      <c r="F945">
        <v>11</v>
      </c>
      <c r="G945">
        <v>62072</v>
      </c>
      <c r="H945">
        <v>7</v>
      </c>
      <c r="I945">
        <v>42</v>
      </c>
      <c r="J945">
        <v>3</v>
      </c>
      <c r="K945">
        <v>90</v>
      </c>
      <c r="L945" t="s">
        <v>37</v>
      </c>
    </row>
    <row r="946" spans="1:12" x14ac:dyDescent="0.25">
      <c r="A946" t="s">
        <v>988</v>
      </c>
      <c r="B946" t="s">
        <v>13</v>
      </c>
      <c r="C946" t="s">
        <v>29</v>
      </c>
      <c r="D946">
        <v>22</v>
      </c>
      <c r="E946" t="s">
        <v>19</v>
      </c>
      <c r="F946">
        <v>1</v>
      </c>
      <c r="G946">
        <v>38608</v>
      </c>
      <c r="H946">
        <v>15</v>
      </c>
      <c r="I946">
        <v>38</v>
      </c>
      <c r="J946">
        <v>4</v>
      </c>
      <c r="K946">
        <v>96</v>
      </c>
      <c r="L946" t="s">
        <v>32</v>
      </c>
    </row>
    <row r="947" spans="1:12" x14ac:dyDescent="0.25">
      <c r="A947" t="s">
        <v>989</v>
      </c>
      <c r="B947" t="s">
        <v>94</v>
      </c>
      <c r="C947" t="s">
        <v>25</v>
      </c>
      <c r="D947">
        <v>31</v>
      </c>
      <c r="E947" t="s">
        <v>19</v>
      </c>
      <c r="F947">
        <v>1</v>
      </c>
      <c r="G947">
        <v>49205</v>
      </c>
      <c r="H947">
        <v>7</v>
      </c>
      <c r="I947">
        <v>48</v>
      </c>
      <c r="J947">
        <v>2</v>
      </c>
      <c r="K947">
        <v>93</v>
      </c>
      <c r="L947" t="s">
        <v>51</v>
      </c>
    </row>
    <row r="948" spans="1:12" x14ac:dyDescent="0.25">
      <c r="A948" t="s">
        <v>990</v>
      </c>
      <c r="B948" t="s">
        <v>75</v>
      </c>
      <c r="C948" t="s">
        <v>29</v>
      </c>
      <c r="D948">
        <v>37</v>
      </c>
      <c r="E948" t="s">
        <v>19</v>
      </c>
      <c r="F948">
        <v>7</v>
      </c>
      <c r="G948">
        <v>61685</v>
      </c>
      <c r="H948">
        <v>6</v>
      </c>
      <c r="I948">
        <v>49</v>
      </c>
      <c r="J948">
        <v>3</v>
      </c>
      <c r="K948">
        <v>86</v>
      </c>
      <c r="L948" t="s">
        <v>32</v>
      </c>
    </row>
    <row r="949" spans="1:12" x14ac:dyDescent="0.25">
      <c r="A949" t="s">
        <v>991</v>
      </c>
      <c r="B949" t="s">
        <v>89</v>
      </c>
      <c r="C949" t="s">
        <v>25</v>
      </c>
      <c r="D949">
        <v>24</v>
      </c>
      <c r="E949" t="s">
        <v>19</v>
      </c>
      <c r="F949">
        <v>12</v>
      </c>
      <c r="G949">
        <v>77647</v>
      </c>
      <c r="H949">
        <v>9</v>
      </c>
      <c r="I949">
        <v>40</v>
      </c>
      <c r="J949">
        <v>4</v>
      </c>
      <c r="K949">
        <v>98</v>
      </c>
      <c r="L949" t="s">
        <v>23</v>
      </c>
    </row>
    <row r="950" spans="1:12" x14ac:dyDescent="0.25">
      <c r="A950" t="s">
        <v>992</v>
      </c>
      <c r="B950" t="s">
        <v>13</v>
      </c>
      <c r="C950" t="s">
        <v>25</v>
      </c>
      <c r="D950">
        <v>36</v>
      </c>
      <c r="E950" t="s">
        <v>19</v>
      </c>
      <c r="F950">
        <v>5</v>
      </c>
      <c r="G950">
        <v>49089</v>
      </c>
      <c r="H950">
        <v>14</v>
      </c>
      <c r="I950">
        <v>41</v>
      </c>
      <c r="J950">
        <v>5</v>
      </c>
      <c r="K950">
        <v>98</v>
      </c>
      <c r="L950" t="s">
        <v>16</v>
      </c>
    </row>
    <row r="951" spans="1:12" x14ac:dyDescent="0.25">
      <c r="A951" t="s">
        <v>993</v>
      </c>
      <c r="B951" t="s">
        <v>18</v>
      </c>
      <c r="C951" t="s">
        <v>25</v>
      </c>
      <c r="D951">
        <v>27</v>
      </c>
      <c r="E951" t="s">
        <v>19</v>
      </c>
      <c r="F951">
        <v>4</v>
      </c>
      <c r="G951">
        <v>58350</v>
      </c>
      <c r="H951">
        <v>15</v>
      </c>
      <c r="I951">
        <v>46</v>
      </c>
      <c r="J951">
        <v>4</v>
      </c>
      <c r="K951">
        <v>88</v>
      </c>
      <c r="L951" t="s">
        <v>16</v>
      </c>
    </row>
    <row r="952" spans="1:12" x14ac:dyDescent="0.25">
      <c r="A952" t="s">
        <v>994</v>
      </c>
      <c r="B952" t="s">
        <v>34</v>
      </c>
      <c r="C952" t="s">
        <v>14</v>
      </c>
      <c r="D952">
        <v>31</v>
      </c>
      <c r="E952" t="s">
        <v>19</v>
      </c>
      <c r="F952">
        <v>6</v>
      </c>
      <c r="G952">
        <v>69943</v>
      </c>
      <c r="H952">
        <v>5</v>
      </c>
      <c r="I952">
        <v>37</v>
      </c>
      <c r="J952">
        <v>5</v>
      </c>
      <c r="K952">
        <v>87</v>
      </c>
      <c r="L952" t="s">
        <v>26</v>
      </c>
    </row>
    <row r="953" spans="1:12" x14ac:dyDescent="0.25">
      <c r="A953" t="s">
        <v>995</v>
      </c>
      <c r="B953" t="s">
        <v>21</v>
      </c>
      <c r="C953" t="s">
        <v>22</v>
      </c>
      <c r="D953">
        <v>28</v>
      </c>
      <c r="E953" t="s">
        <v>15</v>
      </c>
      <c r="F953">
        <v>2</v>
      </c>
      <c r="G953">
        <v>59803</v>
      </c>
      <c r="H953">
        <v>4</v>
      </c>
      <c r="I953">
        <v>40</v>
      </c>
      <c r="J953">
        <v>2</v>
      </c>
      <c r="K953">
        <v>89</v>
      </c>
      <c r="L953" t="s">
        <v>32</v>
      </c>
    </row>
    <row r="954" spans="1:12" x14ac:dyDescent="0.25">
      <c r="A954" t="s">
        <v>996</v>
      </c>
      <c r="B954" t="s">
        <v>40</v>
      </c>
      <c r="C954" t="s">
        <v>25</v>
      </c>
      <c r="D954">
        <v>35</v>
      </c>
      <c r="E954" t="s">
        <v>15</v>
      </c>
      <c r="F954">
        <v>6</v>
      </c>
      <c r="G954">
        <v>70256</v>
      </c>
      <c r="H954">
        <v>4</v>
      </c>
      <c r="I954">
        <v>40</v>
      </c>
      <c r="J954">
        <v>5</v>
      </c>
      <c r="K954">
        <v>87</v>
      </c>
      <c r="L954" t="s">
        <v>37</v>
      </c>
    </row>
    <row r="955" spans="1:12" x14ac:dyDescent="0.25">
      <c r="A955" t="s">
        <v>997</v>
      </c>
      <c r="B955" t="s">
        <v>81</v>
      </c>
      <c r="C955" t="s">
        <v>14</v>
      </c>
      <c r="D955">
        <v>31</v>
      </c>
      <c r="E955" t="s">
        <v>15</v>
      </c>
      <c r="F955">
        <v>8</v>
      </c>
      <c r="G955">
        <v>44255</v>
      </c>
      <c r="H955">
        <v>7</v>
      </c>
      <c r="I955">
        <v>40</v>
      </c>
      <c r="J955">
        <v>2</v>
      </c>
      <c r="K955">
        <v>91</v>
      </c>
      <c r="L955" t="s">
        <v>16</v>
      </c>
    </row>
    <row r="956" spans="1:12" x14ac:dyDescent="0.25">
      <c r="A956" t="s">
        <v>998</v>
      </c>
      <c r="B956" t="s">
        <v>77</v>
      </c>
      <c r="C956" t="s">
        <v>25</v>
      </c>
      <c r="D956">
        <v>39</v>
      </c>
      <c r="E956" t="s">
        <v>15</v>
      </c>
      <c r="F956">
        <v>4</v>
      </c>
      <c r="G956">
        <v>52802</v>
      </c>
      <c r="H956">
        <v>7</v>
      </c>
      <c r="I956">
        <v>36</v>
      </c>
      <c r="J956">
        <v>2</v>
      </c>
      <c r="K956">
        <v>86</v>
      </c>
      <c r="L956" t="s">
        <v>26</v>
      </c>
    </row>
    <row r="957" spans="1:12" x14ac:dyDescent="0.25">
      <c r="A957" t="s">
        <v>999</v>
      </c>
      <c r="B957" t="s">
        <v>53</v>
      </c>
      <c r="C957" t="s">
        <v>14</v>
      </c>
      <c r="D957">
        <v>33</v>
      </c>
      <c r="E957" t="s">
        <v>19</v>
      </c>
      <c r="F957">
        <v>4</v>
      </c>
      <c r="G957">
        <v>56514</v>
      </c>
      <c r="H957">
        <v>6</v>
      </c>
      <c r="I957">
        <v>41</v>
      </c>
      <c r="J957">
        <v>3</v>
      </c>
      <c r="K957">
        <v>90</v>
      </c>
      <c r="L957" t="s">
        <v>32</v>
      </c>
    </row>
    <row r="958" spans="1:12" x14ac:dyDescent="0.25">
      <c r="A958" t="s">
        <v>1000</v>
      </c>
      <c r="B958" t="s">
        <v>28</v>
      </c>
      <c r="C958" t="s">
        <v>14</v>
      </c>
      <c r="D958">
        <v>29</v>
      </c>
      <c r="E958" t="s">
        <v>15</v>
      </c>
      <c r="F958">
        <v>7</v>
      </c>
      <c r="G958">
        <v>42006</v>
      </c>
      <c r="H958">
        <v>10</v>
      </c>
      <c r="I958">
        <v>39</v>
      </c>
      <c r="J958">
        <v>4</v>
      </c>
      <c r="K958">
        <v>86</v>
      </c>
      <c r="L958" t="s">
        <v>32</v>
      </c>
    </row>
    <row r="959" spans="1:12" x14ac:dyDescent="0.25">
      <c r="A959" t="s">
        <v>1001</v>
      </c>
      <c r="B959" t="s">
        <v>53</v>
      </c>
      <c r="C959" t="s">
        <v>14</v>
      </c>
      <c r="D959">
        <v>23</v>
      </c>
      <c r="E959" t="s">
        <v>19</v>
      </c>
      <c r="F959">
        <v>15</v>
      </c>
      <c r="G959">
        <v>58893</v>
      </c>
      <c r="H959">
        <v>8</v>
      </c>
      <c r="I959">
        <v>37</v>
      </c>
      <c r="J959">
        <v>2</v>
      </c>
      <c r="K959">
        <v>90</v>
      </c>
      <c r="L959" t="s">
        <v>37</v>
      </c>
    </row>
    <row r="960" spans="1:12" x14ac:dyDescent="0.25">
      <c r="A960" t="s">
        <v>1002</v>
      </c>
      <c r="B960" t="s">
        <v>65</v>
      </c>
      <c r="C960" t="s">
        <v>22</v>
      </c>
      <c r="D960">
        <v>27</v>
      </c>
      <c r="E960" t="s">
        <v>19</v>
      </c>
      <c r="F960">
        <v>10</v>
      </c>
      <c r="G960">
        <v>38105</v>
      </c>
      <c r="H960">
        <v>8</v>
      </c>
      <c r="I960">
        <v>35</v>
      </c>
      <c r="J960">
        <v>1</v>
      </c>
      <c r="K960">
        <v>93</v>
      </c>
      <c r="L960" t="s">
        <v>32</v>
      </c>
    </row>
    <row r="961" spans="1:12" x14ac:dyDescent="0.25">
      <c r="A961" t="s">
        <v>1003</v>
      </c>
      <c r="B961" t="s">
        <v>89</v>
      </c>
      <c r="C961" t="s">
        <v>14</v>
      </c>
      <c r="D961">
        <v>24</v>
      </c>
      <c r="E961" t="s">
        <v>19</v>
      </c>
      <c r="F961">
        <v>13</v>
      </c>
      <c r="G961">
        <v>50111</v>
      </c>
      <c r="H961">
        <v>15</v>
      </c>
      <c r="I961">
        <v>47</v>
      </c>
      <c r="J961">
        <v>1</v>
      </c>
      <c r="K961">
        <v>88</v>
      </c>
      <c r="L961" t="s">
        <v>32</v>
      </c>
    </row>
    <row r="962" spans="1:12" x14ac:dyDescent="0.25">
      <c r="A962" t="s">
        <v>1004</v>
      </c>
      <c r="B962" t="s">
        <v>40</v>
      </c>
      <c r="C962" t="s">
        <v>25</v>
      </c>
      <c r="D962">
        <v>40</v>
      </c>
      <c r="E962" t="s">
        <v>19</v>
      </c>
      <c r="F962">
        <v>1</v>
      </c>
      <c r="G962">
        <v>67683</v>
      </c>
      <c r="H962">
        <v>9</v>
      </c>
      <c r="I962">
        <v>44</v>
      </c>
      <c r="J962">
        <v>3</v>
      </c>
      <c r="K962">
        <v>97</v>
      </c>
      <c r="L962" t="s">
        <v>32</v>
      </c>
    </row>
    <row r="963" spans="1:12" x14ac:dyDescent="0.25">
      <c r="A963" t="s">
        <v>1005</v>
      </c>
      <c r="B963" t="s">
        <v>31</v>
      </c>
      <c r="C963" t="s">
        <v>29</v>
      </c>
      <c r="D963">
        <v>26</v>
      </c>
      <c r="E963" t="s">
        <v>19</v>
      </c>
      <c r="F963">
        <v>6</v>
      </c>
      <c r="G963">
        <v>27166</v>
      </c>
      <c r="H963">
        <v>5</v>
      </c>
      <c r="I963">
        <v>44</v>
      </c>
      <c r="J963">
        <v>3</v>
      </c>
      <c r="K963">
        <v>100</v>
      </c>
      <c r="L963" t="s">
        <v>16</v>
      </c>
    </row>
    <row r="964" spans="1:12" x14ac:dyDescent="0.25">
      <c r="A964" t="s">
        <v>1006</v>
      </c>
      <c r="B964" t="s">
        <v>13</v>
      </c>
      <c r="C964" t="s">
        <v>25</v>
      </c>
      <c r="D964">
        <v>37</v>
      </c>
      <c r="E964" t="s">
        <v>19</v>
      </c>
      <c r="F964">
        <v>1</v>
      </c>
      <c r="G964">
        <v>67533</v>
      </c>
      <c r="H964">
        <v>11</v>
      </c>
      <c r="I964">
        <v>35</v>
      </c>
      <c r="J964">
        <v>3</v>
      </c>
      <c r="K964">
        <v>98</v>
      </c>
      <c r="L964" t="s">
        <v>26</v>
      </c>
    </row>
    <row r="965" spans="1:12" x14ac:dyDescent="0.25">
      <c r="A965" t="s">
        <v>1007</v>
      </c>
      <c r="B965" t="s">
        <v>43</v>
      </c>
      <c r="C965" t="s">
        <v>14</v>
      </c>
      <c r="D965">
        <v>22</v>
      </c>
      <c r="E965" t="s">
        <v>19</v>
      </c>
      <c r="F965">
        <v>15</v>
      </c>
      <c r="G965">
        <v>60768</v>
      </c>
      <c r="H965">
        <v>3</v>
      </c>
      <c r="I965">
        <v>41</v>
      </c>
      <c r="J965">
        <v>4</v>
      </c>
      <c r="K965">
        <v>92</v>
      </c>
      <c r="L965" t="s">
        <v>51</v>
      </c>
    </row>
    <row r="966" spans="1:12" x14ac:dyDescent="0.25">
      <c r="A966" t="s">
        <v>1008</v>
      </c>
      <c r="B966" t="s">
        <v>75</v>
      </c>
      <c r="C966" t="s">
        <v>22</v>
      </c>
      <c r="D966">
        <v>38</v>
      </c>
      <c r="E966" t="s">
        <v>15</v>
      </c>
      <c r="F966">
        <v>6</v>
      </c>
      <c r="G966">
        <v>54672</v>
      </c>
      <c r="H966">
        <v>7</v>
      </c>
      <c r="I966">
        <v>46</v>
      </c>
      <c r="J966">
        <v>1</v>
      </c>
      <c r="K966">
        <v>87</v>
      </c>
      <c r="L966" t="s">
        <v>32</v>
      </c>
    </row>
    <row r="967" spans="1:12" x14ac:dyDescent="0.25">
      <c r="A967" t="s">
        <v>1009</v>
      </c>
      <c r="B967" t="s">
        <v>94</v>
      </c>
      <c r="C967" t="s">
        <v>22</v>
      </c>
      <c r="D967">
        <v>26</v>
      </c>
      <c r="E967" t="s">
        <v>19</v>
      </c>
      <c r="F967">
        <v>10</v>
      </c>
      <c r="G967">
        <v>28084</v>
      </c>
      <c r="H967">
        <v>14</v>
      </c>
      <c r="I967">
        <v>45</v>
      </c>
      <c r="J967">
        <v>2</v>
      </c>
      <c r="K967">
        <v>89</v>
      </c>
      <c r="L967" t="s">
        <v>26</v>
      </c>
    </row>
    <row r="968" spans="1:12" x14ac:dyDescent="0.25">
      <c r="A968" t="s">
        <v>1010</v>
      </c>
      <c r="B968" t="s">
        <v>63</v>
      </c>
      <c r="C968" t="s">
        <v>25</v>
      </c>
      <c r="D968">
        <v>22</v>
      </c>
      <c r="E968" t="s">
        <v>15</v>
      </c>
      <c r="F968">
        <v>10</v>
      </c>
      <c r="G968">
        <v>42757</v>
      </c>
      <c r="H968">
        <v>9</v>
      </c>
      <c r="I968">
        <v>36</v>
      </c>
      <c r="J968">
        <v>3</v>
      </c>
      <c r="K968">
        <v>86</v>
      </c>
      <c r="L968" t="s">
        <v>37</v>
      </c>
    </row>
    <row r="969" spans="1:12" x14ac:dyDescent="0.25">
      <c r="A969" t="s">
        <v>1011</v>
      </c>
      <c r="B969" t="s">
        <v>77</v>
      </c>
      <c r="C969" t="s">
        <v>29</v>
      </c>
      <c r="D969">
        <v>40</v>
      </c>
      <c r="E969" t="s">
        <v>15</v>
      </c>
      <c r="F969">
        <v>11</v>
      </c>
      <c r="G969">
        <v>33901</v>
      </c>
      <c r="H969">
        <v>9</v>
      </c>
      <c r="I969">
        <v>46</v>
      </c>
      <c r="J969">
        <v>2</v>
      </c>
      <c r="K969">
        <v>86</v>
      </c>
      <c r="L969" t="s">
        <v>32</v>
      </c>
    </row>
    <row r="970" spans="1:12" x14ac:dyDescent="0.25">
      <c r="A970" t="s">
        <v>1012</v>
      </c>
      <c r="B970" t="s">
        <v>65</v>
      </c>
      <c r="C970" t="s">
        <v>14</v>
      </c>
      <c r="D970">
        <v>40</v>
      </c>
      <c r="E970" t="s">
        <v>15</v>
      </c>
      <c r="F970">
        <v>11</v>
      </c>
      <c r="G970">
        <v>57298</v>
      </c>
      <c r="H970">
        <v>8</v>
      </c>
      <c r="I970">
        <v>36</v>
      </c>
      <c r="J970">
        <v>3</v>
      </c>
      <c r="K970">
        <v>85</v>
      </c>
      <c r="L970" t="s">
        <v>32</v>
      </c>
    </row>
    <row r="971" spans="1:12" x14ac:dyDescent="0.25">
      <c r="A971" t="s">
        <v>1013</v>
      </c>
      <c r="B971" t="s">
        <v>31</v>
      </c>
      <c r="C971" t="s">
        <v>25</v>
      </c>
      <c r="D971">
        <v>37</v>
      </c>
      <c r="E971" t="s">
        <v>19</v>
      </c>
      <c r="F971">
        <v>12</v>
      </c>
      <c r="G971">
        <v>35143</v>
      </c>
      <c r="H971">
        <v>15</v>
      </c>
      <c r="I971">
        <v>48</v>
      </c>
      <c r="J971">
        <v>5</v>
      </c>
      <c r="K971">
        <v>96</v>
      </c>
      <c r="L971" t="s">
        <v>37</v>
      </c>
    </row>
    <row r="972" spans="1:12" x14ac:dyDescent="0.25">
      <c r="A972" t="s">
        <v>1014</v>
      </c>
      <c r="B972" t="s">
        <v>89</v>
      </c>
      <c r="C972" t="s">
        <v>25</v>
      </c>
      <c r="D972">
        <v>34</v>
      </c>
      <c r="E972" t="s">
        <v>15</v>
      </c>
      <c r="F972">
        <v>3</v>
      </c>
      <c r="G972">
        <v>34785</v>
      </c>
      <c r="H972">
        <v>13</v>
      </c>
      <c r="I972">
        <v>50</v>
      </c>
      <c r="J972">
        <v>3</v>
      </c>
      <c r="K972">
        <v>94</v>
      </c>
      <c r="L972" t="s">
        <v>37</v>
      </c>
    </row>
    <row r="973" spans="1:12" x14ac:dyDescent="0.25">
      <c r="A973" t="s">
        <v>1015</v>
      </c>
      <c r="B973" t="s">
        <v>63</v>
      </c>
      <c r="C973" t="s">
        <v>29</v>
      </c>
      <c r="D973">
        <v>28</v>
      </c>
      <c r="E973" t="s">
        <v>15</v>
      </c>
      <c r="F973">
        <v>6</v>
      </c>
      <c r="G973">
        <v>32498</v>
      </c>
      <c r="H973">
        <v>10</v>
      </c>
      <c r="I973">
        <v>47</v>
      </c>
      <c r="J973">
        <v>1</v>
      </c>
      <c r="K973">
        <v>90</v>
      </c>
      <c r="L973" t="s">
        <v>16</v>
      </c>
    </row>
    <row r="974" spans="1:12" x14ac:dyDescent="0.25">
      <c r="A974" t="s">
        <v>1016</v>
      </c>
      <c r="B974" t="s">
        <v>70</v>
      </c>
      <c r="C974" t="s">
        <v>14</v>
      </c>
      <c r="D974">
        <v>27</v>
      </c>
      <c r="E974" t="s">
        <v>19</v>
      </c>
      <c r="F974">
        <v>13</v>
      </c>
      <c r="G974">
        <v>60204</v>
      </c>
      <c r="H974">
        <v>15</v>
      </c>
      <c r="I974">
        <v>43</v>
      </c>
      <c r="J974">
        <v>1</v>
      </c>
      <c r="K974">
        <v>91</v>
      </c>
      <c r="L974" t="s">
        <v>23</v>
      </c>
    </row>
    <row r="975" spans="1:12" x14ac:dyDescent="0.25">
      <c r="A975" t="s">
        <v>1017</v>
      </c>
      <c r="B975" t="s">
        <v>83</v>
      </c>
      <c r="C975" t="s">
        <v>22</v>
      </c>
      <c r="D975">
        <v>29</v>
      </c>
      <c r="E975" t="s">
        <v>15</v>
      </c>
      <c r="F975">
        <v>7</v>
      </c>
      <c r="G975">
        <v>39620</v>
      </c>
      <c r="H975">
        <v>6</v>
      </c>
      <c r="I975">
        <v>45</v>
      </c>
      <c r="J975">
        <v>1</v>
      </c>
      <c r="K975">
        <v>100</v>
      </c>
      <c r="L975" t="s">
        <v>37</v>
      </c>
    </row>
    <row r="976" spans="1:12" x14ac:dyDescent="0.25">
      <c r="A976" t="s">
        <v>1018</v>
      </c>
      <c r="B976" t="s">
        <v>34</v>
      </c>
      <c r="C976" t="s">
        <v>25</v>
      </c>
      <c r="D976">
        <v>34</v>
      </c>
      <c r="E976" t="s">
        <v>19</v>
      </c>
      <c r="F976">
        <v>10</v>
      </c>
      <c r="G976">
        <v>54085</v>
      </c>
      <c r="H976">
        <v>14</v>
      </c>
      <c r="I976">
        <v>40</v>
      </c>
      <c r="J976">
        <v>2</v>
      </c>
      <c r="K976">
        <v>86</v>
      </c>
      <c r="L976" t="s">
        <v>32</v>
      </c>
    </row>
    <row r="977" spans="1:12" x14ac:dyDescent="0.25">
      <c r="A977" t="s">
        <v>1019</v>
      </c>
      <c r="B977" t="s">
        <v>13</v>
      </c>
      <c r="C977" t="s">
        <v>22</v>
      </c>
      <c r="D977">
        <v>23</v>
      </c>
      <c r="E977" t="s">
        <v>15</v>
      </c>
      <c r="F977">
        <v>8</v>
      </c>
      <c r="G977">
        <v>45845</v>
      </c>
      <c r="H977">
        <v>3</v>
      </c>
      <c r="I977">
        <v>40</v>
      </c>
      <c r="J977">
        <v>1</v>
      </c>
      <c r="K977">
        <v>85</v>
      </c>
      <c r="L977" t="s">
        <v>16</v>
      </c>
    </row>
    <row r="978" spans="1:12" x14ac:dyDescent="0.25">
      <c r="A978" t="s">
        <v>1020</v>
      </c>
      <c r="B978" t="s">
        <v>28</v>
      </c>
      <c r="C978" t="s">
        <v>22</v>
      </c>
      <c r="D978">
        <v>27</v>
      </c>
      <c r="E978" t="s">
        <v>19</v>
      </c>
      <c r="F978">
        <v>11</v>
      </c>
      <c r="G978">
        <v>50498</v>
      </c>
      <c r="H978">
        <v>9</v>
      </c>
      <c r="I978">
        <v>38</v>
      </c>
      <c r="J978">
        <v>4</v>
      </c>
      <c r="K978">
        <v>85</v>
      </c>
      <c r="L978" t="s">
        <v>26</v>
      </c>
    </row>
    <row r="979" spans="1:12" x14ac:dyDescent="0.25">
      <c r="A979" t="s">
        <v>1021</v>
      </c>
      <c r="B979" t="s">
        <v>65</v>
      </c>
      <c r="C979" t="s">
        <v>22</v>
      </c>
      <c r="D979">
        <v>24</v>
      </c>
      <c r="E979" t="s">
        <v>19</v>
      </c>
      <c r="F979">
        <v>11</v>
      </c>
      <c r="G979">
        <v>48408</v>
      </c>
      <c r="H979">
        <v>8</v>
      </c>
      <c r="I979">
        <v>36</v>
      </c>
      <c r="J979">
        <v>2</v>
      </c>
      <c r="K979">
        <v>93</v>
      </c>
      <c r="L979" t="s">
        <v>23</v>
      </c>
    </row>
    <row r="980" spans="1:12" x14ac:dyDescent="0.25">
      <c r="A980" t="s">
        <v>1022</v>
      </c>
      <c r="B980" t="s">
        <v>36</v>
      </c>
      <c r="C980" t="s">
        <v>25</v>
      </c>
      <c r="D980">
        <v>32</v>
      </c>
      <c r="E980" t="s">
        <v>15</v>
      </c>
      <c r="F980">
        <v>13</v>
      </c>
      <c r="G980">
        <v>70733</v>
      </c>
      <c r="H980">
        <v>6</v>
      </c>
      <c r="I980">
        <v>35</v>
      </c>
      <c r="J980">
        <v>4</v>
      </c>
      <c r="K980">
        <v>93</v>
      </c>
      <c r="L980" t="s">
        <v>51</v>
      </c>
    </row>
    <row r="981" spans="1:12" x14ac:dyDescent="0.25">
      <c r="A981" t="s">
        <v>1023</v>
      </c>
      <c r="B981" t="s">
        <v>43</v>
      </c>
      <c r="C981" t="s">
        <v>14</v>
      </c>
      <c r="D981">
        <v>38</v>
      </c>
      <c r="E981" t="s">
        <v>15</v>
      </c>
      <c r="F981">
        <v>9</v>
      </c>
      <c r="G981">
        <v>66138</v>
      </c>
      <c r="H981">
        <v>15</v>
      </c>
      <c r="I981">
        <v>48</v>
      </c>
      <c r="J981">
        <v>4</v>
      </c>
      <c r="K981">
        <v>99</v>
      </c>
      <c r="L981" t="s">
        <v>23</v>
      </c>
    </row>
    <row r="982" spans="1:12" x14ac:dyDescent="0.25">
      <c r="A982" t="s">
        <v>1024</v>
      </c>
      <c r="B982" t="s">
        <v>94</v>
      </c>
      <c r="C982" t="s">
        <v>22</v>
      </c>
      <c r="D982">
        <v>23</v>
      </c>
      <c r="E982" t="s">
        <v>15</v>
      </c>
      <c r="F982">
        <v>5</v>
      </c>
      <c r="G982">
        <v>72626</v>
      </c>
      <c r="H982">
        <v>5</v>
      </c>
      <c r="I982">
        <v>36</v>
      </c>
      <c r="J982">
        <v>3</v>
      </c>
      <c r="K982">
        <v>99</v>
      </c>
      <c r="L982" t="s">
        <v>26</v>
      </c>
    </row>
    <row r="983" spans="1:12" x14ac:dyDescent="0.25">
      <c r="A983" t="s">
        <v>1025</v>
      </c>
      <c r="B983" t="s">
        <v>21</v>
      </c>
      <c r="C983" t="s">
        <v>29</v>
      </c>
      <c r="D983">
        <v>40</v>
      </c>
      <c r="E983" t="s">
        <v>15</v>
      </c>
      <c r="F983">
        <v>11</v>
      </c>
      <c r="G983">
        <v>55919</v>
      </c>
      <c r="H983">
        <v>5</v>
      </c>
      <c r="I983">
        <v>40</v>
      </c>
      <c r="J983">
        <v>5</v>
      </c>
      <c r="K983">
        <v>92</v>
      </c>
      <c r="L983" t="s">
        <v>16</v>
      </c>
    </row>
    <row r="984" spans="1:12" x14ac:dyDescent="0.25">
      <c r="A984" t="s">
        <v>1026</v>
      </c>
      <c r="B984" t="s">
        <v>77</v>
      </c>
      <c r="C984" t="s">
        <v>29</v>
      </c>
      <c r="D984">
        <v>28</v>
      </c>
      <c r="E984" t="s">
        <v>15</v>
      </c>
      <c r="F984">
        <v>11</v>
      </c>
      <c r="G984">
        <v>43243</v>
      </c>
      <c r="H984">
        <v>8</v>
      </c>
      <c r="I984">
        <v>36</v>
      </c>
      <c r="J984">
        <v>3</v>
      </c>
      <c r="K984">
        <v>91</v>
      </c>
      <c r="L984" t="s">
        <v>37</v>
      </c>
    </row>
    <row r="985" spans="1:12" x14ac:dyDescent="0.25">
      <c r="A985" t="s">
        <v>1027</v>
      </c>
      <c r="B985" t="s">
        <v>43</v>
      </c>
      <c r="C985" t="s">
        <v>29</v>
      </c>
      <c r="D985">
        <v>28</v>
      </c>
      <c r="E985" t="s">
        <v>19</v>
      </c>
      <c r="F985">
        <v>1</v>
      </c>
      <c r="G985">
        <v>35419</v>
      </c>
      <c r="H985">
        <v>11</v>
      </c>
      <c r="I985">
        <v>40</v>
      </c>
      <c r="J985">
        <v>3</v>
      </c>
      <c r="K985">
        <v>85</v>
      </c>
      <c r="L985" t="s">
        <v>16</v>
      </c>
    </row>
    <row r="986" spans="1:12" x14ac:dyDescent="0.25">
      <c r="A986" t="s">
        <v>1028</v>
      </c>
      <c r="B986" t="s">
        <v>53</v>
      </c>
      <c r="C986" t="s">
        <v>29</v>
      </c>
      <c r="D986">
        <v>25</v>
      </c>
      <c r="E986" t="s">
        <v>19</v>
      </c>
      <c r="F986">
        <v>14</v>
      </c>
      <c r="G986">
        <v>69787</v>
      </c>
      <c r="H986">
        <v>9</v>
      </c>
      <c r="I986">
        <v>35</v>
      </c>
      <c r="J986">
        <v>5</v>
      </c>
      <c r="K986">
        <v>87</v>
      </c>
      <c r="L986" t="s">
        <v>16</v>
      </c>
    </row>
    <row r="987" spans="1:12" x14ac:dyDescent="0.25">
      <c r="A987" t="s">
        <v>1029</v>
      </c>
      <c r="B987" t="s">
        <v>40</v>
      </c>
      <c r="C987" t="s">
        <v>14</v>
      </c>
      <c r="D987">
        <v>34</v>
      </c>
      <c r="E987" t="s">
        <v>19</v>
      </c>
      <c r="F987">
        <v>2</v>
      </c>
      <c r="G987">
        <v>63879</v>
      </c>
      <c r="H987">
        <v>15</v>
      </c>
      <c r="I987">
        <v>40</v>
      </c>
      <c r="J987">
        <v>3</v>
      </c>
      <c r="K987">
        <v>95</v>
      </c>
      <c r="L987" t="s">
        <v>26</v>
      </c>
    </row>
    <row r="988" spans="1:12" x14ac:dyDescent="0.25">
      <c r="A988" t="s">
        <v>1030</v>
      </c>
      <c r="B988" t="s">
        <v>77</v>
      </c>
      <c r="C988" t="s">
        <v>22</v>
      </c>
      <c r="D988">
        <v>26</v>
      </c>
      <c r="E988" t="s">
        <v>19</v>
      </c>
      <c r="F988">
        <v>4</v>
      </c>
      <c r="G988">
        <v>76713</v>
      </c>
      <c r="H988">
        <v>8</v>
      </c>
      <c r="I988">
        <v>46</v>
      </c>
      <c r="J988">
        <v>1</v>
      </c>
      <c r="K988">
        <v>90</v>
      </c>
      <c r="L988" t="s">
        <v>26</v>
      </c>
    </row>
    <row r="989" spans="1:12" x14ac:dyDescent="0.25">
      <c r="A989" t="s">
        <v>1031</v>
      </c>
      <c r="B989" t="s">
        <v>77</v>
      </c>
      <c r="C989" t="s">
        <v>25</v>
      </c>
      <c r="D989">
        <v>23</v>
      </c>
      <c r="E989" t="s">
        <v>19</v>
      </c>
      <c r="F989">
        <v>4</v>
      </c>
      <c r="G989">
        <v>68718</v>
      </c>
      <c r="H989">
        <v>7</v>
      </c>
      <c r="I989">
        <v>36</v>
      </c>
      <c r="J989">
        <v>4</v>
      </c>
      <c r="K989">
        <v>86</v>
      </c>
      <c r="L989" t="s">
        <v>16</v>
      </c>
    </row>
    <row r="990" spans="1:12" x14ac:dyDescent="0.25">
      <c r="A990" t="s">
        <v>1032</v>
      </c>
      <c r="B990" t="s">
        <v>63</v>
      </c>
      <c r="C990" t="s">
        <v>14</v>
      </c>
      <c r="D990">
        <v>24</v>
      </c>
      <c r="E990" t="s">
        <v>15</v>
      </c>
      <c r="F990">
        <v>11</v>
      </c>
      <c r="G990">
        <v>46582</v>
      </c>
      <c r="H990">
        <v>15</v>
      </c>
      <c r="I990">
        <v>43</v>
      </c>
      <c r="J990">
        <v>3</v>
      </c>
      <c r="K990">
        <v>89</v>
      </c>
      <c r="L990" t="s">
        <v>26</v>
      </c>
    </row>
    <row r="991" spans="1:12" x14ac:dyDescent="0.25">
      <c r="A991" t="s">
        <v>1033</v>
      </c>
      <c r="B991" t="s">
        <v>36</v>
      </c>
      <c r="C991" t="s">
        <v>29</v>
      </c>
      <c r="D991">
        <v>37</v>
      </c>
      <c r="E991" t="s">
        <v>19</v>
      </c>
      <c r="F991">
        <v>4</v>
      </c>
      <c r="G991">
        <v>67468</v>
      </c>
      <c r="H991">
        <v>15</v>
      </c>
      <c r="I991">
        <v>36</v>
      </c>
      <c r="J991">
        <v>3</v>
      </c>
      <c r="K991">
        <v>95</v>
      </c>
      <c r="L991" t="s">
        <v>37</v>
      </c>
    </row>
    <row r="992" spans="1:12" x14ac:dyDescent="0.25">
      <c r="A992" t="s">
        <v>1034</v>
      </c>
      <c r="B992" t="s">
        <v>13</v>
      </c>
      <c r="C992" t="s">
        <v>22</v>
      </c>
      <c r="D992">
        <v>25</v>
      </c>
      <c r="E992" t="s">
        <v>15</v>
      </c>
      <c r="F992">
        <v>8</v>
      </c>
      <c r="G992">
        <v>54822</v>
      </c>
      <c r="H992">
        <v>5</v>
      </c>
      <c r="I992">
        <v>40</v>
      </c>
      <c r="J992">
        <v>2</v>
      </c>
      <c r="K992">
        <v>92</v>
      </c>
      <c r="L992" t="s">
        <v>32</v>
      </c>
    </row>
    <row r="993" spans="1:12" x14ac:dyDescent="0.25">
      <c r="A993" t="s">
        <v>1035</v>
      </c>
      <c r="B993" t="s">
        <v>65</v>
      </c>
      <c r="C993" t="s">
        <v>29</v>
      </c>
      <c r="D993">
        <v>40</v>
      </c>
      <c r="E993" t="s">
        <v>19</v>
      </c>
      <c r="F993">
        <v>4</v>
      </c>
      <c r="G993">
        <v>32525</v>
      </c>
      <c r="H993">
        <v>11</v>
      </c>
      <c r="I993">
        <v>46</v>
      </c>
      <c r="J993">
        <v>4</v>
      </c>
      <c r="K993">
        <v>93</v>
      </c>
      <c r="L993" t="s">
        <v>32</v>
      </c>
    </row>
    <row r="994" spans="1:12" x14ac:dyDescent="0.25">
      <c r="A994" t="s">
        <v>1036</v>
      </c>
      <c r="B994" t="s">
        <v>43</v>
      </c>
      <c r="C994" t="s">
        <v>25</v>
      </c>
      <c r="D994">
        <v>31</v>
      </c>
      <c r="E994" t="s">
        <v>15</v>
      </c>
      <c r="F994">
        <v>12</v>
      </c>
      <c r="G994">
        <v>73872</v>
      </c>
      <c r="H994">
        <v>3</v>
      </c>
      <c r="I994">
        <v>41</v>
      </c>
      <c r="J994">
        <v>1</v>
      </c>
      <c r="K994">
        <v>87</v>
      </c>
      <c r="L994" t="s">
        <v>37</v>
      </c>
    </row>
    <row r="995" spans="1:12" x14ac:dyDescent="0.25">
      <c r="A995" t="s">
        <v>1037</v>
      </c>
      <c r="B995" t="s">
        <v>40</v>
      </c>
      <c r="C995" t="s">
        <v>29</v>
      </c>
      <c r="D995">
        <v>26</v>
      </c>
      <c r="E995" t="s">
        <v>15</v>
      </c>
      <c r="F995">
        <v>1</v>
      </c>
      <c r="G995">
        <v>43849</v>
      </c>
      <c r="H995">
        <v>15</v>
      </c>
      <c r="I995">
        <v>50</v>
      </c>
      <c r="J995">
        <v>4</v>
      </c>
      <c r="K995">
        <v>94</v>
      </c>
      <c r="L995" t="s">
        <v>32</v>
      </c>
    </row>
    <row r="996" spans="1:12" x14ac:dyDescent="0.25">
      <c r="A996" t="s">
        <v>1038</v>
      </c>
      <c r="B996" t="s">
        <v>75</v>
      </c>
      <c r="C996" t="s">
        <v>22</v>
      </c>
      <c r="D996">
        <v>24</v>
      </c>
      <c r="E996" t="s">
        <v>19</v>
      </c>
      <c r="F996">
        <v>15</v>
      </c>
      <c r="G996">
        <v>28846</v>
      </c>
      <c r="H996">
        <v>12</v>
      </c>
      <c r="I996">
        <v>38</v>
      </c>
      <c r="J996">
        <v>5</v>
      </c>
      <c r="K996">
        <v>99</v>
      </c>
      <c r="L996" t="s">
        <v>16</v>
      </c>
    </row>
    <row r="997" spans="1:12" x14ac:dyDescent="0.25">
      <c r="A997" t="s">
        <v>1039</v>
      </c>
      <c r="B997" t="s">
        <v>53</v>
      </c>
      <c r="C997" t="s">
        <v>22</v>
      </c>
      <c r="D997">
        <v>40</v>
      </c>
      <c r="E997" t="s">
        <v>15</v>
      </c>
      <c r="F997">
        <v>9</v>
      </c>
      <c r="G997">
        <v>67574</v>
      </c>
      <c r="H997">
        <v>4</v>
      </c>
      <c r="I997">
        <v>48</v>
      </c>
      <c r="J997">
        <v>3</v>
      </c>
      <c r="K997">
        <v>100</v>
      </c>
      <c r="L997" t="s">
        <v>32</v>
      </c>
    </row>
    <row r="998" spans="1:12" x14ac:dyDescent="0.25">
      <c r="A998" t="s">
        <v>1040</v>
      </c>
      <c r="B998" t="s">
        <v>53</v>
      </c>
      <c r="C998" t="s">
        <v>14</v>
      </c>
      <c r="D998">
        <v>38</v>
      </c>
      <c r="E998" t="s">
        <v>15</v>
      </c>
      <c r="F998">
        <v>9</v>
      </c>
      <c r="G998">
        <v>77051</v>
      </c>
      <c r="H998">
        <v>10</v>
      </c>
      <c r="I998">
        <v>45</v>
      </c>
      <c r="J998">
        <v>2</v>
      </c>
      <c r="K998">
        <v>93</v>
      </c>
      <c r="L998" t="s">
        <v>26</v>
      </c>
    </row>
    <row r="999" spans="1:12" x14ac:dyDescent="0.25">
      <c r="A999" t="s">
        <v>1041</v>
      </c>
      <c r="B999" t="s">
        <v>28</v>
      </c>
      <c r="C999" t="s">
        <v>25</v>
      </c>
      <c r="D999">
        <v>27</v>
      </c>
      <c r="E999" t="s">
        <v>19</v>
      </c>
      <c r="F999">
        <v>9</v>
      </c>
      <c r="G999">
        <v>61493</v>
      </c>
      <c r="H999">
        <v>4</v>
      </c>
      <c r="I999">
        <v>40</v>
      </c>
      <c r="J999">
        <v>4</v>
      </c>
      <c r="K999">
        <v>85</v>
      </c>
      <c r="L999" t="s">
        <v>37</v>
      </c>
    </row>
    <row r="1000" spans="1:12" x14ac:dyDescent="0.25">
      <c r="A1000" t="s">
        <v>1042</v>
      </c>
      <c r="B1000" t="s">
        <v>31</v>
      </c>
      <c r="C1000" t="s">
        <v>25</v>
      </c>
      <c r="D1000">
        <v>22</v>
      </c>
      <c r="E1000" t="s">
        <v>15</v>
      </c>
      <c r="F1000">
        <v>4</v>
      </c>
      <c r="G1000">
        <v>36799</v>
      </c>
      <c r="H1000">
        <v>13</v>
      </c>
      <c r="I1000">
        <v>46</v>
      </c>
      <c r="J1000">
        <v>2</v>
      </c>
      <c r="K1000">
        <v>88</v>
      </c>
      <c r="L1000" t="s">
        <v>23</v>
      </c>
    </row>
    <row r="1001" spans="1:12" x14ac:dyDescent="0.25">
      <c r="A1001" t="s">
        <v>1043</v>
      </c>
      <c r="B1001" t="s">
        <v>45</v>
      </c>
      <c r="C1001" t="s">
        <v>22</v>
      </c>
      <c r="D1001">
        <v>25</v>
      </c>
      <c r="E1001" t="s">
        <v>15</v>
      </c>
      <c r="F1001">
        <v>1</v>
      </c>
      <c r="G1001">
        <v>71460</v>
      </c>
      <c r="H1001">
        <v>7</v>
      </c>
      <c r="I1001">
        <v>49</v>
      </c>
      <c r="J1001">
        <v>1</v>
      </c>
      <c r="K1001">
        <v>99</v>
      </c>
      <c r="L10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zoomScale="64" zoomScaleNormal="100" workbookViewId="0">
      <selection activeCell="H20" sqref="H20"/>
    </sheetView>
  </sheetViews>
  <sheetFormatPr defaultRowHeight="15" x14ac:dyDescent="0.25"/>
  <cols>
    <col min="1" max="1" width="24" style="1" bestFit="1" customWidth="1"/>
    <col min="2" max="2" width="15.5703125" style="1" bestFit="1" customWidth="1"/>
    <col min="3" max="3" width="22.42578125" style="1" bestFit="1" customWidth="1"/>
    <col min="4" max="4" width="13.5703125" style="1" bestFit="1" customWidth="1"/>
    <col min="5" max="5" width="17.140625" style="1" bestFit="1" customWidth="1"/>
    <col min="6" max="6" width="21.28515625" style="1" bestFit="1" customWidth="1"/>
    <col min="7" max="7" width="16" style="1" bestFit="1" customWidth="1"/>
    <col min="8" max="8" width="33.140625" style="1" bestFit="1" customWidth="1"/>
    <col min="9" max="9" width="26.7109375" style="1" bestFit="1" customWidth="1"/>
    <col min="10" max="10" width="33.140625" style="1" bestFit="1" customWidth="1"/>
    <col min="11" max="11" width="22" style="1" bestFit="1" customWidth="1"/>
    <col min="12" max="12" width="13.5703125" style="1" bestFit="1" customWidth="1"/>
    <col min="13" max="16384" width="9.140625" style="1"/>
  </cols>
  <sheetData>
    <row r="1" spans="1:14" x14ac:dyDescent="0.25">
      <c r="A1" s="1" t="s">
        <v>0</v>
      </c>
      <c r="B1" s="1" t="s">
        <v>1</v>
      </c>
      <c r="C1" s="1" t="s">
        <v>2</v>
      </c>
      <c r="D1" s="1" t="s">
        <v>3</v>
      </c>
      <c r="E1" s="1" t="s">
        <v>4</v>
      </c>
      <c r="F1" s="1" t="s">
        <v>5</v>
      </c>
      <c r="G1" s="1" t="s">
        <v>6</v>
      </c>
      <c r="H1" s="1" t="s">
        <v>7</v>
      </c>
      <c r="I1" s="1" t="s">
        <v>8</v>
      </c>
      <c r="J1" s="1" t="s">
        <v>9</v>
      </c>
      <c r="K1" s="1" t="s">
        <v>10</v>
      </c>
      <c r="L1" s="1" t="s">
        <v>11</v>
      </c>
    </row>
    <row r="2" spans="1:14" x14ac:dyDescent="0.25">
      <c r="A2" s="1" t="s">
        <v>12</v>
      </c>
      <c r="B2" s="1" t="s">
        <v>13</v>
      </c>
      <c r="C2" s="1" t="s">
        <v>14</v>
      </c>
      <c r="D2" s="1">
        <v>33</v>
      </c>
      <c r="E2" s="1" t="s">
        <v>15</v>
      </c>
      <c r="F2" s="1">
        <v>5</v>
      </c>
      <c r="G2" s="1">
        <v>48089</v>
      </c>
      <c r="H2" s="1">
        <v>10</v>
      </c>
      <c r="I2" s="1">
        <v>37</v>
      </c>
      <c r="J2" s="1">
        <v>4</v>
      </c>
      <c r="K2" s="1">
        <v>90</v>
      </c>
      <c r="L2" s="1" t="s">
        <v>16</v>
      </c>
    </row>
    <row r="3" spans="1:14" x14ac:dyDescent="0.25">
      <c r="A3" s="1" t="s">
        <v>17</v>
      </c>
      <c r="B3" s="1" t="s">
        <v>18</v>
      </c>
      <c r="C3" s="1" t="s">
        <v>14</v>
      </c>
      <c r="D3" s="1">
        <v>39</v>
      </c>
      <c r="E3" s="1" t="s">
        <v>19</v>
      </c>
      <c r="F3" s="1">
        <v>9</v>
      </c>
      <c r="G3" s="1">
        <v>74855</v>
      </c>
      <c r="H3" s="1">
        <v>15</v>
      </c>
      <c r="I3" s="1">
        <v>42</v>
      </c>
      <c r="J3" s="1">
        <v>2</v>
      </c>
      <c r="K3" s="1">
        <v>91</v>
      </c>
      <c r="L3" s="1" t="s">
        <v>16</v>
      </c>
    </row>
    <row r="4" spans="1:14" x14ac:dyDescent="0.25">
      <c r="A4" s="1" t="s">
        <v>20</v>
      </c>
      <c r="B4" s="1" t="s">
        <v>21</v>
      </c>
      <c r="C4" s="1" t="s">
        <v>22</v>
      </c>
      <c r="D4" s="1">
        <v>31</v>
      </c>
      <c r="E4" s="1" t="s">
        <v>19</v>
      </c>
      <c r="F4" s="1">
        <v>2</v>
      </c>
      <c r="G4" s="1">
        <v>40749</v>
      </c>
      <c r="H4" s="1">
        <v>8</v>
      </c>
      <c r="I4" s="1">
        <v>39</v>
      </c>
      <c r="J4" s="1">
        <v>3</v>
      </c>
      <c r="K4" s="1">
        <v>96</v>
      </c>
      <c r="L4" s="1" t="s">
        <v>23</v>
      </c>
    </row>
    <row r="5" spans="1:14" x14ac:dyDescent="0.25">
      <c r="A5" s="1" t="s">
        <v>24</v>
      </c>
      <c r="B5" s="1" t="s">
        <v>13</v>
      </c>
      <c r="C5" s="1" t="s">
        <v>25</v>
      </c>
      <c r="D5" s="1">
        <v>33</v>
      </c>
      <c r="E5" s="1" t="s">
        <v>15</v>
      </c>
      <c r="F5" s="1">
        <v>8</v>
      </c>
      <c r="G5" s="1">
        <v>54136</v>
      </c>
      <c r="H5" s="1">
        <v>5</v>
      </c>
      <c r="I5" s="1">
        <v>46</v>
      </c>
      <c r="J5" s="1">
        <v>1</v>
      </c>
      <c r="K5" s="1">
        <v>85</v>
      </c>
      <c r="L5" s="1" t="s">
        <v>26</v>
      </c>
    </row>
    <row r="6" spans="1:14" x14ac:dyDescent="0.25">
      <c r="A6" s="1" t="s">
        <v>27</v>
      </c>
      <c r="B6" s="1" t="s">
        <v>28</v>
      </c>
      <c r="C6" s="1" t="s">
        <v>29</v>
      </c>
      <c r="D6" s="1">
        <v>36</v>
      </c>
      <c r="E6" s="1" t="s">
        <v>19</v>
      </c>
      <c r="F6" s="1">
        <v>7</v>
      </c>
      <c r="G6" s="1">
        <v>30627</v>
      </c>
      <c r="H6" s="1">
        <v>8</v>
      </c>
      <c r="I6" s="1">
        <v>46</v>
      </c>
      <c r="J6" s="1">
        <v>4</v>
      </c>
      <c r="K6" s="1">
        <v>87</v>
      </c>
      <c r="L6" s="1" t="s">
        <v>23</v>
      </c>
    </row>
    <row r="7" spans="1:14" x14ac:dyDescent="0.25">
      <c r="A7" s="1" t="s">
        <v>30</v>
      </c>
      <c r="B7" s="1" t="s">
        <v>31</v>
      </c>
      <c r="C7" s="1" t="s">
        <v>25</v>
      </c>
      <c r="D7" s="1">
        <v>23</v>
      </c>
      <c r="E7" s="1" t="s">
        <v>15</v>
      </c>
      <c r="F7" s="1">
        <v>3</v>
      </c>
      <c r="G7" s="1">
        <v>61049</v>
      </c>
      <c r="H7" s="1">
        <v>9</v>
      </c>
      <c r="I7" s="1">
        <v>39</v>
      </c>
      <c r="J7" s="1">
        <v>5</v>
      </c>
      <c r="K7" s="1">
        <v>89</v>
      </c>
      <c r="L7" s="1" t="s">
        <v>32</v>
      </c>
    </row>
    <row r="8" spans="1:14" x14ac:dyDescent="0.25">
      <c r="A8" s="1" t="s">
        <v>33</v>
      </c>
      <c r="B8" s="1" t="s">
        <v>34</v>
      </c>
      <c r="C8" s="1" t="s">
        <v>14</v>
      </c>
      <c r="D8" s="1">
        <v>36</v>
      </c>
      <c r="E8" s="1" t="s">
        <v>19</v>
      </c>
      <c r="F8" s="1">
        <v>7</v>
      </c>
      <c r="G8" s="1">
        <v>70701</v>
      </c>
      <c r="H8" s="1">
        <v>13</v>
      </c>
      <c r="I8" s="1">
        <v>36</v>
      </c>
      <c r="J8" s="1">
        <v>2</v>
      </c>
      <c r="K8" s="1">
        <v>96</v>
      </c>
      <c r="L8" t="s">
        <v>32</v>
      </c>
    </row>
    <row r="9" spans="1:14" x14ac:dyDescent="0.25">
      <c r="A9" s="1" t="s">
        <v>35</v>
      </c>
      <c r="B9" s="1" t="s">
        <v>36</v>
      </c>
      <c r="C9" s="1" t="s">
        <v>25</v>
      </c>
      <c r="D9" s="1">
        <v>39</v>
      </c>
      <c r="E9" s="1" t="s">
        <v>15</v>
      </c>
      <c r="F9" s="1">
        <v>14</v>
      </c>
      <c r="G9" s="1">
        <v>52857</v>
      </c>
      <c r="H9" s="1">
        <v>9</v>
      </c>
      <c r="I9" s="1">
        <v>36</v>
      </c>
      <c r="J9" s="1">
        <v>5</v>
      </c>
      <c r="K9" s="1">
        <v>93</v>
      </c>
      <c r="L9" s="1" t="s">
        <v>37</v>
      </c>
    </row>
    <row r="10" spans="1:14" x14ac:dyDescent="0.25">
      <c r="A10" s="1" t="s">
        <v>38</v>
      </c>
      <c r="B10" s="1" t="s">
        <v>13</v>
      </c>
      <c r="C10" s="1" t="s">
        <v>22</v>
      </c>
      <c r="D10" s="1">
        <v>30</v>
      </c>
      <c r="E10" s="1" t="s">
        <v>19</v>
      </c>
      <c r="F10" s="1">
        <v>8</v>
      </c>
      <c r="G10" s="1">
        <v>43605</v>
      </c>
      <c r="H10" s="1">
        <v>8</v>
      </c>
      <c r="I10" s="1">
        <v>46</v>
      </c>
      <c r="J10" s="1">
        <v>3</v>
      </c>
      <c r="K10" s="1">
        <v>99</v>
      </c>
      <c r="L10" s="1" t="s">
        <v>26</v>
      </c>
    </row>
    <row r="11" spans="1:14" x14ac:dyDescent="0.25">
      <c r="A11" s="1" t="s">
        <v>39</v>
      </c>
      <c r="B11" s="1" t="s">
        <v>40</v>
      </c>
      <c r="C11" s="1" t="s">
        <v>25</v>
      </c>
      <c r="D11" s="1">
        <v>40</v>
      </c>
      <c r="E11" s="1" t="s">
        <v>15</v>
      </c>
      <c r="F11" s="1">
        <v>5</v>
      </c>
      <c r="G11" s="1">
        <v>76499</v>
      </c>
      <c r="H11" s="1">
        <v>10</v>
      </c>
      <c r="I11" s="1">
        <v>41</v>
      </c>
      <c r="J11" s="1">
        <v>2</v>
      </c>
      <c r="K11" s="1">
        <v>92</v>
      </c>
      <c r="L11" s="1" t="s">
        <v>26</v>
      </c>
      <c r="N11"/>
    </row>
    <row r="12" spans="1:14" x14ac:dyDescent="0.25">
      <c r="A12" s="1" t="s">
        <v>41</v>
      </c>
      <c r="B12" s="1" t="s">
        <v>13</v>
      </c>
      <c r="C12" s="1" t="s">
        <v>25</v>
      </c>
      <c r="D12" s="1">
        <v>22</v>
      </c>
      <c r="E12" s="1" t="s">
        <v>15</v>
      </c>
      <c r="F12" s="1">
        <v>3</v>
      </c>
      <c r="G12" s="1">
        <v>59483</v>
      </c>
      <c r="H12" s="1">
        <v>12</v>
      </c>
      <c r="I12" s="1">
        <v>36</v>
      </c>
      <c r="J12" s="1">
        <v>4</v>
      </c>
      <c r="K12" s="1">
        <v>97</v>
      </c>
      <c r="L12" s="1" t="s">
        <v>16</v>
      </c>
    </row>
    <row r="13" spans="1:14" x14ac:dyDescent="0.25">
      <c r="A13" s="1" t="s">
        <v>42</v>
      </c>
      <c r="B13" s="1" t="s">
        <v>43</v>
      </c>
      <c r="C13" s="1" t="s">
        <v>29</v>
      </c>
      <c r="D13" s="1">
        <v>34</v>
      </c>
      <c r="E13" s="1" t="s">
        <v>15</v>
      </c>
      <c r="F13" s="1">
        <v>9</v>
      </c>
      <c r="G13" s="1">
        <v>76959</v>
      </c>
      <c r="H13" s="1">
        <v>4</v>
      </c>
      <c r="I13" s="1">
        <v>47</v>
      </c>
      <c r="J13" s="1">
        <v>4</v>
      </c>
      <c r="K13" s="1">
        <v>96</v>
      </c>
      <c r="L13" s="1" t="s">
        <v>37</v>
      </c>
    </row>
    <row r="14" spans="1:14" x14ac:dyDescent="0.25">
      <c r="A14" s="1" t="s">
        <v>44</v>
      </c>
      <c r="B14" s="1" t="s">
        <v>45</v>
      </c>
      <c r="C14" s="1" t="s">
        <v>22</v>
      </c>
      <c r="D14" s="1">
        <v>36</v>
      </c>
      <c r="E14" s="1" t="s">
        <v>19</v>
      </c>
      <c r="F14" s="1">
        <v>14</v>
      </c>
      <c r="G14" s="1">
        <v>27580</v>
      </c>
      <c r="H14" s="1">
        <v>10</v>
      </c>
      <c r="I14" s="1">
        <v>45</v>
      </c>
      <c r="J14" s="1">
        <v>3</v>
      </c>
      <c r="K14" s="1">
        <v>89</v>
      </c>
      <c r="L14" s="1" t="s">
        <v>26</v>
      </c>
    </row>
    <row r="15" spans="1:14" x14ac:dyDescent="0.25">
      <c r="A15" s="1" t="s">
        <v>46</v>
      </c>
      <c r="B15" s="1" t="s">
        <v>45</v>
      </c>
      <c r="C15" s="1" t="s">
        <v>29</v>
      </c>
      <c r="D15" s="1">
        <v>32</v>
      </c>
      <c r="E15" s="1" t="s">
        <v>15</v>
      </c>
      <c r="F15" s="1">
        <v>7</v>
      </c>
      <c r="G15" s="1">
        <v>45630</v>
      </c>
      <c r="H15" s="1">
        <v>13</v>
      </c>
      <c r="I15" s="1">
        <v>49</v>
      </c>
      <c r="J15" s="1">
        <v>5</v>
      </c>
      <c r="K15" s="1">
        <v>90</v>
      </c>
      <c r="L15" s="1" t="s">
        <v>26</v>
      </c>
    </row>
    <row r="16" spans="1:14" x14ac:dyDescent="0.25">
      <c r="A16" s="1" t="s">
        <v>47</v>
      </c>
      <c r="B16" s="1" t="s">
        <v>13</v>
      </c>
      <c r="C16" s="1" t="s">
        <v>25</v>
      </c>
      <c r="D16" s="1">
        <v>28</v>
      </c>
      <c r="E16" s="1" t="s">
        <v>19</v>
      </c>
      <c r="F16" s="1">
        <v>1</v>
      </c>
      <c r="G16" s="1">
        <v>64938</v>
      </c>
      <c r="H16" s="1">
        <v>15</v>
      </c>
      <c r="I16" s="1">
        <v>37</v>
      </c>
      <c r="J16" s="1">
        <v>2</v>
      </c>
      <c r="K16" s="1">
        <v>96</v>
      </c>
      <c r="L16" s="1" t="s">
        <v>32</v>
      </c>
    </row>
    <row r="17" spans="1:12" x14ac:dyDescent="0.25">
      <c r="A17" s="1" t="s">
        <v>48</v>
      </c>
      <c r="B17" s="1" t="s">
        <v>43</v>
      </c>
      <c r="C17" s="1" t="s">
        <v>25</v>
      </c>
      <c r="D17" s="1">
        <v>32</v>
      </c>
      <c r="E17" s="1" t="s">
        <v>19</v>
      </c>
      <c r="F17" s="1">
        <v>2</v>
      </c>
      <c r="G17" s="1">
        <v>34237</v>
      </c>
      <c r="H17" s="1">
        <v>9</v>
      </c>
      <c r="I17" s="1">
        <v>45</v>
      </c>
      <c r="J17" s="1">
        <v>4</v>
      </c>
      <c r="K17" s="1">
        <v>99</v>
      </c>
      <c r="L17" s="1" t="s">
        <v>26</v>
      </c>
    </row>
    <row r="18" spans="1:12" x14ac:dyDescent="0.25">
      <c r="A18" s="1" t="s">
        <v>49</v>
      </c>
      <c r="B18" s="1" t="s">
        <v>34</v>
      </c>
      <c r="C18" s="1" t="s">
        <v>22</v>
      </c>
      <c r="D18" s="1">
        <v>28</v>
      </c>
      <c r="E18" s="1" t="s">
        <v>15</v>
      </c>
      <c r="F18" s="1">
        <v>13</v>
      </c>
      <c r="G18" s="1">
        <v>39892</v>
      </c>
      <c r="H18" s="1">
        <v>6</v>
      </c>
      <c r="I18" s="1">
        <v>44</v>
      </c>
      <c r="J18" s="1">
        <v>3</v>
      </c>
      <c r="K18" s="1">
        <v>92</v>
      </c>
      <c r="L18" s="1" t="s">
        <v>32</v>
      </c>
    </row>
    <row r="19" spans="1:12" x14ac:dyDescent="0.25">
      <c r="A19" s="1" t="s">
        <v>50</v>
      </c>
      <c r="B19" s="1" t="s">
        <v>45</v>
      </c>
      <c r="C19" s="1" t="s">
        <v>29</v>
      </c>
      <c r="D19" s="1">
        <v>32</v>
      </c>
      <c r="E19" s="1" t="s">
        <v>15</v>
      </c>
      <c r="F19" s="1">
        <v>4</v>
      </c>
      <c r="G19" s="1">
        <v>73646</v>
      </c>
      <c r="H19" s="1">
        <v>11</v>
      </c>
      <c r="I19" s="1">
        <v>50</v>
      </c>
      <c r="J19" s="1">
        <v>2</v>
      </c>
      <c r="K19" s="1">
        <v>94</v>
      </c>
      <c r="L19" s="1" t="s">
        <v>51</v>
      </c>
    </row>
    <row r="20" spans="1:12" x14ac:dyDescent="0.25">
      <c r="A20" s="1" t="s">
        <v>52</v>
      </c>
      <c r="B20" s="1" t="s">
        <v>53</v>
      </c>
      <c r="C20" s="1" t="s">
        <v>29</v>
      </c>
      <c r="D20" s="1">
        <v>39</v>
      </c>
      <c r="E20" s="1" t="s">
        <v>15</v>
      </c>
      <c r="F20" s="1">
        <v>3</v>
      </c>
      <c r="G20" s="1">
        <v>39183</v>
      </c>
      <c r="H20" s="1">
        <v>13</v>
      </c>
      <c r="I20" s="1">
        <v>40</v>
      </c>
      <c r="J20" s="1">
        <v>1</v>
      </c>
      <c r="K20" s="1">
        <v>91</v>
      </c>
      <c r="L20" s="1" t="s">
        <v>51</v>
      </c>
    </row>
    <row r="21" spans="1:12" x14ac:dyDescent="0.25">
      <c r="A21" s="1" t="s">
        <v>54</v>
      </c>
      <c r="B21" s="1" t="s">
        <v>45</v>
      </c>
      <c r="C21" s="1" t="s">
        <v>14</v>
      </c>
      <c r="D21" s="1">
        <v>27</v>
      </c>
      <c r="E21" s="1" t="s">
        <v>15</v>
      </c>
      <c r="F21" s="1">
        <v>8</v>
      </c>
      <c r="G21" s="1">
        <v>72406</v>
      </c>
      <c r="H21" s="1">
        <v>14</v>
      </c>
      <c r="I21" s="1">
        <v>35</v>
      </c>
      <c r="J21" s="1">
        <v>5</v>
      </c>
      <c r="K21" s="1">
        <v>85</v>
      </c>
      <c r="L21" s="1" t="s">
        <v>51</v>
      </c>
    </row>
    <row r="22" spans="1:12" x14ac:dyDescent="0.25">
      <c r="A22" s="1" t="s">
        <v>55</v>
      </c>
      <c r="B22" s="1" t="s">
        <v>18</v>
      </c>
      <c r="C22" s="1" t="s">
        <v>22</v>
      </c>
      <c r="D22" s="1">
        <v>36</v>
      </c>
      <c r="E22" s="1" t="s">
        <v>15</v>
      </c>
      <c r="F22" s="1">
        <v>15</v>
      </c>
      <c r="G22" s="1">
        <v>72897</v>
      </c>
      <c r="H22" s="1">
        <v>5</v>
      </c>
      <c r="I22" s="1">
        <v>40</v>
      </c>
      <c r="J22" s="1">
        <v>3</v>
      </c>
      <c r="K22" s="1">
        <v>90</v>
      </c>
      <c r="L22" s="1" t="s">
        <v>32</v>
      </c>
    </row>
    <row r="23" spans="1:12" x14ac:dyDescent="0.25">
      <c r="A23" s="1" t="s">
        <v>56</v>
      </c>
      <c r="B23" s="1" t="s">
        <v>21</v>
      </c>
      <c r="C23" s="1" t="s">
        <v>22</v>
      </c>
      <c r="D23" s="1">
        <v>26</v>
      </c>
      <c r="E23" s="1" t="s">
        <v>19</v>
      </c>
      <c r="F23" s="1">
        <v>2</v>
      </c>
      <c r="G23" s="1">
        <v>49942</v>
      </c>
      <c r="H23" s="1">
        <v>5</v>
      </c>
      <c r="I23" s="1">
        <v>36</v>
      </c>
      <c r="J23" s="1">
        <v>3</v>
      </c>
      <c r="K23" s="1">
        <v>94</v>
      </c>
      <c r="L23" s="1" t="s">
        <v>32</v>
      </c>
    </row>
    <row r="24" spans="1:12" x14ac:dyDescent="0.25">
      <c r="A24" s="1" t="s">
        <v>57</v>
      </c>
      <c r="B24" s="1" t="s">
        <v>31</v>
      </c>
      <c r="C24" s="1" t="s">
        <v>29</v>
      </c>
      <c r="D24" s="1">
        <v>28</v>
      </c>
      <c r="E24" s="1" t="s">
        <v>19</v>
      </c>
      <c r="F24" s="1">
        <v>7</v>
      </c>
      <c r="G24" s="1">
        <v>30889</v>
      </c>
      <c r="H24" s="1">
        <v>3</v>
      </c>
      <c r="I24" s="1">
        <v>42</v>
      </c>
      <c r="J24" s="1">
        <v>3</v>
      </c>
      <c r="K24" s="1">
        <v>99</v>
      </c>
      <c r="L24" s="1" t="s">
        <v>23</v>
      </c>
    </row>
    <row r="25" spans="1:12" x14ac:dyDescent="0.25">
      <c r="A25" s="1" t="s">
        <v>58</v>
      </c>
      <c r="B25" s="1" t="s">
        <v>36</v>
      </c>
      <c r="C25" s="1" t="s">
        <v>22</v>
      </c>
      <c r="D25" s="1">
        <v>35</v>
      </c>
      <c r="E25" s="1" t="s">
        <v>15</v>
      </c>
      <c r="F25" s="1">
        <v>3</v>
      </c>
      <c r="G25" s="1">
        <v>27284</v>
      </c>
      <c r="H25" s="1">
        <v>13</v>
      </c>
      <c r="I25" s="1">
        <v>45</v>
      </c>
      <c r="J25" s="1">
        <v>3</v>
      </c>
      <c r="K25" s="1">
        <v>94</v>
      </c>
      <c r="L25" s="1" t="s">
        <v>32</v>
      </c>
    </row>
    <row r="26" spans="1:12" x14ac:dyDescent="0.25">
      <c r="A26" s="1" t="s">
        <v>59</v>
      </c>
      <c r="B26" s="1" t="s">
        <v>28</v>
      </c>
      <c r="C26" s="1" t="s">
        <v>22</v>
      </c>
      <c r="D26" s="1">
        <v>27</v>
      </c>
      <c r="E26" s="1" t="s">
        <v>19</v>
      </c>
      <c r="F26" s="1">
        <v>1</v>
      </c>
      <c r="G26" s="1">
        <v>27633</v>
      </c>
      <c r="H26" s="1">
        <v>4</v>
      </c>
      <c r="I26" s="1">
        <v>39</v>
      </c>
      <c r="J26" s="1">
        <v>3</v>
      </c>
      <c r="K26" s="1">
        <v>91</v>
      </c>
      <c r="L26" s="1" t="s">
        <v>37</v>
      </c>
    </row>
    <row r="27" spans="1:12" x14ac:dyDescent="0.25">
      <c r="A27" s="1" t="s">
        <v>60</v>
      </c>
      <c r="B27" s="1" t="s">
        <v>21</v>
      </c>
      <c r="C27" s="1" t="s">
        <v>29</v>
      </c>
      <c r="D27" s="1">
        <v>27</v>
      </c>
      <c r="E27" s="1" t="s">
        <v>15</v>
      </c>
      <c r="F27" s="1">
        <v>6</v>
      </c>
      <c r="G27" s="1">
        <v>76824</v>
      </c>
      <c r="H27" s="1">
        <v>6</v>
      </c>
      <c r="I27" s="1">
        <v>42</v>
      </c>
      <c r="J27" s="1">
        <v>5</v>
      </c>
      <c r="K27" s="1">
        <v>85</v>
      </c>
      <c r="L27" s="1" t="s">
        <v>16</v>
      </c>
    </row>
    <row r="28" spans="1:12" x14ac:dyDescent="0.25">
      <c r="A28" s="1" t="s">
        <v>61</v>
      </c>
      <c r="B28" s="1" t="s">
        <v>53</v>
      </c>
      <c r="C28" s="1" t="s">
        <v>29</v>
      </c>
      <c r="D28" s="1">
        <v>28</v>
      </c>
      <c r="E28" s="1" t="s">
        <v>19</v>
      </c>
      <c r="F28" s="1">
        <v>5</v>
      </c>
      <c r="G28" s="1">
        <v>43536</v>
      </c>
      <c r="H28" s="1">
        <v>11</v>
      </c>
      <c r="I28" s="1">
        <v>40</v>
      </c>
      <c r="J28" s="1">
        <v>1</v>
      </c>
      <c r="K28" s="1">
        <v>90</v>
      </c>
      <c r="L28" s="1" t="s">
        <v>32</v>
      </c>
    </row>
    <row r="29" spans="1:12" x14ac:dyDescent="0.25">
      <c r="A29" s="1" t="s">
        <v>62</v>
      </c>
      <c r="B29" s="1" t="s">
        <v>63</v>
      </c>
      <c r="C29" s="1" t="s">
        <v>25</v>
      </c>
      <c r="D29" s="1">
        <v>37</v>
      </c>
      <c r="E29" s="1" t="s">
        <v>19</v>
      </c>
      <c r="F29" s="1">
        <v>15</v>
      </c>
      <c r="G29" s="1">
        <v>36027</v>
      </c>
      <c r="H29" s="1">
        <v>10</v>
      </c>
      <c r="I29" s="1">
        <v>43</v>
      </c>
      <c r="J29" s="1">
        <v>3</v>
      </c>
      <c r="K29" s="1">
        <v>92</v>
      </c>
      <c r="L29" s="1" t="s">
        <v>37</v>
      </c>
    </row>
    <row r="30" spans="1:12" x14ac:dyDescent="0.25">
      <c r="A30" s="1" t="s">
        <v>64</v>
      </c>
      <c r="B30" s="1" t="s">
        <v>65</v>
      </c>
      <c r="C30" s="1" t="s">
        <v>22</v>
      </c>
      <c r="D30" s="1">
        <v>33</v>
      </c>
      <c r="E30" s="1" t="s">
        <v>19</v>
      </c>
      <c r="F30" s="1">
        <v>5</v>
      </c>
      <c r="G30" s="1">
        <v>39879</v>
      </c>
      <c r="H30" s="1">
        <v>15</v>
      </c>
      <c r="I30" s="1">
        <v>45</v>
      </c>
      <c r="J30" s="1">
        <v>4</v>
      </c>
      <c r="K30" s="1">
        <v>86</v>
      </c>
      <c r="L30" s="1" t="s">
        <v>51</v>
      </c>
    </row>
    <row r="31" spans="1:12" x14ac:dyDescent="0.25">
      <c r="A31" s="1" t="s">
        <v>66</v>
      </c>
      <c r="B31" s="1" t="s">
        <v>36</v>
      </c>
      <c r="C31" s="1" t="s">
        <v>25</v>
      </c>
      <c r="D31" s="1">
        <v>34</v>
      </c>
      <c r="E31" s="1" t="s">
        <v>19</v>
      </c>
      <c r="F31" s="1">
        <v>15</v>
      </c>
      <c r="G31" s="1">
        <v>62356</v>
      </c>
      <c r="H31" s="1">
        <v>5</v>
      </c>
      <c r="I31" s="1">
        <v>46</v>
      </c>
      <c r="J31" s="1">
        <v>2</v>
      </c>
      <c r="K31" s="1">
        <v>97</v>
      </c>
      <c r="L31" s="1" t="s">
        <v>23</v>
      </c>
    </row>
    <row r="32" spans="1:12" x14ac:dyDescent="0.25">
      <c r="A32" s="1" t="s">
        <v>67</v>
      </c>
      <c r="B32" s="1" t="s">
        <v>65</v>
      </c>
      <c r="C32" s="1" t="s">
        <v>25</v>
      </c>
      <c r="D32" s="1">
        <v>35</v>
      </c>
      <c r="E32" s="1" t="s">
        <v>15</v>
      </c>
      <c r="F32" s="1">
        <v>3</v>
      </c>
      <c r="G32" s="1">
        <v>72178</v>
      </c>
      <c r="H32" s="1">
        <v>14</v>
      </c>
      <c r="I32" s="1">
        <v>44</v>
      </c>
      <c r="J32" s="1">
        <v>2</v>
      </c>
      <c r="K32" s="1">
        <v>93</v>
      </c>
      <c r="L32" s="1" t="s">
        <v>16</v>
      </c>
    </row>
    <row r="33" spans="1:12" x14ac:dyDescent="0.25">
      <c r="A33" s="1" t="s">
        <v>68</v>
      </c>
      <c r="B33" s="1" t="s">
        <v>65</v>
      </c>
      <c r="C33" s="1" t="s">
        <v>14</v>
      </c>
      <c r="D33" s="1">
        <v>35</v>
      </c>
      <c r="E33" s="1" t="s">
        <v>15</v>
      </c>
      <c r="F33" s="1">
        <v>1</v>
      </c>
      <c r="G33" s="1">
        <v>44658</v>
      </c>
      <c r="H33" s="1">
        <v>6</v>
      </c>
      <c r="I33" s="1">
        <v>40</v>
      </c>
      <c r="J33" s="1">
        <v>3</v>
      </c>
      <c r="K33" s="1">
        <v>88</v>
      </c>
      <c r="L33" s="1" t="s">
        <v>51</v>
      </c>
    </row>
    <row r="34" spans="1:12" x14ac:dyDescent="0.25">
      <c r="A34" s="1" t="s">
        <v>69</v>
      </c>
      <c r="B34" s="1" t="s">
        <v>70</v>
      </c>
      <c r="C34" s="1" t="s">
        <v>14</v>
      </c>
      <c r="D34" s="1">
        <v>36</v>
      </c>
      <c r="E34" s="1" t="s">
        <v>19</v>
      </c>
      <c r="F34" s="1">
        <v>6</v>
      </c>
      <c r="G34" s="1">
        <v>42013</v>
      </c>
      <c r="H34" s="1">
        <v>12</v>
      </c>
      <c r="I34" s="1">
        <v>40</v>
      </c>
      <c r="J34" s="1">
        <v>1</v>
      </c>
      <c r="K34" s="1">
        <v>85</v>
      </c>
      <c r="L34" s="1" t="s">
        <v>16</v>
      </c>
    </row>
    <row r="35" spans="1:12" x14ac:dyDescent="0.25">
      <c r="A35" s="1" t="s">
        <v>71</v>
      </c>
      <c r="B35" s="1" t="s">
        <v>70</v>
      </c>
      <c r="C35" s="1" t="s">
        <v>14</v>
      </c>
      <c r="D35" s="1">
        <v>32</v>
      </c>
      <c r="E35" s="1" t="s">
        <v>15</v>
      </c>
      <c r="F35" s="1">
        <v>3</v>
      </c>
      <c r="G35" s="1">
        <v>65611</v>
      </c>
      <c r="H35" s="1">
        <v>4</v>
      </c>
      <c r="I35" s="1">
        <v>38</v>
      </c>
      <c r="J35" s="1">
        <v>4</v>
      </c>
      <c r="K35" s="1">
        <v>94</v>
      </c>
      <c r="L35" s="1" t="s">
        <v>51</v>
      </c>
    </row>
    <row r="36" spans="1:12" x14ac:dyDescent="0.25">
      <c r="A36" s="1" t="s">
        <v>72</v>
      </c>
      <c r="B36" s="1" t="s">
        <v>34</v>
      </c>
      <c r="C36" s="1" t="s">
        <v>25</v>
      </c>
      <c r="D36" s="1">
        <v>31</v>
      </c>
      <c r="E36" s="1" t="s">
        <v>15</v>
      </c>
      <c r="F36" s="1">
        <v>12</v>
      </c>
      <c r="G36" s="1">
        <v>67540</v>
      </c>
      <c r="H36" s="1">
        <v>3</v>
      </c>
      <c r="I36" s="1">
        <v>36</v>
      </c>
      <c r="J36" s="1">
        <v>2</v>
      </c>
      <c r="K36" s="1">
        <v>100</v>
      </c>
      <c r="L36" s="1" t="s">
        <v>37</v>
      </c>
    </row>
    <row r="37" spans="1:12" x14ac:dyDescent="0.25">
      <c r="A37" s="1" t="s">
        <v>73</v>
      </c>
      <c r="B37" s="1" t="s">
        <v>31</v>
      </c>
      <c r="C37" s="1" t="s">
        <v>22</v>
      </c>
      <c r="D37" s="1">
        <v>26</v>
      </c>
      <c r="E37" s="1" t="s">
        <v>19</v>
      </c>
      <c r="F37" s="1">
        <v>2</v>
      </c>
      <c r="G37" s="1">
        <v>76768</v>
      </c>
      <c r="H37" s="1">
        <v>11</v>
      </c>
      <c r="I37" s="1">
        <v>47</v>
      </c>
      <c r="J37" s="1">
        <v>4</v>
      </c>
      <c r="K37" s="1">
        <v>92</v>
      </c>
      <c r="L37" s="1" t="s">
        <v>16</v>
      </c>
    </row>
    <row r="38" spans="1:12" x14ac:dyDescent="0.25">
      <c r="A38" s="1" t="s">
        <v>74</v>
      </c>
      <c r="B38" s="1" t="s">
        <v>75</v>
      </c>
      <c r="C38" s="1" t="s">
        <v>25</v>
      </c>
      <c r="D38" s="1">
        <v>26</v>
      </c>
      <c r="E38" s="1" t="s">
        <v>19</v>
      </c>
      <c r="F38" s="1">
        <v>13</v>
      </c>
      <c r="G38" s="1">
        <v>39844</v>
      </c>
      <c r="H38" s="1">
        <v>13</v>
      </c>
      <c r="I38" s="1">
        <v>40</v>
      </c>
      <c r="J38" s="1">
        <v>5</v>
      </c>
      <c r="K38" s="1">
        <v>98</v>
      </c>
      <c r="L38" s="1" t="s">
        <v>16</v>
      </c>
    </row>
    <row r="39" spans="1:12" x14ac:dyDescent="0.25">
      <c r="A39" s="1" t="s">
        <v>76</v>
      </c>
      <c r="B39" s="1" t="s">
        <v>77</v>
      </c>
      <c r="C39" s="1" t="s">
        <v>29</v>
      </c>
      <c r="D39" s="1">
        <v>39</v>
      </c>
      <c r="E39" s="1" t="s">
        <v>19</v>
      </c>
      <c r="F39" s="1">
        <v>8</v>
      </c>
      <c r="G39" s="1">
        <v>71215</v>
      </c>
      <c r="H39" s="1">
        <v>7</v>
      </c>
      <c r="I39" s="1">
        <v>41</v>
      </c>
      <c r="J39" s="1">
        <v>4</v>
      </c>
      <c r="K39" s="1">
        <v>86</v>
      </c>
      <c r="L39" s="1" t="s">
        <v>23</v>
      </c>
    </row>
    <row r="40" spans="1:12" x14ac:dyDescent="0.25">
      <c r="A40" s="1" t="s">
        <v>78</v>
      </c>
      <c r="B40" s="1" t="s">
        <v>34</v>
      </c>
      <c r="C40" s="1" t="s">
        <v>22</v>
      </c>
      <c r="D40" s="1">
        <v>37</v>
      </c>
      <c r="E40" s="1" t="s">
        <v>15</v>
      </c>
      <c r="F40" s="1">
        <v>13</v>
      </c>
      <c r="G40" s="1">
        <v>75113</v>
      </c>
      <c r="H40" s="1">
        <v>6</v>
      </c>
      <c r="I40" s="1">
        <v>43</v>
      </c>
      <c r="J40" s="1">
        <v>4</v>
      </c>
      <c r="K40" s="1">
        <v>97</v>
      </c>
      <c r="L40" s="1" t="s">
        <v>37</v>
      </c>
    </row>
    <row r="41" spans="1:12" x14ac:dyDescent="0.25">
      <c r="A41" s="1" t="s">
        <v>79</v>
      </c>
      <c r="B41" s="1" t="s">
        <v>40</v>
      </c>
      <c r="C41" s="1" t="s">
        <v>14</v>
      </c>
      <c r="D41" s="1">
        <v>40</v>
      </c>
      <c r="E41" s="1" t="s">
        <v>15</v>
      </c>
      <c r="F41" s="1">
        <v>9</v>
      </c>
      <c r="G41" s="1">
        <v>75874</v>
      </c>
      <c r="H41" s="1">
        <v>13</v>
      </c>
      <c r="I41" s="1">
        <v>35</v>
      </c>
      <c r="J41" s="1">
        <v>4</v>
      </c>
      <c r="K41" s="1">
        <v>97</v>
      </c>
      <c r="L41" s="1" t="s">
        <v>37</v>
      </c>
    </row>
    <row r="42" spans="1:12" x14ac:dyDescent="0.25">
      <c r="A42" s="1" t="s">
        <v>80</v>
      </c>
      <c r="B42" s="1" t="s">
        <v>81</v>
      </c>
      <c r="C42" s="1" t="s">
        <v>25</v>
      </c>
      <c r="D42" s="1">
        <v>29</v>
      </c>
      <c r="E42" s="1" t="s">
        <v>19</v>
      </c>
      <c r="F42" s="1">
        <v>6</v>
      </c>
      <c r="G42" s="1">
        <v>44595</v>
      </c>
      <c r="H42" s="1">
        <v>15</v>
      </c>
      <c r="I42" s="1">
        <v>48</v>
      </c>
      <c r="J42" s="1">
        <v>1</v>
      </c>
      <c r="K42" s="1">
        <v>94</v>
      </c>
      <c r="L42" s="1" t="s">
        <v>23</v>
      </c>
    </row>
    <row r="43" spans="1:12" x14ac:dyDescent="0.25">
      <c r="A43" s="1" t="s">
        <v>82</v>
      </c>
      <c r="B43" s="1" t="s">
        <v>83</v>
      </c>
      <c r="C43" s="1" t="s">
        <v>29</v>
      </c>
      <c r="D43" s="1">
        <v>33</v>
      </c>
      <c r="E43" s="1" t="s">
        <v>19</v>
      </c>
      <c r="F43" s="1">
        <v>3</v>
      </c>
      <c r="G43" s="1">
        <v>79872</v>
      </c>
      <c r="H43" s="1">
        <v>13</v>
      </c>
      <c r="I43" s="1">
        <v>47</v>
      </c>
      <c r="J43" s="1">
        <v>3</v>
      </c>
      <c r="K43" s="1">
        <v>95</v>
      </c>
      <c r="L43" s="1" t="s">
        <v>37</v>
      </c>
    </row>
    <row r="44" spans="1:12" x14ac:dyDescent="0.25">
      <c r="A44" s="1" t="s">
        <v>84</v>
      </c>
      <c r="B44" s="1" t="s">
        <v>13</v>
      </c>
      <c r="C44" s="1" t="s">
        <v>29</v>
      </c>
      <c r="D44" s="1">
        <v>23</v>
      </c>
      <c r="E44" s="1" t="s">
        <v>19</v>
      </c>
      <c r="F44" s="1">
        <v>12</v>
      </c>
      <c r="G44" s="1">
        <v>27282</v>
      </c>
      <c r="H44" s="1">
        <v>11</v>
      </c>
      <c r="I44" s="1">
        <v>36</v>
      </c>
      <c r="J44" s="1">
        <v>1</v>
      </c>
      <c r="K44" s="1">
        <v>90</v>
      </c>
      <c r="L44" s="1" t="s">
        <v>32</v>
      </c>
    </row>
    <row r="45" spans="1:12" x14ac:dyDescent="0.25">
      <c r="A45" s="1" t="s">
        <v>85</v>
      </c>
      <c r="B45" s="1" t="s">
        <v>43</v>
      </c>
      <c r="C45" s="1" t="s">
        <v>14</v>
      </c>
      <c r="D45" s="1">
        <v>31</v>
      </c>
      <c r="E45" s="1" t="s">
        <v>15</v>
      </c>
      <c r="F45" s="1">
        <v>6</v>
      </c>
      <c r="G45" s="1">
        <v>33715</v>
      </c>
      <c r="H45" s="1">
        <v>10</v>
      </c>
      <c r="I45" s="1">
        <v>48</v>
      </c>
      <c r="J45" s="1">
        <v>3</v>
      </c>
      <c r="K45" s="1">
        <v>88</v>
      </c>
      <c r="L45" s="1" t="s">
        <v>16</v>
      </c>
    </row>
    <row r="46" spans="1:12" x14ac:dyDescent="0.25">
      <c r="A46" s="1" t="s">
        <v>86</v>
      </c>
      <c r="B46" s="1" t="s">
        <v>53</v>
      </c>
      <c r="C46" s="1" t="s">
        <v>14</v>
      </c>
      <c r="D46" s="1">
        <v>36</v>
      </c>
      <c r="E46" s="1" t="s">
        <v>19</v>
      </c>
      <c r="F46" s="1">
        <v>15</v>
      </c>
      <c r="G46" s="1">
        <v>55514</v>
      </c>
      <c r="H46" s="1">
        <v>3</v>
      </c>
      <c r="I46" s="1">
        <v>38</v>
      </c>
      <c r="J46" s="1">
        <v>3</v>
      </c>
      <c r="K46" s="1">
        <v>100</v>
      </c>
      <c r="L46" s="1" t="s">
        <v>16</v>
      </c>
    </row>
    <row r="47" spans="1:12" x14ac:dyDescent="0.25">
      <c r="A47" s="1" t="s">
        <v>87</v>
      </c>
      <c r="B47" s="1" t="s">
        <v>81</v>
      </c>
      <c r="C47" s="1" t="s">
        <v>29</v>
      </c>
      <c r="D47" s="1">
        <v>26</v>
      </c>
      <c r="E47" s="1" t="s">
        <v>19</v>
      </c>
      <c r="F47" s="1">
        <v>13</v>
      </c>
      <c r="G47" s="1">
        <v>79834</v>
      </c>
      <c r="H47" s="1">
        <v>4</v>
      </c>
      <c r="I47" s="1">
        <v>37</v>
      </c>
      <c r="J47" s="1">
        <v>1</v>
      </c>
      <c r="K47" s="1">
        <v>87</v>
      </c>
      <c r="L47" s="1" t="s">
        <v>26</v>
      </c>
    </row>
    <row r="48" spans="1:12" x14ac:dyDescent="0.25">
      <c r="A48" s="1" t="s">
        <v>88</v>
      </c>
      <c r="B48" s="1" t="s">
        <v>89</v>
      </c>
      <c r="C48" s="1" t="s">
        <v>29</v>
      </c>
      <c r="D48" s="1">
        <v>31</v>
      </c>
      <c r="E48" s="1" t="s">
        <v>19</v>
      </c>
      <c r="F48" s="1">
        <v>2</v>
      </c>
      <c r="G48" s="1">
        <v>41462</v>
      </c>
      <c r="H48" s="1">
        <v>13</v>
      </c>
      <c r="I48" s="1">
        <v>49</v>
      </c>
      <c r="J48" s="1">
        <v>3</v>
      </c>
      <c r="K48" s="1">
        <v>89</v>
      </c>
      <c r="L48" s="1" t="s">
        <v>16</v>
      </c>
    </row>
    <row r="49" spans="1:12" x14ac:dyDescent="0.25">
      <c r="A49" s="1" t="s">
        <v>90</v>
      </c>
      <c r="B49" s="1" t="s">
        <v>70</v>
      </c>
      <c r="C49" s="1" t="s">
        <v>22</v>
      </c>
      <c r="D49" s="1">
        <v>38</v>
      </c>
      <c r="E49" s="1" t="s">
        <v>19</v>
      </c>
      <c r="F49" s="1">
        <v>13</v>
      </c>
      <c r="G49" s="1">
        <v>55439</v>
      </c>
      <c r="H49" s="1">
        <v>6</v>
      </c>
      <c r="I49" s="1">
        <v>44</v>
      </c>
      <c r="J49" s="1">
        <v>5</v>
      </c>
      <c r="K49" s="1">
        <v>98</v>
      </c>
      <c r="L49" s="1" t="s">
        <v>26</v>
      </c>
    </row>
    <row r="50" spans="1:12" x14ac:dyDescent="0.25">
      <c r="A50" s="1" t="s">
        <v>91</v>
      </c>
      <c r="B50" s="1" t="s">
        <v>31</v>
      </c>
      <c r="C50" s="1" t="s">
        <v>25</v>
      </c>
      <c r="D50" s="1">
        <v>31</v>
      </c>
      <c r="E50" s="1" t="s">
        <v>15</v>
      </c>
      <c r="F50" s="1">
        <v>15</v>
      </c>
      <c r="G50" s="1">
        <v>52538</v>
      </c>
      <c r="H50" s="1">
        <v>6</v>
      </c>
      <c r="I50" s="1">
        <v>42</v>
      </c>
      <c r="J50" s="1">
        <v>5</v>
      </c>
      <c r="K50" s="1">
        <v>86</v>
      </c>
      <c r="L50" s="1" t="s">
        <v>51</v>
      </c>
    </row>
    <row r="51" spans="1:12" x14ac:dyDescent="0.25">
      <c r="A51" s="1" t="s">
        <v>92</v>
      </c>
      <c r="B51" s="1" t="s">
        <v>63</v>
      </c>
      <c r="C51" s="1" t="s">
        <v>22</v>
      </c>
      <c r="D51" s="1">
        <v>32</v>
      </c>
      <c r="E51" s="1" t="s">
        <v>15</v>
      </c>
      <c r="F51" s="1">
        <v>15</v>
      </c>
      <c r="G51" s="1">
        <v>40726</v>
      </c>
      <c r="H51" s="1">
        <v>10</v>
      </c>
      <c r="I51" s="1">
        <v>39</v>
      </c>
      <c r="J51" s="1">
        <v>5</v>
      </c>
      <c r="K51" s="1">
        <v>96</v>
      </c>
      <c r="L51" s="1" t="s">
        <v>16</v>
      </c>
    </row>
    <row r="52" spans="1:12" x14ac:dyDescent="0.25">
      <c r="A52" s="1" t="s">
        <v>93</v>
      </c>
      <c r="B52" s="1" t="s">
        <v>94</v>
      </c>
      <c r="C52" s="1" t="s">
        <v>29</v>
      </c>
      <c r="D52" s="1">
        <v>26</v>
      </c>
      <c r="E52" s="1" t="s">
        <v>19</v>
      </c>
      <c r="F52" s="1">
        <v>5</v>
      </c>
      <c r="G52" s="1">
        <v>60301</v>
      </c>
      <c r="H52" s="1">
        <v>12</v>
      </c>
      <c r="I52" s="1">
        <v>36</v>
      </c>
      <c r="J52" s="1">
        <v>5</v>
      </c>
      <c r="K52" s="1">
        <v>94</v>
      </c>
      <c r="L52" s="1" t="s">
        <v>26</v>
      </c>
    </row>
    <row r="53" spans="1:12" x14ac:dyDescent="0.25">
      <c r="A53" s="1" t="s">
        <v>95</v>
      </c>
      <c r="B53" s="1" t="s">
        <v>89</v>
      </c>
      <c r="C53" s="1" t="s">
        <v>14</v>
      </c>
      <c r="D53" s="1">
        <v>31</v>
      </c>
      <c r="E53" s="1" t="s">
        <v>15</v>
      </c>
      <c r="F53" s="1">
        <v>13</v>
      </c>
      <c r="G53" s="1">
        <v>49757</v>
      </c>
      <c r="H53" s="1">
        <v>9</v>
      </c>
      <c r="I53" s="1">
        <v>47</v>
      </c>
      <c r="J53" s="1">
        <v>2</v>
      </c>
      <c r="K53" s="1">
        <v>87</v>
      </c>
      <c r="L53" s="1" t="s">
        <v>32</v>
      </c>
    </row>
    <row r="54" spans="1:12" x14ac:dyDescent="0.25">
      <c r="A54" s="1" t="s">
        <v>96</v>
      </c>
      <c r="B54" s="1" t="s">
        <v>63</v>
      </c>
      <c r="C54" s="1" t="s">
        <v>14</v>
      </c>
      <c r="D54" s="1">
        <v>39</v>
      </c>
      <c r="E54" s="1" t="s">
        <v>15</v>
      </c>
      <c r="F54" s="1">
        <v>3</v>
      </c>
      <c r="G54" s="1">
        <v>37378</v>
      </c>
      <c r="H54" s="1">
        <v>7</v>
      </c>
      <c r="I54" s="1">
        <v>37</v>
      </c>
      <c r="J54" s="1">
        <v>1</v>
      </c>
      <c r="K54" s="1">
        <v>94</v>
      </c>
      <c r="L54" s="1" t="s">
        <v>16</v>
      </c>
    </row>
    <row r="55" spans="1:12" x14ac:dyDescent="0.25">
      <c r="A55" s="1" t="s">
        <v>97</v>
      </c>
      <c r="B55" s="1" t="s">
        <v>77</v>
      </c>
      <c r="C55" s="1" t="s">
        <v>29</v>
      </c>
      <c r="D55" s="1">
        <v>24</v>
      </c>
      <c r="E55" s="1" t="s">
        <v>19</v>
      </c>
      <c r="F55" s="1">
        <v>4</v>
      </c>
      <c r="G55" s="1">
        <v>33955</v>
      </c>
      <c r="H55" s="1">
        <v>14</v>
      </c>
      <c r="I55" s="1">
        <v>35</v>
      </c>
      <c r="J55" s="1">
        <v>2</v>
      </c>
      <c r="K55" s="1">
        <v>99</v>
      </c>
      <c r="L55" s="1" t="s">
        <v>37</v>
      </c>
    </row>
    <row r="56" spans="1:12" x14ac:dyDescent="0.25">
      <c r="A56" s="1" t="s">
        <v>98</v>
      </c>
      <c r="B56" s="1" t="s">
        <v>18</v>
      </c>
      <c r="C56" s="1" t="s">
        <v>22</v>
      </c>
      <c r="D56" s="1">
        <v>36</v>
      </c>
      <c r="E56" s="1" t="s">
        <v>15</v>
      </c>
      <c r="F56" s="1">
        <v>9</v>
      </c>
      <c r="G56" s="1">
        <v>70767</v>
      </c>
      <c r="H56" s="1">
        <v>8</v>
      </c>
      <c r="I56" s="1">
        <v>44</v>
      </c>
      <c r="J56" s="1">
        <v>3</v>
      </c>
      <c r="K56" s="1">
        <v>90</v>
      </c>
      <c r="L56" s="1" t="s">
        <v>26</v>
      </c>
    </row>
    <row r="57" spans="1:12" x14ac:dyDescent="0.25">
      <c r="A57" s="1" t="s">
        <v>99</v>
      </c>
      <c r="B57" s="1" t="s">
        <v>53</v>
      </c>
      <c r="C57" s="1" t="s">
        <v>22</v>
      </c>
      <c r="D57" s="1">
        <v>23</v>
      </c>
      <c r="E57" s="1" t="s">
        <v>19</v>
      </c>
      <c r="F57" s="1">
        <v>5</v>
      </c>
      <c r="G57" s="1">
        <v>53855</v>
      </c>
      <c r="H57" s="1">
        <v>10</v>
      </c>
      <c r="I57" s="1">
        <v>37</v>
      </c>
      <c r="J57" s="1">
        <v>1</v>
      </c>
      <c r="K57" s="1">
        <v>88</v>
      </c>
      <c r="L57" s="1" t="s">
        <v>23</v>
      </c>
    </row>
    <row r="58" spans="1:12" x14ac:dyDescent="0.25">
      <c r="A58" s="1" t="s">
        <v>100</v>
      </c>
      <c r="B58" s="1" t="s">
        <v>77</v>
      </c>
      <c r="C58" s="1" t="s">
        <v>14</v>
      </c>
      <c r="D58" s="1">
        <v>32</v>
      </c>
      <c r="E58" s="1" t="s">
        <v>15</v>
      </c>
      <c r="F58" s="1">
        <v>14</v>
      </c>
      <c r="G58" s="1">
        <v>27584</v>
      </c>
      <c r="H58" s="1">
        <v>11</v>
      </c>
      <c r="I58" s="1">
        <v>50</v>
      </c>
      <c r="J58" s="1">
        <v>4</v>
      </c>
      <c r="K58" s="1">
        <v>91</v>
      </c>
      <c r="L58" s="1" t="s">
        <v>32</v>
      </c>
    </row>
    <row r="59" spans="1:12" x14ac:dyDescent="0.25">
      <c r="A59" s="1" t="s">
        <v>101</v>
      </c>
      <c r="B59" s="1" t="s">
        <v>28</v>
      </c>
      <c r="C59" s="1" t="s">
        <v>29</v>
      </c>
      <c r="D59" s="1">
        <v>25</v>
      </c>
      <c r="E59" s="1" t="s">
        <v>19</v>
      </c>
      <c r="F59" s="1">
        <v>11</v>
      </c>
      <c r="G59" s="1">
        <v>79604</v>
      </c>
      <c r="H59" s="1">
        <v>7</v>
      </c>
      <c r="I59" s="1">
        <v>37</v>
      </c>
      <c r="J59" s="1">
        <v>4</v>
      </c>
      <c r="K59" s="1">
        <v>100</v>
      </c>
      <c r="L59" s="1" t="s">
        <v>51</v>
      </c>
    </row>
    <row r="60" spans="1:12" x14ac:dyDescent="0.25">
      <c r="A60" s="1" t="s">
        <v>102</v>
      </c>
      <c r="B60" s="1" t="s">
        <v>94</v>
      </c>
      <c r="C60" s="1" t="s">
        <v>22</v>
      </c>
      <c r="D60" s="1">
        <v>25</v>
      </c>
      <c r="E60" s="1" t="s">
        <v>15</v>
      </c>
      <c r="F60" s="1">
        <v>15</v>
      </c>
      <c r="G60" s="1">
        <v>28874</v>
      </c>
      <c r="H60" s="1">
        <v>13</v>
      </c>
      <c r="I60" s="1">
        <v>41</v>
      </c>
      <c r="J60" s="1">
        <v>2</v>
      </c>
      <c r="K60" s="1">
        <v>95</v>
      </c>
      <c r="L60" s="1" t="s">
        <v>37</v>
      </c>
    </row>
    <row r="61" spans="1:12" x14ac:dyDescent="0.25">
      <c r="A61" s="1" t="s">
        <v>103</v>
      </c>
      <c r="B61" s="1" t="s">
        <v>89</v>
      </c>
      <c r="C61" s="1" t="s">
        <v>29</v>
      </c>
      <c r="D61" s="1">
        <v>34</v>
      </c>
      <c r="E61" s="1" t="s">
        <v>19</v>
      </c>
      <c r="F61" s="1">
        <v>1</v>
      </c>
      <c r="G61" s="1">
        <v>62090</v>
      </c>
      <c r="H61" s="1">
        <v>10</v>
      </c>
      <c r="I61" s="1">
        <v>45</v>
      </c>
      <c r="J61" s="1">
        <v>4</v>
      </c>
      <c r="K61" s="1">
        <v>89</v>
      </c>
      <c r="L61" s="1" t="s">
        <v>23</v>
      </c>
    </row>
    <row r="62" spans="1:12" x14ac:dyDescent="0.25">
      <c r="A62" s="1" t="s">
        <v>104</v>
      </c>
      <c r="B62" s="1" t="s">
        <v>63</v>
      </c>
      <c r="C62" s="1" t="s">
        <v>25</v>
      </c>
      <c r="D62" s="1">
        <v>29</v>
      </c>
      <c r="E62" s="1" t="s">
        <v>15</v>
      </c>
      <c r="F62" s="1">
        <v>1</v>
      </c>
      <c r="G62" s="1">
        <v>37183</v>
      </c>
      <c r="H62" s="1">
        <v>10</v>
      </c>
      <c r="I62" s="1">
        <v>37</v>
      </c>
      <c r="J62" s="1">
        <v>4</v>
      </c>
      <c r="K62" s="1">
        <v>91</v>
      </c>
      <c r="L62" s="1" t="s">
        <v>51</v>
      </c>
    </row>
    <row r="63" spans="1:12" x14ac:dyDescent="0.25">
      <c r="A63" s="1" t="s">
        <v>105</v>
      </c>
      <c r="B63" s="1" t="s">
        <v>13</v>
      </c>
      <c r="C63" s="1" t="s">
        <v>14</v>
      </c>
      <c r="D63" s="1">
        <v>27</v>
      </c>
      <c r="E63" s="1" t="s">
        <v>19</v>
      </c>
      <c r="F63" s="1">
        <v>5</v>
      </c>
      <c r="G63" s="1">
        <v>56535</v>
      </c>
      <c r="H63" s="1">
        <v>5</v>
      </c>
      <c r="I63" s="1">
        <v>50</v>
      </c>
      <c r="J63" s="1">
        <v>4</v>
      </c>
      <c r="K63" s="1">
        <v>95</v>
      </c>
      <c r="L63" s="1" t="s">
        <v>26</v>
      </c>
    </row>
    <row r="64" spans="1:12" x14ac:dyDescent="0.25">
      <c r="A64" s="1" t="s">
        <v>106</v>
      </c>
      <c r="B64" s="1" t="s">
        <v>75</v>
      </c>
      <c r="C64" s="1" t="s">
        <v>29</v>
      </c>
      <c r="D64" s="1">
        <v>38</v>
      </c>
      <c r="E64" s="1" t="s">
        <v>19</v>
      </c>
      <c r="F64" s="1">
        <v>3</v>
      </c>
      <c r="G64" s="1">
        <v>44152</v>
      </c>
      <c r="H64" s="1">
        <v>9</v>
      </c>
      <c r="I64" s="1">
        <v>45</v>
      </c>
      <c r="J64" s="1">
        <v>2</v>
      </c>
      <c r="K64" s="1">
        <v>100</v>
      </c>
      <c r="L64" s="1" t="s">
        <v>16</v>
      </c>
    </row>
    <row r="65" spans="1:12" x14ac:dyDescent="0.25">
      <c r="A65" s="1" t="s">
        <v>107</v>
      </c>
      <c r="B65" s="1" t="s">
        <v>70</v>
      </c>
      <c r="C65" s="1" t="s">
        <v>25</v>
      </c>
      <c r="D65" s="1">
        <v>28</v>
      </c>
      <c r="E65" s="1" t="s">
        <v>19</v>
      </c>
      <c r="F65" s="1">
        <v>4</v>
      </c>
      <c r="G65" s="1">
        <v>78320</v>
      </c>
      <c r="H65" s="1">
        <v>15</v>
      </c>
      <c r="I65" s="1">
        <v>45</v>
      </c>
      <c r="J65" s="1">
        <v>5</v>
      </c>
      <c r="K65" s="1">
        <v>89</v>
      </c>
      <c r="L65" s="1" t="s">
        <v>23</v>
      </c>
    </row>
    <row r="66" spans="1:12" x14ac:dyDescent="0.25">
      <c r="A66" s="1" t="s">
        <v>108</v>
      </c>
      <c r="B66" s="1" t="s">
        <v>63</v>
      </c>
      <c r="C66" s="1" t="s">
        <v>14</v>
      </c>
      <c r="D66" s="1">
        <v>38</v>
      </c>
      <c r="E66" s="1" t="s">
        <v>19</v>
      </c>
      <c r="F66" s="1">
        <v>1</v>
      </c>
      <c r="G66" s="1">
        <v>76311</v>
      </c>
      <c r="H66" s="1">
        <v>4</v>
      </c>
      <c r="I66" s="1">
        <v>38</v>
      </c>
      <c r="J66" s="1">
        <v>1</v>
      </c>
      <c r="K66" s="1">
        <v>93</v>
      </c>
      <c r="L66" s="1" t="s">
        <v>23</v>
      </c>
    </row>
    <row r="67" spans="1:12" x14ac:dyDescent="0.25">
      <c r="A67" s="1" t="s">
        <v>109</v>
      </c>
      <c r="B67" s="1" t="s">
        <v>40</v>
      </c>
      <c r="C67" s="1" t="s">
        <v>14</v>
      </c>
      <c r="D67" s="1">
        <v>33</v>
      </c>
      <c r="E67" s="1" t="s">
        <v>15</v>
      </c>
      <c r="F67" s="1">
        <v>2</v>
      </c>
      <c r="G67" s="1">
        <v>76765</v>
      </c>
      <c r="H67" s="1">
        <v>6</v>
      </c>
      <c r="I67" s="1">
        <v>48</v>
      </c>
      <c r="J67" s="1">
        <v>5</v>
      </c>
      <c r="K67" s="1">
        <v>87</v>
      </c>
      <c r="L67" s="1" t="s">
        <v>37</v>
      </c>
    </row>
    <row r="68" spans="1:12" x14ac:dyDescent="0.25">
      <c r="A68" s="1" t="s">
        <v>110</v>
      </c>
      <c r="B68" s="1" t="s">
        <v>81</v>
      </c>
      <c r="C68" s="1" t="s">
        <v>22</v>
      </c>
      <c r="D68" s="1">
        <v>34</v>
      </c>
      <c r="E68" s="1" t="s">
        <v>15</v>
      </c>
      <c r="F68" s="1">
        <v>3</v>
      </c>
      <c r="G68" s="1">
        <v>53110</v>
      </c>
      <c r="H68" s="1">
        <v>12</v>
      </c>
      <c r="I68" s="1">
        <v>49</v>
      </c>
      <c r="J68" s="1">
        <v>1</v>
      </c>
      <c r="K68" s="1">
        <v>90</v>
      </c>
      <c r="L68" s="1" t="s">
        <v>23</v>
      </c>
    </row>
    <row r="69" spans="1:12" x14ac:dyDescent="0.25">
      <c r="A69" s="1" t="s">
        <v>111</v>
      </c>
      <c r="B69" s="1" t="s">
        <v>77</v>
      </c>
      <c r="C69" s="1" t="s">
        <v>22</v>
      </c>
      <c r="D69" s="1">
        <v>26</v>
      </c>
      <c r="E69" s="1" t="s">
        <v>19</v>
      </c>
      <c r="F69" s="1">
        <v>3</v>
      </c>
      <c r="G69" s="1">
        <v>60011</v>
      </c>
      <c r="H69" s="1">
        <v>15</v>
      </c>
      <c r="I69" s="1">
        <v>47</v>
      </c>
      <c r="J69" s="1">
        <v>5</v>
      </c>
      <c r="K69" s="1">
        <v>100</v>
      </c>
      <c r="L69" s="1" t="s">
        <v>51</v>
      </c>
    </row>
    <row r="70" spans="1:12" x14ac:dyDescent="0.25">
      <c r="A70" s="1" t="s">
        <v>112</v>
      </c>
      <c r="B70" s="1" t="s">
        <v>43</v>
      </c>
      <c r="C70" s="1" t="s">
        <v>25</v>
      </c>
      <c r="D70" s="1">
        <v>39</v>
      </c>
      <c r="E70" s="1" t="s">
        <v>19</v>
      </c>
      <c r="F70" s="1">
        <v>6</v>
      </c>
      <c r="G70" s="1">
        <v>35241</v>
      </c>
      <c r="H70" s="1">
        <v>11</v>
      </c>
      <c r="I70" s="1">
        <v>47</v>
      </c>
      <c r="J70" s="1">
        <v>3</v>
      </c>
      <c r="K70" s="1">
        <v>96</v>
      </c>
      <c r="L70" s="1" t="s">
        <v>26</v>
      </c>
    </row>
    <row r="71" spans="1:12" x14ac:dyDescent="0.25">
      <c r="A71" s="1" t="s">
        <v>113</v>
      </c>
      <c r="B71" s="1" t="s">
        <v>77</v>
      </c>
      <c r="C71" s="1" t="s">
        <v>25</v>
      </c>
      <c r="D71" s="1">
        <v>35</v>
      </c>
      <c r="E71" s="1" t="s">
        <v>19</v>
      </c>
      <c r="F71" s="1">
        <v>14</v>
      </c>
      <c r="G71" s="1">
        <v>30444</v>
      </c>
      <c r="H71" s="1">
        <v>12</v>
      </c>
      <c r="I71" s="1">
        <v>45</v>
      </c>
      <c r="J71" s="1">
        <v>4</v>
      </c>
      <c r="K71" s="1">
        <v>88</v>
      </c>
      <c r="L71" s="1" t="s">
        <v>26</v>
      </c>
    </row>
    <row r="72" spans="1:12" x14ac:dyDescent="0.25">
      <c r="A72" s="1" t="s">
        <v>114</v>
      </c>
      <c r="B72" s="1" t="s">
        <v>31</v>
      </c>
      <c r="C72" s="1" t="s">
        <v>14</v>
      </c>
      <c r="D72" s="1">
        <v>25</v>
      </c>
      <c r="E72" s="1" t="s">
        <v>15</v>
      </c>
      <c r="F72" s="1">
        <v>10</v>
      </c>
      <c r="G72" s="1">
        <v>34778</v>
      </c>
      <c r="H72" s="1">
        <v>12</v>
      </c>
      <c r="I72" s="1">
        <v>37</v>
      </c>
      <c r="J72" s="1">
        <v>5</v>
      </c>
      <c r="K72" s="1">
        <v>92</v>
      </c>
      <c r="L72" s="1" t="s">
        <v>37</v>
      </c>
    </row>
    <row r="73" spans="1:12" x14ac:dyDescent="0.25">
      <c r="A73" s="1" t="s">
        <v>115</v>
      </c>
      <c r="B73" s="1" t="s">
        <v>45</v>
      </c>
      <c r="C73" s="1" t="s">
        <v>14</v>
      </c>
      <c r="D73" s="1">
        <v>33</v>
      </c>
      <c r="E73" s="1" t="s">
        <v>19</v>
      </c>
      <c r="F73" s="1">
        <v>8</v>
      </c>
      <c r="G73" s="1">
        <v>62295</v>
      </c>
      <c r="H73" s="1">
        <v>4</v>
      </c>
      <c r="I73" s="1">
        <v>38</v>
      </c>
      <c r="J73" s="1">
        <v>5</v>
      </c>
      <c r="K73" s="1">
        <v>94</v>
      </c>
      <c r="L73" s="1" t="s">
        <v>26</v>
      </c>
    </row>
    <row r="74" spans="1:12" x14ac:dyDescent="0.25">
      <c r="A74" s="1" t="s">
        <v>116</v>
      </c>
      <c r="B74" s="1" t="s">
        <v>70</v>
      </c>
      <c r="C74" s="1" t="s">
        <v>29</v>
      </c>
      <c r="D74" s="1">
        <v>38</v>
      </c>
      <c r="E74" s="1" t="s">
        <v>19</v>
      </c>
      <c r="F74" s="1">
        <v>1</v>
      </c>
      <c r="G74" s="1">
        <v>40792</v>
      </c>
      <c r="H74" s="1">
        <v>12</v>
      </c>
      <c r="I74" s="1">
        <v>47</v>
      </c>
      <c r="J74" s="1">
        <v>5</v>
      </c>
      <c r="K74" s="1">
        <v>100</v>
      </c>
      <c r="L74" s="1" t="s">
        <v>26</v>
      </c>
    </row>
    <row r="75" spans="1:12" x14ac:dyDescent="0.25">
      <c r="A75" s="1" t="s">
        <v>117</v>
      </c>
      <c r="B75" s="1" t="s">
        <v>40</v>
      </c>
      <c r="C75" s="1" t="s">
        <v>25</v>
      </c>
      <c r="D75" s="1">
        <v>26</v>
      </c>
      <c r="E75" s="1" t="s">
        <v>19</v>
      </c>
      <c r="F75" s="1">
        <v>7</v>
      </c>
      <c r="G75" s="1">
        <v>63858</v>
      </c>
      <c r="H75" s="1">
        <v>6</v>
      </c>
      <c r="I75" s="1">
        <v>50</v>
      </c>
      <c r="J75" s="1">
        <v>5</v>
      </c>
      <c r="K75" s="1">
        <v>92</v>
      </c>
      <c r="L75" s="1" t="s">
        <v>51</v>
      </c>
    </row>
    <row r="76" spans="1:12" x14ac:dyDescent="0.25">
      <c r="A76" s="1" t="s">
        <v>118</v>
      </c>
      <c r="B76" s="1" t="s">
        <v>89</v>
      </c>
      <c r="C76" s="1" t="s">
        <v>14</v>
      </c>
      <c r="D76" s="1">
        <v>39</v>
      </c>
      <c r="E76" s="1" t="s">
        <v>19</v>
      </c>
      <c r="F76" s="1">
        <v>15</v>
      </c>
      <c r="G76" s="1">
        <v>33769</v>
      </c>
      <c r="H76" s="1">
        <v>8</v>
      </c>
      <c r="I76" s="1">
        <v>43</v>
      </c>
      <c r="J76" s="1">
        <v>3</v>
      </c>
      <c r="K76" s="1">
        <v>91</v>
      </c>
      <c r="L76" s="1" t="s">
        <v>26</v>
      </c>
    </row>
    <row r="77" spans="1:12" x14ac:dyDescent="0.25">
      <c r="A77" s="1" t="s">
        <v>119</v>
      </c>
      <c r="B77" s="1" t="s">
        <v>13</v>
      </c>
      <c r="C77" s="1" t="s">
        <v>22</v>
      </c>
      <c r="D77" s="1">
        <v>38</v>
      </c>
      <c r="E77" s="1" t="s">
        <v>15</v>
      </c>
      <c r="F77" s="1">
        <v>10</v>
      </c>
      <c r="G77" s="1">
        <v>48173</v>
      </c>
      <c r="H77" s="1">
        <v>8</v>
      </c>
      <c r="I77" s="1">
        <v>35</v>
      </c>
      <c r="J77" s="1">
        <v>4</v>
      </c>
      <c r="K77" s="1">
        <v>91</v>
      </c>
      <c r="L77" s="1" t="s">
        <v>26</v>
      </c>
    </row>
    <row r="78" spans="1:12" x14ac:dyDescent="0.25">
      <c r="A78" s="1" t="s">
        <v>120</v>
      </c>
      <c r="B78" s="1" t="s">
        <v>89</v>
      </c>
      <c r="C78" s="1" t="s">
        <v>22</v>
      </c>
      <c r="D78" s="1">
        <v>33</v>
      </c>
      <c r="E78" s="1" t="s">
        <v>15</v>
      </c>
      <c r="F78" s="1">
        <v>3</v>
      </c>
      <c r="G78" s="1">
        <v>41031</v>
      </c>
      <c r="H78" s="1">
        <v>14</v>
      </c>
      <c r="I78" s="1">
        <v>35</v>
      </c>
      <c r="J78" s="1">
        <v>5</v>
      </c>
      <c r="K78" s="1">
        <v>97</v>
      </c>
      <c r="L78" s="1" t="s">
        <v>32</v>
      </c>
    </row>
    <row r="79" spans="1:12" x14ac:dyDescent="0.25">
      <c r="A79" s="1" t="s">
        <v>121</v>
      </c>
      <c r="B79" s="1" t="s">
        <v>94</v>
      </c>
      <c r="C79" s="1" t="s">
        <v>14</v>
      </c>
      <c r="D79" s="1">
        <v>22</v>
      </c>
      <c r="E79" s="1" t="s">
        <v>19</v>
      </c>
      <c r="F79" s="1">
        <v>12</v>
      </c>
      <c r="G79" s="1">
        <v>43521</v>
      </c>
      <c r="H79" s="1">
        <v>6</v>
      </c>
      <c r="I79" s="1">
        <v>38</v>
      </c>
      <c r="J79" s="1">
        <v>3</v>
      </c>
      <c r="K79" s="1">
        <v>89</v>
      </c>
      <c r="L79" s="1" t="s">
        <v>32</v>
      </c>
    </row>
    <row r="80" spans="1:12" x14ac:dyDescent="0.25">
      <c r="A80" s="1" t="s">
        <v>122</v>
      </c>
      <c r="B80" s="1" t="s">
        <v>43</v>
      </c>
      <c r="C80" s="1" t="s">
        <v>25</v>
      </c>
      <c r="D80" s="1">
        <v>22</v>
      </c>
      <c r="E80" s="1" t="s">
        <v>19</v>
      </c>
      <c r="F80" s="1">
        <v>8</v>
      </c>
      <c r="G80" s="1">
        <v>31915</v>
      </c>
      <c r="H80" s="1">
        <v>6</v>
      </c>
      <c r="I80" s="1">
        <v>42</v>
      </c>
      <c r="J80" s="1">
        <v>1</v>
      </c>
      <c r="K80" s="1">
        <v>93</v>
      </c>
      <c r="L80" s="1" t="s">
        <v>51</v>
      </c>
    </row>
    <row r="81" spans="1:12" x14ac:dyDescent="0.25">
      <c r="A81" s="1" t="s">
        <v>123</v>
      </c>
      <c r="B81" s="1" t="s">
        <v>77</v>
      </c>
      <c r="C81" s="1" t="s">
        <v>22</v>
      </c>
      <c r="D81" s="1">
        <v>27</v>
      </c>
      <c r="E81" s="1" t="s">
        <v>15</v>
      </c>
      <c r="F81" s="1">
        <v>6</v>
      </c>
      <c r="G81" s="1">
        <v>25042</v>
      </c>
      <c r="H81" s="1">
        <v>14</v>
      </c>
      <c r="I81" s="1">
        <v>45</v>
      </c>
      <c r="J81" s="1">
        <v>5</v>
      </c>
      <c r="K81" s="1">
        <v>93</v>
      </c>
      <c r="L81" s="1" t="s">
        <v>37</v>
      </c>
    </row>
    <row r="82" spans="1:12" x14ac:dyDescent="0.25">
      <c r="A82" s="1" t="s">
        <v>124</v>
      </c>
      <c r="B82" s="1" t="s">
        <v>77</v>
      </c>
      <c r="C82" s="1" t="s">
        <v>25</v>
      </c>
      <c r="D82" s="1">
        <v>33</v>
      </c>
      <c r="E82" s="1" t="s">
        <v>15</v>
      </c>
      <c r="F82" s="1">
        <v>11</v>
      </c>
      <c r="G82" s="1">
        <v>42168</v>
      </c>
      <c r="H82" s="1">
        <v>5</v>
      </c>
      <c r="I82" s="1">
        <v>50</v>
      </c>
      <c r="J82" s="1">
        <v>1</v>
      </c>
      <c r="K82" s="1">
        <v>97</v>
      </c>
      <c r="L82" s="1" t="s">
        <v>16</v>
      </c>
    </row>
    <row r="83" spans="1:12" x14ac:dyDescent="0.25">
      <c r="A83" s="1" t="s">
        <v>125</v>
      </c>
      <c r="B83" s="1" t="s">
        <v>53</v>
      </c>
      <c r="C83" s="1" t="s">
        <v>22</v>
      </c>
      <c r="D83" s="1">
        <v>30</v>
      </c>
      <c r="E83" s="1" t="s">
        <v>19</v>
      </c>
      <c r="F83" s="1">
        <v>10</v>
      </c>
      <c r="G83" s="1">
        <v>73986</v>
      </c>
      <c r="H83" s="1">
        <v>11</v>
      </c>
      <c r="I83" s="1">
        <v>49</v>
      </c>
      <c r="J83" s="1">
        <v>5</v>
      </c>
      <c r="K83" s="1">
        <v>97</v>
      </c>
      <c r="L83" s="1" t="s">
        <v>32</v>
      </c>
    </row>
    <row r="84" spans="1:12" x14ac:dyDescent="0.25">
      <c r="A84" s="1" t="s">
        <v>126</v>
      </c>
      <c r="B84" s="1" t="s">
        <v>81</v>
      </c>
      <c r="C84" s="1" t="s">
        <v>29</v>
      </c>
      <c r="D84" s="1">
        <v>36</v>
      </c>
      <c r="E84" s="1" t="s">
        <v>19</v>
      </c>
      <c r="F84" s="1">
        <v>2</v>
      </c>
      <c r="G84" s="1">
        <v>34409</v>
      </c>
      <c r="H84" s="1">
        <v>14</v>
      </c>
      <c r="I84" s="1">
        <v>36</v>
      </c>
      <c r="J84" s="1">
        <v>3</v>
      </c>
      <c r="K84" s="1">
        <v>100</v>
      </c>
      <c r="L84" s="1" t="s">
        <v>26</v>
      </c>
    </row>
    <row r="85" spans="1:12" x14ac:dyDescent="0.25">
      <c r="A85" s="1" t="s">
        <v>127</v>
      </c>
      <c r="B85" s="1" t="s">
        <v>81</v>
      </c>
      <c r="C85" s="1" t="s">
        <v>25</v>
      </c>
      <c r="D85" s="1">
        <v>28</v>
      </c>
      <c r="E85" s="1" t="s">
        <v>19</v>
      </c>
      <c r="F85" s="1">
        <v>3</v>
      </c>
      <c r="G85" s="1">
        <v>40095</v>
      </c>
      <c r="H85" s="1">
        <v>15</v>
      </c>
      <c r="I85" s="1">
        <v>48</v>
      </c>
      <c r="J85" s="1">
        <v>4</v>
      </c>
      <c r="K85" s="1">
        <v>85</v>
      </c>
      <c r="L85" s="1" t="s">
        <v>32</v>
      </c>
    </row>
    <row r="86" spans="1:12" x14ac:dyDescent="0.25">
      <c r="A86" s="1" t="s">
        <v>128</v>
      </c>
      <c r="B86" s="1" t="s">
        <v>63</v>
      </c>
      <c r="C86" s="1" t="s">
        <v>22</v>
      </c>
      <c r="D86" s="1">
        <v>22</v>
      </c>
      <c r="E86" s="1" t="s">
        <v>19</v>
      </c>
      <c r="F86" s="1">
        <v>12</v>
      </c>
      <c r="G86" s="1">
        <v>36015</v>
      </c>
      <c r="H86" s="1">
        <v>8</v>
      </c>
      <c r="I86" s="1">
        <v>44</v>
      </c>
      <c r="J86" s="1">
        <v>5</v>
      </c>
      <c r="K86" s="1">
        <v>99</v>
      </c>
      <c r="L86" s="1" t="s">
        <v>23</v>
      </c>
    </row>
    <row r="87" spans="1:12" x14ac:dyDescent="0.25">
      <c r="A87" s="1" t="s">
        <v>129</v>
      </c>
      <c r="B87" s="1" t="s">
        <v>70</v>
      </c>
      <c r="C87" s="1" t="s">
        <v>14</v>
      </c>
      <c r="D87" s="1">
        <v>32</v>
      </c>
      <c r="E87" s="1" t="s">
        <v>15</v>
      </c>
      <c r="F87" s="1">
        <v>10</v>
      </c>
      <c r="G87" s="1">
        <v>74010</v>
      </c>
      <c r="H87" s="1">
        <v>9</v>
      </c>
      <c r="I87" s="1">
        <v>41</v>
      </c>
      <c r="J87" s="1">
        <v>5</v>
      </c>
      <c r="K87" s="1">
        <v>88</v>
      </c>
      <c r="L87" s="1" t="s">
        <v>51</v>
      </c>
    </row>
    <row r="88" spans="1:12" x14ac:dyDescent="0.25">
      <c r="A88" s="1" t="s">
        <v>130</v>
      </c>
      <c r="B88" s="1" t="s">
        <v>75</v>
      </c>
      <c r="C88" s="1" t="s">
        <v>14</v>
      </c>
      <c r="D88" s="1">
        <v>27</v>
      </c>
      <c r="E88" s="1" t="s">
        <v>19</v>
      </c>
      <c r="F88" s="1">
        <v>3</v>
      </c>
      <c r="G88" s="1">
        <v>31087</v>
      </c>
      <c r="H88" s="1">
        <v>6</v>
      </c>
      <c r="I88" s="1">
        <v>47</v>
      </c>
      <c r="J88" s="1">
        <v>4</v>
      </c>
      <c r="K88" s="1">
        <v>85</v>
      </c>
      <c r="L88" s="1" t="s">
        <v>32</v>
      </c>
    </row>
    <row r="89" spans="1:12" x14ac:dyDescent="0.25">
      <c r="A89" s="1" t="s">
        <v>131</v>
      </c>
      <c r="B89" s="1" t="s">
        <v>63</v>
      </c>
      <c r="C89" s="1" t="s">
        <v>22</v>
      </c>
      <c r="D89" s="1">
        <v>39</v>
      </c>
      <c r="E89" s="1" t="s">
        <v>15</v>
      </c>
      <c r="F89" s="1">
        <v>1</v>
      </c>
      <c r="G89" s="1">
        <v>53482</v>
      </c>
      <c r="H89" s="1">
        <v>5</v>
      </c>
      <c r="I89" s="1">
        <v>42</v>
      </c>
      <c r="J89" s="1">
        <v>4</v>
      </c>
      <c r="K89" s="1">
        <v>92</v>
      </c>
      <c r="L89" s="1" t="s">
        <v>23</v>
      </c>
    </row>
    <row r="90" spans="1:12" x14ac:dyDescent="0.25">
      <c r="A90" s="1" t="s">
        <v>132</v>
      </c>
      <c r="B90" s="1" t="s">
        <v>63</v>
      </c>
      <c r="C90" s="1" t="s">
        <v>22</v>
      </c>
      <c r="D90" s="1">
        <v>40</v>
      </c>
      <c r="E90" s="1" t="s">
        <v>15</v>
      </c>
      <c r="F90" s="1">
        <v>14</v>
      </c>
      <c r="G90" s="1">
        <v>33562</v>
      </c>
      <c r="H90" s="1">
        <v>14</v>
      </c>
      <c r="I90" s="1">
        <v>48</v>
      </c>
      <c r="J90" s="1">
        <v>1</v>
      </c>
      <c r="K90" s="1">
        <v>95</v>
      </c>
      <c r="L90" s="1" t="s">
        <v>51</v>
      </c>
    </row>
    <row r="91" spans="1:12" x14ac:dyDescent="0.25">
      <c r="A91" s="1" t="s">
        <v>133</v>
      </c>
      <c r="B91" s="1" t="s">
        <v>21</v>
      </c>
      <c r="C91" s="1" t="s">
        <v>29</v>
      </c>
      <c r="D91" s="1">
        <v>25</v>
      </c>
      <c r="E91" s="1" t="s">
        <v>19</v>
      </c>
      <c r="F91" s="1">
        <v>9</v>
      </c>
      <c r="G91" s="1">
        <v>40531</v>
      </c>
      <c r="H91" s="1">
        <v>6</v>
      </c>
      <c r="I91" s="1">
        <v>45</v>
      </c>
      <c r="J91" s="1">
        <v>3</v>
      </c>
      <c r="K91" s="1">
        <v>86</v>
      </c>
      <c r="L91" s="1" t="s">
        <v>23</v>
      </c>
    </row>
    <row r="92" spans="1:12" x14ac:dyDescent="0.25">
      <c r="A92" s="1" t="s">
        <v>134</v>
      </c>
      <c r="B92" s="1" t="s">
        <v>18</v>
      </c>
      <c r="C92" s="1" t="s">
        <v>14</v>
      </c>
      <c r="D92" s="1">
        <v>40</v>
      </c>
      <c r="E92" s="1" t="s">
        <v>19</v>
      </c>
      <c r="F92" s="1">
        <v>1</v>
      </c>
      <c r="G92" s="1">
        <v>29211</v>
      </c>
      <c r="H92" s="1">
        <v>6</v>
      </c>
      <c r="I92" s="1">
        <v>36</v>
      </c>
      <c r="J92" s="1">
        <v>3</v>
      </c>
      <c r="K92" s="1">
        <v>93</v>
      </c>
      <c r="L92" s="1" t="s">
        <v>37</v>
      </c>
    </row>
    <row r="93" spans="1:12" x14ac:dyDescent="0.25">
      <c r="A93" s="1" t="s">
        <v>135</v>
      </c>
      <c r="B93" s="1" t="s">
        <v>28</v>
      </c>
      <c r="C93" s="1" t="s">
        <v>14</v>
      </c>
      <c r="D93" s="1">
        <v>36</v>
      </c>
      <c r="E93" s="1" t="s">
        <v>15</v>
      </c>
      <c r="F93" s="1">
        <v>5</v>
      </c>
      <c r="G93" s="1">
        <v>28253</v>
      </c>
      <c r="H93" s="1">
        <v>8</v>
      </c>
      <c r="I93" s="1">
        <v>46</v>
      </c>
      <c r="J93" s="1">
        <v>3</v>
      </c>
      <c r="K93" s="1">
        <v>94</v>
      </c>
      <c r="L93" s="1" t="s">
        <v>23</v>
      </c>
    </row>
    <row r="94" spans="1:12" x14ac:dyDescent="0.25">
      <c r="A94" s="1" t="s">
        <v>136</v>
      </c>
      <c r="B94" s="1" t="s">
        <v>94</v>
      </c>
      <c r="C94" s="1" t="s">
        <v>29</v>
      </c>
      <c r="D94" s="1">
        <v>40</v>
      </c>
      <c r="E94" s="1" t="s">
        <v>15</v>
      </c>
      <c r="F94" s="1">
        <v>3</v>
      </c>
      <c r="G94" s="1">
        <v>32379</v>
      </c>
      <c r="H94" s="1">
        <v>5</v>
      </c>
      <c r="I94" s="1">
        <v>48</v>
      </c>
      <c r="J94" s="1">
        <v>2</v>
      </c>
      <c r="K94" s="1">
        <v>97</v>
      </c>
      <c r="L94" s="1" t="s">
        <v>51</v>
      </c>
    </row>
    <row r="95" spans="1:12" x14ac:dyDescent="0.25">
      <c r="A95" s="1" t="s">
        <v>137</v>
      </c>
      <c r="B95" s="1" t="s">
        <v>70</v>
      </c>
      <c r="C95" s="1" t="s">
        <v>22</v>
      </c>
      <c r="D95" s="1">
        <v>32</v>
      </c>
      <c r="E95" s="1" t="s">
        <v>19</v>
      </c>
      <c r="F95" s="1">
        <v>13</v>
      </c>
      <c r="G95" s="1">
        <v>65786</v>
      </c>
      <c r="H95" s="1">
        <v>3</v>
      </c>
      <c r="I95" s="1">
        <v>41</v>
      </c>
      <c r="J95" s="1">
        <v>5</v>
      </c>
      <c r="K95" s="1">
        <v>99</v>
      </c>
      <c r="L95" s="1" t="s">
        <v>16</v>
      </c>
    </row>
    <row r="96" spans="1:12" x14ac:dyDescent="0.25">
      <c r="A96" s="1" t="s">
        <v>138</v>
      </c>
      <c r="B96" s="1" t="s">
        <v>70</v>
      </c>
      <c r="C96" s="1" t="s">
        <v>22</v>
      </c>
      <c r="D96" s="1">
        <v>26</v>
      </c>
      <c r="E96" s="1" t="s">
        <v>19</v>
      </c>
      <c r="F96" s="1">
        <v>7</v>
      </c>
      <c r="G96" s="1">
        <v>41578</v>
      </c>
      <c r="H96" s="1">
        <v>3</v>
      </c>
      <c r="I96" s="1">
        <v>47</v>
      </c>
      <c r="J96" s="1">
        <v>5</v>
      </c>
      <c r="K96" s="1">
        <v>88</v>
      </c>
      <c r="L96" s="1" t="s">
        <v>23</v>
      </c>
    </row>
    <row r="97" spans="1:12" x14ac:dyDescent="0.25">
      <c r="A97" s="1" t="s">
        <v>139</v>
      </c>
      <c r="B97" s="1" t="s">
        <v>40</v>
      </c>
      <c r="C97" s="1" t="s">
        <v>14</v>
      </c>
      <c r="D97" s="1">
        <v>23</v>
      </c>
      <c r="E97" s="1" t="s">
        <v>19</v>
      </c>
      <c r="F97" s="1">
        <v>6</v>
      </c>
      <c r="G97" s="1">
        <v>67517</v>
      </c>
      <c r="H97" s="1">
        <v>12</v>
      </c>
      <c r="I97" s="1">
        <v>37</v>
      </c>
      <c r="J97" s="1">
        <v>3</v>
      </c>
      <c r="K97" s="1">
        <v>87</v>
      </c>
      <c r="L97" s="1" t="s">
        <v>23</v>
      </c>
    </row>
    <row r="98" spans="1:12" x14ac:dyDescent="0.25">
      <c r="A98" s="1" t="s">
        <v>140</v>
      </c>
      <c r="B98" s="1" t="s">
        <v>31</v>
      </c>
      <c r="C98" s="1" t="s">
        <v>25</v>
      </c>
      <c r="D98" s="1">
        <v>27</v>
      </c>
      <c r="E98" s="1" t="s">
        <v>19</v>
      </c>
      <c r="F98" s="1">
        <v>12</v>
      </c>
      <c r="G98" s="1">
        <v>36903</v>
      </c>
      <c r="H98" s="1">
        <v>8</v>
      </c>
      <c r="I98" s="1">
        <v>44</v>
      </c>
      <c r="J98" s="1">
        <v>3</v>
      </c>
      <c r="K98" s="1">
        <v>99</v>
      </c>
      <c r="L98" s="1" t="s">
        <v>37</v>
      </c>
    </row>
    <row r="99" spans="1:12" x14ac:dyDescent="0.25">
      <c r="A99" s="1" t="s">
        <v>141</v>
      </c>
      <c r="B99" s="1" t="s">
        <v>89</v>
      </c>
      <c r="C99" s="1" t="s">
        <v>22</v>
      </c>
      <c r="D99" s="1">
        <v>39</v>
      </c>
      <c r="E99" s="1" t="s">
        <v>15</v>
      </c>
      <c r="F99" s="1">
        <v>6</v>
      </c>
      <c r="G99" s="1">
        <v>58953</v>
      </c>
      <c r="H99" s="1">
        <v>5</v>
      </c>
      <c r="I99" s="1">
        <v>43</v>
      </c>
      <c r="J99" s="1">
        <v>2</v>
      </c>
      <c r="K99" s="1">
        <v>97</v>
      </c>
      <c r="L99" s="1" t="s">
        <v>51</v>
      </c>
    </row>
    <row r="100" spans="1:12" x14ac:dyDescent="0.25">
      <c r="A100" s="1" t="s">
        <v>142</v>
      </c>
      <c r="B100" s="1" t="s">
        <v>21</v>
      </c>
      <c r="C100" s="1" t="s">
        <v>29</v>
      </c>
      <c r="D100" s="1">
        <v>28</v>
      </c>
      <c r="E100" s="1" t="s">
        <v>15</v>
      </c>
      <c r="F100" s="1">
        <v>9</v>
      </c>
      <c r="G100" s="1">
        <v>30446</v>
      </c>
      <c r="H100" s="1">
        <v>15</v>
      </c>
      <c r="I100" s="1">
        <v>43</v>
      </c>
      <c r="J100" s="1">
        <v>1</v>
      </c>
      <c r="K100" s="1">
        <v>87</v>
      </c>
      <c r="L100" s="1" t="s">
        <v>32</v>
      </c>
    </row>
    <row r="101" spans="1:12" x14ac:dyDescent="0.25">
      <c r="A101" s="1" t="s">
        <v>143</v>
      </c>
      <c r="B101" s="1" t="s">
        <v>28</v>
      </c>
      <c r="C101" s="1" t="s">
        <v>14</v>
      </c>
      <c r="D101" s="1">
        <v>33</v>
      </c>
      <c r="E101" s="1" t="s">
        <v>19</v>
      </c>
      <c r="F101" s="1">
        <v>3</v>
      </c>
      <c r="G101" s="1">
        <v>50280</v>
      </c>
      <c r="H101" s="1">
        <v>8</v>
      </c>
      <c r="I101" s="1">
        <v>43</v>
      </c>
      <c r="J101" s="1">
        <v>2</v>
      </c>
      <c r="K101" s="1">
        <v>96</v>
      </c>
      <c r="L101" s="1" t="s">
        <v>51</v>
      </c>
    </row>
    <row r="102" spans="1:12" x14ac:dyDescent="0.25">
      <c r="A102" s="1" t="s">
        <v>144</v>
      </c>
      <c r="B102" s="1" t="s">
        <v>31</v>
      </c>
      <c r="C102" s="1" t="s">
        <v>22</v>
      </c>
      <c r="D102" s="1">
        <v>24</v>
      </c>
      <c r="E102" s="1" t="s">
        <v>19</v>
      </c>
      <c r="F102" s="1">
        <v>3</v>
      </c>
      <c r="G102" s="1">
        <v>46748</v>
      </c>
      <c r="H102" s="1">
        <v>14</v>
      </c>
      <c r="I102" s="1">
        <v>38</v>
      </c>
      <c r="J102" s="1">
        <v>1</v>
      </c>
      <c r="K102" s="1">
        <v>89</v>
      </c>
      <c r="L102" s="1" t="s">
        <v>26</v>
      </c>
    </row>
    <row r="103" spans="1:12" x14ac:dyDescent="0.25">
      <c r="A103" s="1" t="s">
        <v>145</v>
      </c>
      <c r="B103" s="1" t="s">
        <v>83</v>
      </c>
      <c r="C103" s="1" t="s">
        <v>25</v>
      </c>
      <c r="D103" s="1">
        <v>37</v>
      </c>
      <c r="E103" s="1" t="s">
        <v>19</v>
      </c>
      <c r="F103" s="1">
        <v>9</v>
      </c>
      <c r="G103" s="1">
        <v>58112</v>
      </c>
      <c r="H103" s="1">
        <v>14</v>
      </c>
      <c r="I103" s="1">
        <v>45</v>
      </c>
      <c r="J103" s="1">
        <v>1</v>
      </c>
      <c r="K103" s="1">
        <v>90</v>
      </c>
      <c r="L103" s="1" t="s">
        <v>32</v>
      </c>
    </row>
    <row r="104" spans="1:12" x14ac:dyDescent="0.25">
      <c r="A104" s="1" t="s">
        <v>146</v>
      </c>
      <c r="B104" s="1" t="s">
        <v>75</v>
      </c>
      <c r="C104" s="1" t="s">
        <v>22</v>
      </c>
      <c r="D104" s="1">
        <v>35</v>
      </c>
      <c r="E104" s="1" t="s">
        <v>15</v>
      </c>
      <c r="F104" s="1">
        <v>14</v>
      </c>
      <c r="G104" s="1">
        <v>34750</v>
      </c>
      <c r="H104" s="1">
        <v>15</v>
      </c>
      <c r="I104" s="1">
        <v>45</v>
      </c>
      <c r="J104" s="1">
        <v>1</v>
      </c>
      <c r="K104" s="1">
        <v>97</v>
      </c>
      <c r="L104" s="1" t="s">
        <v>37</v>
      </c>
    </row>
    <row r="105" spans="1:12" x14ac:dyDescent="0.25">
      <c r="A105" s="1" t="s">
        <v>147</v>
      </c>
      <c r="B105" s="1" t="s">
        <v>75</v>
      </c>
      <c r="C105" s="1" t="s">
        <v>22</v>
      </c>
      <c r="D105" s="1">
        <v>26</v>
      </c>
      <c r="E105" s="1" t="s">
        <v>19</v>
      </c>
      <c r="F105" s="1">
        <v>7</v>
      </c>
      <c r="G105" s="1">
        <v>51259</v>
      </c>
      <c r="H105" s="1">
        <v>6</v>
      </c>
      <c r="I105" s="1">
        <v>45</v>
      </c>
      <c r="J105" s="1">
        <v>5</v>
      </c>
      <c r="K105" s="1">
        <v>91</v>
      </c>
      <c r="L105" s="1" t="s">
        <v>32</v>
      </c>
    </row>
    <row r="106" spans="1:12" x14ac:dyDescent="0.25">
      <c r="A106" s="1" t="s">
        <v>148</v>
      </c>
      <c r="B106" s="1" t="s">
        <v>28</v>
      </c>
      <c r="C106" s="1" t="s">
        <v>25</v>
      </c>
      <c r="D106" s="1">
        <v>27</v>
      </c>
      <c r="E106" s="1" t="s">
        <v>15</v>
      </c>
      <c r="F106" s="1">
        <v>15</v>
      </c>
      <c r="G106" s="1">
        <v>68675</v>
      </c>
      <c r="H106" s="1">
        <v>7</v>
      </c>
      <c r="I106" s="1">
        <v>48</v>
      </c>
      <c r="J106" s="1">
        <v>3</v>
      </c>
      <c r="K106" s="1">
        <v>90</v>
      </c>
      <c r="L106" s="1" t="s">
        <v>16</v>
      </c>
    </row>
    <row r="107" spans="1:12" x14ac:dyDescent="0.25">
      <c r="A107" s="1" t="s">
        <v>149</v>
      </c>
      <c r="B107" s="1" t="s">
        <v>53</v>
      </c>
      <c r="C107" s="1" t="s">
        <v>22</v>
      </c>
      <c r="D107" s="1">
        <v>38</v>
      </c>
      <c r="E107" s="1" t="s">
        <v>19</v>
      </c>
      <c r="F107" s="1">
        <v>1</v>
      </c>
      <c r="G107" s="1">
        <v>41203</v>
      </c>
      <c r="H107" s="1">
        <v>9</v>
      </c>
      <c r="I107" s="1">
        <v>49</v>
      </c>
      <c r="J107" s="1">
        <v>5</v>
      </c>
      <c r="K107" s="1">
        <v>90</v>
      </c>
      <c r="L107" s="1" t="s">
        <v>23</v>
      </c>
    </row>
    <row r="108" spans="1:12" x14ac:dyDescent="0.25">
      <c r="A108" s="1" t="s">
        <v>150</v>
      </c>
      <c r="B108" s="1" t="s">
        <v>34</v>
      </c>
      <c r="C108" s="1" t="s">
        <v>14</v>
      </c>
      <c r="D108" s="1">
        <v>29</v>
      </c>
      <c r="E108" s="1" t="s">
        <v>15</v>
      </c>
      <c r="F108" s="1">
        <v>15</v>
      </c>
      <c r="G108" s="1">
        <v>61847</v>
      </c>
      <c r="H108" s="1">
        <v>7</v>
      </c>
      <c r="I108" s="1">
        <v>37</v>
      </c>
      <c r="J108" s="1">
        <v>1</v>
      </c>
      <c r="K108" s="1">
        <v>88</v>
      </c>
      <c r="L108" s="1" t="s">
        <v>51</v>
      </c>
    </row>
    <row r="109" spans="1:12" x14ac:dyDescent="0.25">
      <c r="A109" s="1" t="s">
        <v>151</v>
      </c>
      <c r="B109" s="1" t="s">
        <v>40</v>
      </c>
      <c r="C109" s="1" t="s">
        <v>14</v>
      </c>
      <c r="D109" s="1">
        <v>28</v>
      </c>
      <c r="E109" s="1" t="s">
        <v>19</v>
      </c>
      <c r="F109" s="1">
        <v>7</v>
      </c>
      <c r="G109" s="1">
        <v>27755</v>
      </c>
      <c r="H109" s="1">
        <v>4</v>
      </c>
      <c r="I109" s="1">
        <v>46</v>
      </c>
      <c r="J109" s="1">
        <v>4</v>
      </c>
      <c r="K109" s="1">
        <v>97</v>
      </c>
      <c r="L109" s="1" t="s">
        <v>37</v>
      </c>
    </row>
    <row r="110" spans="1:12" x14ac:dyDescent="0.25">
      <c r="A110" s="1" t="s">
        <v>152</v>
      </c>
      <c r="B110" s="1" t="s">
        <v>83</v>
      </c>
      <c r="C110" s="1" t="s">
        <v>25</v>
      </c>
      <c r="D110" s="1">
        <v>35</v>
      </c>
      <c r="E110" s="1" t="s">
        <v>19</v>
      </c>
      <c r="F110" s="1">
        <v>10</v>
      </c>
      <c r="G110" s="1">
        <v>57547</v>
      </c>
      <c r="H110" s="1">
        <v>8</v>
      </c>
      <c r="I110" s="1">
        <v>37</v>
      </c>
      <c r="J110" s="1">
        <v>5</v>
      </c>
      <c r="K110" s="1">
        <v>97</v>
      </c>
      <c r="L110" s="1" t="s">
        <v>26</v>
      </c>
    </row>
    <row r="111" spans="1:12" x14ac:dyDescent="0.25">
      <c r="A111" s="1" t="s">
        <v>153</v>
      </c>
      <c r="B111" s="1" t="s">
        <v>75</v>
      </c>
      <c r="C111" s="1" t="s">
        <v>14</v>
      </c>
      <c r="D111" s="1">
        <v>24</v>
      </c>
      <c r="E111" s="1" t="s">
        <v>15</v>
      </c>
      <c r="F111" s="1">
        <v>5</v>
      </c>
      <c r="G111" s="1">
        <v>50265</v>
      </c>
      <c r="H111" s="1">
        <v>9</v>
      </c>
      <c r="I111" s="1">
        <v>46</v>
      </c>
      <c r="J111" s="1">
        <v>5</v>
      </c>
      <c r="K111" s="1">
        <v>93</v>
      </c>
      <c r="L111" s="1" t="s">
        <v>51</v>
      </c>
    </row>
    <row r="112" spans="1:12" x14ac:dyDescent="0.25">
      <c r="A112" s="1" t="s">
        <v>154</v>
      </c>
      <c r="B112" s="1" t="s">
        <v>63</v>
      </c>
      <c r="C112" s="1" t="s">
        <v>29</v>
      </c>
      <c r="D112" s="1">
        <v>32</v>
      </c>
      <c r="E112" s="1" t="s">
        <v>15</v>
      </c>
      <c r="F112" s="1">
        <v>10</v>
      </c>
      <c r="G112" s="1">
        <v>55119</v>
      </c>
      <c r="H112" s="1">
        <v>6</v>
      </c>
      <c r="I112" s="1">
        <v>45</v>
      </c>
      <c r="J112" s="1">
        <v>3</v>
      </c>
      <c r="K112" s="1">
        <v>99</v>
      </c>
      <c r="L112" s="1" t="s">
        <v>32</v>
      </c>
    </row>
    <row r="113" spans="1:12" x14ac:dyDescent="0.25">
      <c r="A113" s="1" t="s">
        <v>155</v>
      </c>
      <c r="B113" s="1" t="s">
        <v>34</v>
      </c>
      <c r="C113" s="1" t="s">
        <v>29</v>
      </c>
      <c r="D113" s="1">
        <v>24</v>
      </c>
      <c r="E113" s="1" t="s">
        <v>15</v>
      </c>
      <c r="F113" s="1">
        <v>13</v>
      </c>
      <c r="G113" s="1">
        <v>28984</v>
      </c>
      <c r="H113" s="1">
        <v>7</v>
      </c>
      <c r="I113" s="1">
        <v>43</v>
      </c>
      <c r="J113" s="1">
        <v>4</v>
      </c>
      <c r="K113" s="1">
        <v>94</v>
      </c>
      <c r="L113" s="1" t="s">
        <v>37</v>
      </c>
    </row>
    <row r="114" spans="1:12" x14ac:dyDescent="0.25">
      <c r="A114" s="1" t="s">
        <v>156</v>
      </c>
      <c r="B114" s="1" t="s">
        <v>83</v>
      </c>
      <c r="C114" s="1" t="s">
        <v>14</v>
      </c>
      <c r="D114" s="1">
        <v>27</v>
      </c>
      <c r="E114" s="1" t="s">
        <v>15</v>
      </c>
      <c r="F114" s="1">
        <v>9</v>
      </c>
      <c r="G114" s="1">
        <v>45828</v>
      </c>
      <c r="H114" s="1">
        <v>9</v>
      </c>
      <c r="I114" s="1">
        <v>47</v>
      </c>
      <c r="J114" s="1">
        <v>4</v>
      </c>
      <c r="K114" s="1">
        <v>89</v>
      </c>
      <c r="L114" s="1" t="s">
        <v>32</v>
      </c>
    </row>
    <row r="115" spans="1:12" x14ac:dyDescent="0.25">
      <c r="A115" s="1" t="s">
        <v>157</v>
      </c>
      <c r="B115" s="1" t="s">
        <v>34</v>
      </c>
      <c r="C115" s="1" t="s">
        <v>22</v>
      </c>
      <c r="D115" s="1">
        <v>31</v>
      </c>
      <c r="E115" s="1" t="s">
        <v>19</v>
      </c>
      <c r="F115" s="1">
        <v>1</v>
      </c>
      <c r="G115" s="1">
        <v>69780</v>
      </c>
      <c r="H115" s="1">
        <v>5</v>
      </c>
      <c r="I115" s="1">
        <v>43</v>
      </c>
      <c r="J115" s="1">
        <v>4</v>
      </c>
      <c r="K115" s="1">
        <v>96</v>
      </c>
      <c r="L115" s="1" t="s">
        <v>32</v>
      </c>
    </row>
    <row r="116" spans="1:12" x14ac:dyDescent="0.25">
      <c r="A116" s="1" t="s">
        <v>158</v>
      </c>
      <c r="B116" s="1" t="s">
        <v>65</v>
      </c>
      <c r="C116" s="1" t="s">
        <v>29</v>
      </c>
      <c r="D116" s="1">
        <v>25</v>
      </c>
      <c r="E116" s="1" t="s">
        <v>19</v>
      </c>
      <c r="F116" s="1">
        <v>2</v>
      </c>
      <c r="G116" s="1">
        <v>42355</v>
      </c>
      <c r="H116" s="1">
        <v>14</v>
      </c>
      <c r="I116" s="1">
        <v>49</v>
      </c>
      <c r="J116" s="1">
        <v>2</v>
      </c>
      <c r="K116" s="1">
        <v>100</v>
      </c>
      <c r="L116" s="1" t="s">
        <v>16</v>
      </c>
    </row>
    <row r="117" spans="1:12" x14ac:dyDescent="0.25">
      <c r="A117" s="1" t="s">
        <v>159</v>
      </c>
      <c r="B117" s="1" t="s">
        <v>43</v>
      </c>
      <c r="C117" s="1" t="s">
        <v>22</v>
      </c>
      <c r="D117" s="1">
        <v>29</v>
      </c>
      <c r="E117" s="1" t="s">
        <v>15</v>
      </c>
      <c r="F117" s="1">
        <v>5</v>
      </c>
      <c r="G117" s="1">
        <v>63398</v>
      </c>
      <c r="H117" s="1">
        <v>10</v>
      </c>
      <c r="I117" s="1">
        <v>37</v>
      </c>
      <c r="J117" s="1">
        <v>3</v>
      </c>
      <c r="K117" s="1">
        <v>87</v>
      </c>
      <c r="L117" s="1" t="s">
        <v>32</v>
      </c>
    </row>
    <row r="118" spans="1:12" x14ac:dyDescent="0.25">
      <c r="A118" s="1" t="s">
        <v>160</v>
      </c>
      <c r="B118" s="1" t="s">
        <v>21</v>
      </c>
      <c r="C118" s="1" t="s">
        <v>14</v>
      </c>
      <c r="D118" s="1">
        <v>38</v>
      </c>
      <c r="E118" s="1" t="s">
        <v>15</v>
      </c>
      <c r="F118" s="1">
        <v>6</v>
      </c>
      <c r="G118" s="1">
        <v>78173</v>
      </c>
      <c r="H118" s="1">
        <v>7</v>
      </c>
      <c r="I118" s="1">
        <v>44</v>
      </c>
      <c r="J118" s="1">
        <v>4</v>
      </c>
      <c r="K118" s="1">
        <v>98</v>
      </c>
      <c r="L118" s="1" t="s">
        <v>51</v>
      </c>
    </row>
    <row r="119" spans="1:12" x14ac:dyDescent="0.25">
      <c r="A119" s="1" t="s">
        <v>161</v>
      </c>
      <c r="B119" s="1" t="s">
        <v>65</v>
      </c>
      <c r="C119" s="1" t="s">
        <v>22</v>
      </c>
      <c r="D119" s="1">
        <v>22</v>
      </c>
      <c r="E119" s="1" t="s">
        <v>19</v>
      </c>
      <c r="F119" s="1">
        <v>4</v>
      </c>
      <c r="G119" s="1">
        <v>47715</v>
      </c>
      <c r="H119" s="1">
        <v>5</v>
      </c>
      <c r="I119" s="1">
        <v>45</v>
      </c>
      <c r="J119" s="1">
        <v>3</v>
      </c>
      <c r="K119" s="1">
        <v>96</v>
      </c>
      <c r="L119" s="1" t="s">
        <v>51</v>
      </c>
    </row>
    <row r="120" spans="1:12" x14ac:dyDescent="0.25">
      <c r="A120" s="1" t="s">
        <v>162</v>
      </c>
      <c r="B120" s="1" t="s">
        <v>81</v>
      </c>
      <c r="C120" s="1" t="s">
        <v>25</v>
      </c>
      <c r="D120" s="1">
        <v>31</v>
      </c>
      <c r="E120" s="1" t="s">
        <v>15</v>
      </c>
      <c r="F120" s="1">
        <v>2</v>
      </c>
      <c r="G120" s="1">
        <v>43221</v>
      </c>
      <c r="H120" s="1">
        <v>5</v>
      </c>
      <c r="I120" s="1">
        <v>50</v>
      </c>
      <c r="J120" s="1">
        <v>2</v>
      </c>
      <c r="K120" s="1">
        <v>89</v>
      </c>
      <c r="L120" s="1" t="s">
        <v>16</v>
      </c>
    </row>
    <row r="121" spans="1:12" x14ac:dyDescent="0.25">
      <c r="A121" s="1" t="s">
        <v>163</v>
      </c>
      <c r="B121" s="1" t="s">
        <v>81</v>
      </c>
      <c r="C121" s="1" t="s">
        <v>25</v>
      </c>
      <c r="D121" s="1">
        <v>35</v>
      </c>
      <c r="E121" s="1" t="s">
        <v>19</v>
      </c>
      <c r="F121" s="1">
        <v>12</v>
      </c>
      <c r="G121" s="1">
        <v>77734</v>
      </c>
      <c r="H121" s="1">
        <v>8</v>
      </c>
      <c r="I121" s="1">
        <v>44</v>
      </c>
      <c r="J121" s="1">
        <v>1</v>
      </c>
      <c r="K121" s="1">
        <v>86</v>
      </c>
      <c r="L121" s="1" t="s">
        <v>37</v>
      </c>
    </row>
    <row r="122" spans="1:12" x14ac:dyDescent="0.25">
      <c r="A122" s="1" t="s">
        <v>164</v>
      </c>
      <c r="B122" s="1" t="s">
        <v>75</v>
      </c>
      <c r="C122" s="1" t="s">
        <v>25</v>
      </c>
      <c r="D122" s="1">
        <v>23</v>
      </c>
      <c r="E122" s="1" t="s">
        <v>15</v>
      </c>
      <c r="F122" s="1">
        <v>4</v>
      </c>
      <c r="G122" s="1">
        <v>33910</v>
      </c>
      <c r="H122" s="1">
        <v>12</v>
      </c>
      <c r="I122" s="1">
        <v>36</v>
      </c>
      <c r="J122" s="1">
        <v>5</v>
      </c>
      <c r="K122" s="1">
        <v>91</v>
      </c>
      <c r="L122" s="1" t="s">
        <v>16</v>
      </c>
    </row>
    <row r="123" spans="1:12" x14ac:dyDescent="0.25">
      <c r="A123" s="1" t="s">
        <v>165</v>
      </c>
      <c r="B123" s="1" t="s">
        <v>43</v>
      </c>
      <c r="C123" s="1" t="s">
        <v>29</v>
      </c>
      <c r="D123" s="1">
        <v>27</v>
      </c>
      <c r="E123" s="1" t="s">
        <v>19</v>
      </c>
      <c r="F123" s="1">
        <v>3</v>
      </c>
      <c r="G123" s="1">
        <v>40987</v>
      </c>
      <c r="H123" s="1">
        <v>10</v>
      </c>
      <c r="I123" s="1">
        <v>40</v>
      </c>
      <c r="J123" s="1">
        <v>3</v>
      </c>
      <c r="K123" s="1">
        <v>87</v>
      </c>
      <c r="L123" s="1" t="s">
        <v>16</v>
      </c>
    </row>
    <row r="124" spans="1:12" x14ac:dyDescent="0.25">
      <c r="A124" s="1" t="s">
        <v>166</v>
      </c>
      <c r="B124" s="1" t="s">
        <v>18</v>
      </c>
      <c r="C124" s="1" t="s">
        <v>22</v>
      </c>
      <c r="D124" s="1">
        <v>31</v>
      </c>
      <c r="E124" s="1" t="s">
        <v>19</v>
      </c>
      <c r="F124" s="1">
        <v>9</v>
      </c>
      <c r="G124" s="1">
        <v>71640</v>
      </c>
      <c r="H124" s="1">
        <v>11</v>
      </c>
      <c r="I124" s="1">
        <v>47</v>
      </c>
      <c r="J124" s="1">
        <v>3</v>
      </c>
      <c r="K124" s="1">
        <v>87</v>
      </c>
      <c r="L124" s="1" t="s">
        <v>23</v>
      </c>
    </row>
    <row r="125" spans="1:12" x14ac:dyDescent="0.25">
      <c r="A125" s="1" t="s">
        <v>167</v>
      </c>
      <c r="B125" s="1" t="s">
        <v>45</v>
      </c>
      <c r="C125" s="1" t="s">
        <v>25</v>
      </c>
      <c r="D125" s="1">
        <v>34</v>
      </c>
      <c r="E125" s="1" t="s">
        <v>19</v>
      </c>
      <c r="F125" s="1">
        <v>12</v>
      </c>
      <c r="G125" s="1">
        <v>40231</v>
      </c>
      <c r="H125" s="1">
        <v>4</v>
      </c>
      <c r="I125" s="1">
        <v>46</v>
      </c>
      <c r="J125" s="1">
        <v>1</v>
      </c>
      <c r="K125" s="1">
        <v>92</v>
      </c>
      <c r="L125" s="1" t="s">
        <v>26</v>
      </c>
    </row>
    <row r="126" spans="1:12" x14ac:dyDescent="0.25">
      <c r="A126" s="1" t="s">
        <v>168</v>
      </c>
      <c r="B126" s="1" t="s">
        <v>77</v>
      </c>
      <c r="C126" s="1" t="s">
        <v>29</v>
      </c>
      <c r="D126" s="1">
        <v>35</v>
      </c>
      <c r="E126" s="1" t="s">
        <v>19</v>
      </c>
      <c r="F126" s="1">
        <v>6</v>
      </c>
      <c r="G126" s="1">
        <v>65583</v>
      </c>
      <c r="H126" s="1">
        <v>4</v>
      </c>
      <c r="I126" s="1">
        <v>43</v>
      </c>
      <c r="J126" s="1">
        <v>1</v>
      </c>
      <c r="K126" s="1">
        <v>87</v>
      </c>
      <c r="L126" s="1" t="s">
        <v>32</v>
      </c>
    </row>
    <row r="127" spans="1:12" x14ac:dyDescent="0.25">
      <c r="A127" s="1" t="s">
        <v>169</v>
      </c>
      <c r="B127" s="1" t="s">
        <v>75</v>
      </c>
      <c r="C127" s="1" t="s">
        <v>14</v>
      </c>
      <c r="D127" s="1">
        <v>40</v>
      </c>
      <c r="E127" s="1" t="s">
        <v>19</v>
      </c>
      <c r="F127" s="1">
        <v>15</v>
      </c>
      <c r="G127" s="1">
        <v>65839</v>
      </c>
      <c r="H127" s="1">
        <v>10</v>
      </c>
      <c r="I127" s="1">
        <v>37</v>
      </c>
      <c r="J127" s="1">
        <v>1</v>
      </c>
      <c r="K127" s="1">
        <v>93</v>
      </c>
      <c r="L127" s="1" t="s">
        <v>23</v>
      </c>
    </row>
    <row r="128" spans="1:12" x14ac:dyDescent="0.25">
      <c r="A128" s="1" t="s">
        <v>170</v>
      </c>
      <c r="B128" s="1" t="s">
        <v>65</v>
      </c>
      <c r="C128" s="1" t="s">
        <v>22</v>
      </c>
      <c r="D128" s="1">
        <v>34</v>
      </c>
      <c r="E128" s="1" t="s">
        <v>15</v>
      </c>
      <c r="F128" s="1">
        <v>4</v>
      </c>
      <c r="G128" s="1">
        <v>36242</v>
      </c>
      <c r="H128" s="1">
        <v>6</v>
      </c>
      <c r="I128" s="1">
        <v>39</v>
      </c>
      <c r="J128" s="1">
        <v>1</v>
      </c>
      <c r="K128" s="1">
        <v>95</v>
      </c>
      <c r="L128" s="1" t="s">
        <v>16</v>
      </c>
    </row>
    <row r="129" spans="1:12" x14ac:dyDescent="0.25">
      <c r="A129" s="1" t="s">
        <v>171</v>
      </c>
      <c r="B129" s="1" t="s">
        <v>40</v>
      </c>
      <c r="C129" s="1" t="s">
        <v>29</v>
      </c>
      <c r="D129" s="1">
        <v>39</v>
      </c>
      <c r="E129" s="1" t="s">
        <v>19</v>
      </c>
      <c r="F129" s="1">
        <v>10</v>
      </c>
      <c r="G129" s="1">
        <v>50032</v>
      </c>
      <c r="H129" s="1">
        <v>14</v>
      </c>
      <c r="I129" s="1">
        <v>41</v>
      </c>
      <c r="J129" s="1">
        <v>2</v>
      </c>
      <c r="K129" s="1">
        <v>88</v>
      </c>
      <c r="L129" s="1" t="s">
        <v>26</v>
      </c>
    </row>
    <row r="130" spans="1:12" x14ac:dyDescent="0.25">
      <c r="A130" s="1" t="s">
        <v>172</v>
      </c>
      <c r="B130" s="1" t="s">
        <v>81</v>
      </c>
      <c r="C130" s="1" t="s">
        <v>29</v>
      </c>
      <c r="D130" s="1">
        <v>22</v>
      </c>
      <c r="E130" s="1" t="s">
        <v>19</v>
      </c>
      <c r="F130" s="1">
        <v>12</v>
      </c>
      <c r="G130" s="1">
        <v>53454</v>
      </c>
      <c r="H130" s="1">
        <v>8</v>
      </c>
      <c r="I130" s="1">
        <v>35</v>
      </c>
      <c r="J130" s="1">
        <v>3</v>
      </c>
      <c r="K130" s="1">
        <v>85</v>
      </c>
      <c r="L130" s="1" t="s">
        <v>32</v>
      </c>
    </row>
    <row r="131" spans="1:12" x14ac:dyDescent="0.25">
      <c r="A131" s="1" t="s">
        <v>173</v>
      </c>
      <c r="B131" s="1" t="s">
        <v>65</v>
      </c>
      <c r="C131" s="1" t="s">
        <v>22</v>
      </c>
      <c r="D131" s="1">
        <v>39</v>
      </c>
      <c r="E131" s="1" t="s">
        <v>15</v>
      </c>
      <c r="F131" s="1">
        <v>13</v>
      </c>
      <c r="G131" s="1">
        <v>68584</v>
      </c>
      <c r="H131" s="1">
        <v>9</v>
      </c>
      <c r="I131" s="1">
        <v>50</v>
      </c>
      <c r="J131" s="1">
        <v>1</v>
      </c>
      <c r="K131" s="1">
        <v>86</v>
      </c>
      <c r="L131" s="1" t="s">
        <v>32</v>
      </c>
    </row>
    <row r="132" spans="1:12" x14ac:dyDescent="0.25">
      <c r="A132" s="1" t="s">
        <v>174</v>
      </c>
      <c r="B132" s="1" t="s">
        <v>34</v>
      </c>
      <c r="C132" s="1" t="s">
        <v>25</v>
      </c>
      <c r="D132" s="1">
        <v>30</v>
      </c>
      <c r="E132" s="1" t="s">
        <v>15</v>
      </c>
      <c r="F132" s="1">
        <v>4</v>
      </c>
      <c r="G132" s="1">
        <v>74693</v>
      </c>
      <c r="H132" s="1">
        <v>3</v>
      </c>
      <c r="I132" s="1">
        <v>48</v>
      </c>
      <c r="J132" s="1">
        <v>5</v>
      </c>
      <c r="K132" s="1">
        <v>95</v>
      </c>
      <c r="L132" s="1" t="s">
        <v>23</v>
      </c>
    </row>
    <row r="133" spans="1:12" x14ac:dyDescent="0.25">
      <c r="A133" s="1" t="s">
        <v>175</v>
      </c>
      <c r="B133" s="1" t="s">
        <v>70</v>
      </c>
      <c r="C133" s="1" t="s">
        <v>22</v>
      </c>
      <c r="D133" s="1">
        <v>40</v>
      </c>
      <c r="E133" s="1" t="s">
        <v>19</v>
      </c>
      <c r="F133" s="1">
        <v>15</v>
      </c>
      <c r="G133" s="1">
        <v>60169</v>
      </c>
      <c r="H133" s="1">
        <v>10</v>
      </c>
      <c r="I133" s="1">
        <v>38</v>
      </c>
      <c r="J133" s="1">
        <v>3</v>
      </c>
      <c r="K133" s="1">
        <v>89</v>
      </c>
      <c r="L133" s="1" t="s">
        <v>26</v>
      </c>
    </row>
    <row r="134" spans="1:12" x14ac:dyDescent="0.25">
      <c r="A134" s="1" t="s">
        <v>176</v>
      </c>
      <c r="B134" s="1" t="s">
        <v>36</v>
      </c>
      <c r="C134" s="1" t="s">
        <v>25</v>
      </c>
      <c r="D134" s="1">
        <v>24</v>
      </c>
      <c r="E134" s="1" t="s">
        <v>15</v>
      </c>
      <c r="F134" s="1">
        <v>2</v>
      </c>
      <c r="G134" s="1">
        <v>34785</v>
      </c>
      <c r="H134" s="1">
        <v>13</v>
      </c>
      <c r="I134" s="1">
        <v>38</v>
      </c>
      <c r="J134" s="1">
        <v>1</v>
      </c>
      <c r="K134" s="1">
        <v>86</v>
      </c>
      <c r="L134" s="1" t="s">
        <v>32</v>
      </c>
    </row>
    <row r="135" spans="1:12" x14ac:dyDescent="0.25">
      <c r="A135" s="1" t="s">
        <v>177</v>
      </c>
      <c r="B135" s="1" t="s">
        <v>36</v>
      </c>
      <c r="C135" s="1" t="s">
        <v>25</v>
      </c>
      <c r="D135" s="1">
        <v>38</v>
      </c>
      <c r="E135" s="1" t="s">
        <v>19</v>
      </c>
      <c r="F135" s="1">
        <v>9</v>
      </c>
      <c r="G135" s="1">
        <v>28981</v>
      </c>
      <c r="H135" s="1">
        <v>6</v>
      </c>
      <c r="I135" s="1">
        <v>36</v>
      </c>
      <c r="J135" s="1">
        <v>3</v>
      </c>
      <c r="K135" s="1">
        <v>98</v>
      </c>
      <c r="L135" s="1" t="s">
        <v>32</v>
      </c>
    </row>
    <row r="136" spans="1:12" x14ac:dyDescent="0.25">
      <c r="A136" s="1" t="s">
        <v>178</v>
      </c>
      <c r="B136" s="1" t="s">
        <v>63</v>
      </c>
      <c r="C136" s="1" t="s">
        <v>25</v>
      </c>
      <c r="D136" s="1">
        <v>27</v>
      </c>
      <c r="E136" s="1" t="s">
        <v>15</v>
      </c>
      <c r="F136" s="1">
        <v>5</v>
      </c>
      <c r="G136" s="1">
        <v>61779</v>
      </c>
      <c r="H136" s="1">
        <v>6</v>
      </c>
      <c r="I136" s="1">
        <v>42</v>
      </c>
      <c r="J136" s="1">
        <v>2</v>
      </c>
      <c r="K136" s="1">
        <v>93</v>
      </c>
      <c r="L136" s="1" t="s">
        <v>37</v>
      </c>
    </row>
    <row r="137" spans="1:12" x14ac:dyDescent="0.25">
      <c r="A137" s="1" t="s">
        <v>179</v>
      </c>
      <c r="B137" s="1" t="s">
        <v>83</v>
      </c>
      <c r="C137" s="1" t="s">
        <v>29</v>
      </c>
      <c r="D137" s="1">
        <v>39</v>
      </c>
      <c r="E137" s="1" t="s">
        <v>19</v>
      </c>
      <c r="F137" s="1">
        <v>13</v>
      </c>
      <c r="G137" s="1">
        <v>25564</v>
      </c>
      <c r="H137" s="1">
        <v>5</v>
      </c>
      <c r="I137" s="1">
        <v>46</v>
      </c>
      <c r="J137" s="1">
        <v>2</v>
      </c>
      <c r="K137" s="1">
        <v>91</v>
      </c>
      <c r="L137" s="1" t="s">
        <v>23</v>
      </c>
    </row>
    <row r="138" spans="1:12" x14ac:dyDescent="0.25">
      <c r="A138" s="1" t="s">
        <v>180</v>
      </c>
      <c r="B138" s="1" t="s">
        <v>21</v>
      </c>
      <c r="C138" s="1" t="s">
        <v>25</v>
      </c>
      <c r="D138" s="1">
        <v>24</v>
      </c>
      <c r="E138" s="1" t="s">
        <v>15</v>
      </c>
      <c r="F138" s="1">
        <v>5</v>
      </c>
      <c r="G138" s="1">
        <v>37637</v>
      </c>
      <c r="H138" s="1">
        <v>4</v>
      </c>
      <c r="I138" s="1">
        <v>37</v>
      </c>
      <c r="J138" s="1">
        <v>2</v>
      </c>
      <c r="K138" s="1">
        <v>88</v>
      </c>
      <c r="L138" s="1" t="s">
        <v>23</v>
      </c>
    </row>
    <row r="139" spans="1:12" x14ac:dyDescent="0.25">
      <c r="A139" s="1" t="s">
        <v>181</v>
      </c>
      <c r="B139" s="1" t="s">
        <v>36</v>
      </c>
      <c r="C139" s="1" t="s">
        <v>22</v>
      </c>
      <c r="D139" s="1">
        <v>38</v>
      </c>
      <c r="E139" s="1" t="s">
        <v>15</v>
      </c>
      <c r="F139" s="1">
        <v>6</v>
      </c>
      <c r="G139" s="1">
        <v>46749</v>
      </c>
      <c r="H139" s="1">
        <v>7</v>
      </c>
      <c r="I139" s="1">
        <v>49</v>
      </c>
      <c r="J139" s="1">
        <v>1</v>
      </c>
      <c r="K139" s="1">
        <v>94</v>
      </c>
      <c r="L139" s="1" t="s">
        <v>26</v>
      </c>
    </row>
    <row r="140" spans="1:12" x14ac:dyDescent="0.25">
      <c r="A140" s="1" t="s">
        <v>182</v>
      </c>
      <c r="B140" s="1" t="s">
        <v>34</v>
      </c>
      <c r="C140" s="1" t="s">
        <v>14</v>
      </c>
      <c r="D140" s="1">
        <v>27</v>
      </c>
      <c r="E140" s="1" t="s">
        <v>19</v>
      </c>
      <c r="F140" s="1">
        <v>6</v>
      </c>
      <c r="G140" s="1">
        <v>54654</v>
      </c>
      <c r="H140" s="1">
        <v>9</v>
      </c>
      <c r="I140" s="1">
        <v>40</v>
      </c>
      <c r="J140" s="1">
        <v>2</v>
      </c>
      <c r="K140" s="1">
        <v>98</v>
      </c>
      <c r="L140" s="1" t="s">
        <v>16</v>
      </c>
    </row>
    <row r="141" spans="1:12" x14ac:dyDescent="0.25">
      <c r="A141" s="1" t="s">
        <v>183</v>
      </c>
      <c r="B141" s="1" t="s">
        <v>31</v>
      </c>
      <c r="C141" s="1" t="s">
        <v>29</v>
      </c>
      <c r="D141" s="1">
        <v>32</v>
      </c>
      <c r="E141" s="1" t="s">
        <v>15</v>
      </c>
      <c r="F141" s="1">
        <v>12</v>
      </c>
      <c r="G141" s="1">
        <v>32239</v>
      </c>
      <c r="H141" s="1">
        <v>6</v>
      </c>
      <c r="I141" s="1">
        <v>48</v>
      </c>
      <c r="J141" s="1">
        <v>5</v>
      </c>
      <c r="K141" s="1">
        <v>93</v>
      </c>
      <c r="L141" s="1" t="s">
        <v>16</v>
      </c>
    </row>
    <row r="142" spans="1:12" x14ac:dyDescent="0.25">
      <c r="A142" s="1" t="s">
        <v>184</v>
      </c>
      <c r="B142" s="1" t="s">
        <v>43</v>
      </c>
      <c r="C142" s="1" t="s">
        <v>25</v>
      </c>
      <c r="D142" s="1">
        <v>31</v>
      </c>
      <c r="E142" s="1" t="s">
        <v>19</v>
      </c>
      <c r="F142" s="1">
        <v>15</v>
      </c>
      <c r="G142" s="1">
        <v>43208</v>
      </c>
      <c r="H142" s="1">
        <v>12</v>
      </c>
      <c r="I142" s="1">
        <v>45</v>
      </c>
      <c r="J142" s="1">
        <v>5</v>
      </c>
      <c r="K142" s="1">
        <v>99</v>
      </c>
      <c r="L142" s="1" t="s">
        <v>37</v>
      </c>
    </row>
    <row r="143" spans="1:12" x14ac:dyDescent="0.25">
      <c r="A143" s="1" t="s">
        <v>185</v>
      </c>
      <c r="B143" s="1" t="s">
        <v>18</v>
      </c>
      <c r="C143" s="1" t="s">
        <v>22</v>
      </c>
      <c r="D143" s="1">
        <v>37</v>
      </c>
      <c r="E143" s="1" t="s">
        <v>15</v>
      </c>
      <c r="F143" s="1">
        <v>12</v>
      </c>
      <c r="G143" s="1">
        <v>56352</v>
      </c>
      <c r="H143" s="1">
        <v>15</v>
      </c>
      <c r="I143" s="1">
        <v>36</v>
      </c>
      <c r="J143" s="1">
        <v>1</v>
      </c>
      <c r="K143" s="1">
        <v>90</v>
      </c>
      <c r="L143" s="1" t="s">
        <v>23</v>
      </c>
    </row>
    <row r="144" spans="1:12" x14ac:dyDescent="0.25">
      <c r="A144" s="1" t="s">
        <v>186</v>
      </c>
      <c r="B144" s="1" t="s">
        <v>13</v>
      </c>
      <c r="C144" s="1" t="s">
        <v>25</v>
      </c>
      <c r="D144" s="1">
        <v>38</v>
      </c>
      <c r="E144" s="1" t="s">
        <v>15</v>
      </c>
      <c r="F144" s="1">
        <v>8</v>
      </c>
      <c r="G144" s="1">
        <v>25622</v>
      </c>
      <c r="H144" s="1">
        <v>4</v>
      </c>
      <c r="I144" s="1">
        <v>35</v>
      </c>
      <c r="J144" s="1">
        <v>1</v>
      </c>
      <c r="K144" s="1">
        <v>95</v>
      </c>
      <c r="L144" s="1" t="s">
        <v>32</v>
      </c>
    </row>
    <row r="145" spans="1:12" x14ac:dyDescent="0.25">
      <c r="A145" s="1" t="s">
        <v>187</v>
      </c>
      <c r="B145" s="1" t="s">
        <v>70</v>
      </c>
      <c r="C145" s="1" t="s">
        <v>25</v>
      </c>
      <c r="D145" s="1">
        <v>31</v>
      </c>
      <c r="E145" s="1" t="s">
        <v>15</v>
      </c>
      <c r="F145" s="1">
        <v>5</v>
      </c>
      <c r="G145" s="1">
        <v>38712</v>
      </c>
      <c r="H145" s="1">
        <v>15</v>
      </c>
      <c r="I145" s="1">
        <v>50</v>
      </c>
      <c r="J145" s="1">
        <v>3</v>
      </c>
      <c r="K145" s="1">
        <v>93</v>
      </c>
      <c r="L145" s="1" t="s">
        <v>51</v>
      </c>
    </row>
    <row r="146" spans="1:12" x14ac:dyDescent="0.25">
      <c r="A146" s="1" t="s">
        <v>188</v>
      </c>
      <c r="B146" s="1" t="s">
        <v>81</v>
      </c>
      <c r="C146" s="1" t="s">
        <v>22</v>
      </c>
      <c r="D146" s="1">
        <v>22</v>
      </c>
      <c r="E146" s="1" t="s">
        <v>15</v>
      </c>
      <c r="F146" s="1">
        <v>2</v>
      </c>
      <c r="G146" s="1">
        <v>47081</v>
      </c>
      <c r="H146" s="1">
        <v>10</v>
      </c>
      <c r="I146" s="1">
        <v>43</v>
      </c>
      <c r="J146" s="1">
        <v>5</v>
      </c>
      <c r="K146" s="1">
        <v>91</v>
      </c>
      <c r="L146" s="1" t="s">
        <v>16</v>
      </c>
    </row>
    <row r="147" spans="1:12" x14ac:dyDescent="0.25">
      <c r="A147" s="1" t="s">
        <v>189</v>
      </c>
      <c r="B147" s="1" t="s">
        <v>94</v>
      </c>
      <c r="C147" s="1" t="s">
        <v>25</v>
      </c>
      <c r="D147" s="1">
        <v>40</v>
      </c>
      <c r="E147" s="1" t="s">
        <v>19</v>
      </c>
      <c r="F147" s="1">
        <v>10</v>
      </c>
      <c r="G147" s="1">
        <v>55023</v>
      </c>
      <c r="H147" s="1">
        <v>14</v>
      </c>
      <c r="I147" s="1">
        <v>48</v>
      </c>
      <c r="J147" s="1">
        <v>5</v>
      </c>
      <c r="K147" s="1">
        <v>95</v>
      </c>
      <c r="L147" s="1" t="s">
        <v>16</v>
      </c>
    </row>
    <row r="148" spans="1:12" x14ac:dyDescent="0.25">
      <c r="A148" s="1" t="s">
        <v>190</v>
      </c>
      <c r="B148" s="1" t="s">
        <v>89</v>
      </c>
      <c r="C148" s="1" t="s">
        <v>14</v>
      </c>
      <c r="D148" s="1">
        <v>30</v>
      </c>
      <c r="E148" s="1" t="s">
        <v>15</v>
      </c>
      <c r="F148" s="1">
        <v>1</v>
      </c>
      <c r="G148" s="1">
        <v>77185</v>
      </c>
      <c r="H148" s="1">
        <v>8</v>
      </c>
      <c r="I148" s="1">
        <v>45</v>
      </c>
      <c r="J148" s="1">
        <v>5</v>
      </c>
      <c r="K148" s="1">
        <v>92</v>
      </c>
      <c r="L148" s="1" t="s">
        <v>32</v>
      </c>
    </row>
    <row r="149" spans="1:12" x14ac:dyDescent="0.25">
      <c r="A149" s="1" t="s">
        <v>191</v>
      </c>
      <c r="B149" s="1" t="s">
        <v>34</v>
      </c>
      <c r="C149" s="1" t="s">
        <v>22</v>
      </c>
      <c r="D149" s="1">
        <v>29</v>
      </c>
      <c r="E149" s="1" t="s">
        <v>15</v>
      </c>
      <c r="F149" s="1">
        <v>5</v>
      </c>
      <c r="G149" s="1">
        <v>38907</v>
      </c>
      <c r="H149" s="1">
        <v>4</v>
      </c>
      <c r="I149" s="1">
        <v>36</v>
      </c>
      <c r="J149" s="1">
        <v>1</v>
      </c>
      <c r="K149" s="1">
        <v>98</v>
      </c>
      <c r="L149" s="1" t="s">
        <v>51</v>
      </c>
    </row>
    <row r="150" spans="1:12" x14ac:dyDescent="0.25">
      <c r="A150" s="1" t="s">
        <v>192</v>
      </c>
      <c r="B150" s="1" t="s">
        <v>70</v>
      </c>
      <c r="C150" s="1" t="s">
        <v>25</v>
      </c>
      <c r="D150" s="1">
        <v>28</v>
      </c>
      <c r="E150" s="1" t="s">
        <v>19</v>
      </c>
      <c r="F150" s="1">
        <v>14</v>
      </c>
      <c r="G150" s="1">
        <v>28328</v>
      </c>
      <c r="H150" s="1">
        <v>14</v>
      </c>
      <c r="I150" s="1">
        <v>50</v>
      </c>
      <c r="J150" s="1">
        <v>5</v>
      </c>
      <c r="K150" s="1">
        <v>96</v>
      </c>
      <c r="L150" s="1" t="s">
        <v>32</v>
      </c>
    </row>
    <row r="151" spans="1:12" x14ac:dyDescent="0.25">
      <c r="A151" s="1" t="s">
        <v>193</v>
      </c>
      <c r="B151" s="1" t="s">
        <v>13</v>
      </c>
      <c r="C151" s="1" t="s">
        <v>14</v>
      </c>
      <c r="D151" s="1">
        <v>27</v>
      </c>
      <c r="E151" s="1" t="s">
        <v>15</v>
      </c>
      <c r="F151" s="1">
        <v>7</v>
      </c>
      <c r="G151" s="1">
        <v>50714</v>
      </c>
      <c r="H151" s="1">
        <v>8</v>
      </c>
      <c r="I151" s="1">
        <v>42</v>
      </c>
      <c r="J151" s="1">
        <v>3</v>
      </c>
      <c r="K151" s="1">
        <v>86</v>
      </c>
      <c r="L151" s="1" t="s">
        <v>51</v>
      </c>
    </row>
    <row r="152" spans="1:12" x14ac:dyDescent="0.25">
      <c r="A152" s="1" t="s">
        <v>194</v>
      </c>
      <c r="B152" s="1" t="s">
        <v>43</v>
      </c>
      <c r="C152" s="1" t="s">
        <v>22</v>
      </c>
      <c r="D152" s="1">
        <v>31</v>
      </c>
      <c r="E152" s="1" t="s">
        <v>15</v>
      </c>
      <c r="F152" s="1">
        <v>15</v>
      </c>
      <c r="G152" s="1">
        <v>27034</v>
      </c>
      <c r="H152" s="1">
        <v>11</v>
      </c>
      <c r="I152" s="1">
        <v>43</v>
      </c>
      <c r="J152" s="1">
        <v>3</v>
      </c>
      <c r="K152" s="1">
        <v>97</v>
      </c>
      <c r="L152" s="1" t="s">
        <v>26</v>
      </c>
    </row>
    <row r="153" spans="1:12" x14ac:dyDescent="0.25">
      <c r="A153" s="1" t="s">
        <v>195</v>
      </c>
      <c r="B153" s="1" t="s">
        <v>53</v>
      </c>
      <c r="C153" s="1" t="s">
        <v>22</v>
      </c>
      <c r="D153" s="1">
        <v>24</v>
      </c>
      <c r="E153" s="1" t="s">
        <v>15</v>
      </c>
      <c r="F153" s="1">
        <v>6</v>
      </c>
      <c r="G153" s="1">
        <v>52290</v>
      </c>
      <c r="H153" s="1">
        <v>3</v>
      </c>
      <c r="I153" s="1">
        <v>37</v>
      </c>
      <c r="J153" s="1">
        <v>3</v>
      </c>
      <c r="K153" s="1">
        <v>89</v>
      </c>
      <c r="L153" s="1" t="s">
        <v>32</v>
      </c>
    </row>
    <row r="154" spans="1:12" x14ac:dyDescent="0.25">
      <c r="A154" s="1" t="s">
        <v>196</v>
      </c>
      <c r="B154" s="1" t="s">
        <v>13</v>
      </c>
      <c r="C154" s="1" t="s">
        <v>22</v>
      </c>
      <c r="D154" s="1">
        <v>25</v>
      </c>
      <c r="E154" s="1" t="s">
        <v>15</v>
      </c>
      <c r="F154" s="1">
        <v>4</v>
      </c>
      <c r="G154" s="1">
        <v>31457</v>
      </c>
      <c r="H154" s="1">
        <v>7</v>
      </c>
      <c r="I154" s="1">
        <v>50</v>
      </c>
      <c r="J154" s="1">
        <v>4</v>
      </c>
      <c r="K154" s="1">
        <v>91</v>
      </c>
      <c r="L154" s="1" t="s">
        <v>26</v>
      </c>
    </row>
    <row r="155" spans="1:12" x14ac:dyDescent="0.25">
      <c r="A155" s="1" t="s">
        <v>197</v>
      </c>
      <c r="B155" s="1" t="s">
        <v>75</v>
      </c>
      <c r="C155" s="1" t="s">
        <v>29</v>
      </c>
      <c r="D155" s="1">
        <v>29</v>
      </c>
      <c r="E155" s="1" t="s">
        <v>19</v>
      </c>
      <c r="F155" s="1">
        <v>2</v>
      </c>
      <c r="G155" s="1">
        <v>37900</v>
      </c>
      <c r="H155" s="1">
        <v>5</v>
      </c>
      <c r="I155" s="1">
        <v>41</v>
      </c>
      <c r="J155" s="1">
        <v>1</v>
      </c>
      <c r="K155" s="1">
        <v>97</v>
      </c>
      <c r="L155" s="1" t="s">
        <v>26</v>
      </c>
    </row>
    <row r="156" spans="1:12" x14ac:dyDescent="0.25">
      <c r="A156" s="1" t="s">
        <v>198</v>
      </c>
      <c r="B156" s="1" t="s">
        <v>28</v>
      </c>
      <c r="C156" s="1" t="s">
        <v>25</v>
      </c>
      <c r="D156" s="1">
        <v>26</v>
      </c>
      <c r="E156" s="1" t="s">
        <v>15</v>
      </c>
      <c r="F156" s="1">
        <v>4</v>
      </c>
      <c r="G156" s="1">
        <v>33928</v>
      </c>
      <c r="H156" s="1">
        <v>7</v>
      </c>
      <c r="I156" s="1">
        <v>47</v>
      </c>
      <c r="J156" s="1">
        <v>4</v>
      </c>
      <c r="K156" s="1">
        <v>100</v>
      </c>
      <c r="L156" s="1" t="s">
        <v>51</v>
      </c>
    </row>
    <row r="157" spans="1:12" x14ac:dyDescent="0.25">
      <c r="A157" s="1" t="s">
        <v>199</v>
      </c>
      <c r="B157" s="1" t="s">
        <v>34</v>
      </c>
      <c r="C157" s="1" t="s">
        <v>25</v>
      </c>
      <c r="D157" s="1">
        <v>34</v>
      </c>
      <c r="E157" s="1" t="s">
        <v>19</v>
      </c>
      <c r="F157" s="1">
        <v>15</v>
      </c>
      <c r="G157" s="1">
        <v>40122</v>
      </c>
      <c r="H157" s="1">
        <v>10</v>
      </c>
      <c r="I157" s="1">
        <v>45</v>
      </c>
      <c r="J157" s="1">
        <v>2</v>
      </c>
      <c r="K157" s="1">
        <v>89</v>
      </c>
      <c r="L157" s="1" t="s">
        <v>37</v>
      </c>
    </row>
    <row r="158" spans="1:12" x14ac:dyDescent="0.25">
      <c r="A158" s="1" t="s">
        <v>200</v>
      </c>
      <c r="B158" s="1" t="s">
        <v>63</v>
      </c>
      <c r="C158" s="1" t="s">
        <v>14</v>
      </c>
      <c r="D158" s="1">
        <v>35</v>
      </c>
      <c r="E158" s="1" t="s">
        <v>15</v>
      </c>
      <c r="F158" s="1">
        <v>7</v>
      </c>
      <c r="G158" s="1">
        <v>70317</v>
      </c>
      <c r="H158" s="1">
        <v>15</v>
      </c>
      <c r="I158" s="1">
        <v>49</v>
      </c>
      <c r="J158" s="1">
        <v>2</v>
      </c>
      <c r="K158" s="1">
        <v>94</v>
      </c>
      <c r="L158" s="1" t="s">
        <v>26</v>
      </c>
    </row>
    <row r="159" spans="1:12" x14ac:dyDescent="0.25">
      <c r="A159" s="1" t="s">
        <v>201</v>
      </c>
      <c r="B159" s="1" t="s">
        <v>89</v>
      </c>
      <c r="C159" s="1" t="s">
        <v>14</v>
      </c>
      <c r="D159" s="1">
        <v>34</v>
      </c>
      <c r="E159" s="1" t="s">
        <v>19</v>
      </c>
      <c r="F159" s="1">
        <v>12</v>
      </c>
      <c r="G159" s="1">
        <v>25870</v>
      </c>
      <c r="H159" s="1">
        <v>12</v>
      </c>
      <c r="I159" s="1">
        <v>42</v>
      </c>
      <c r="J159" s="1">
        <v>5</v>
      </c>
      <c r="K159" s="1">
        <v>89</v>
      </c>
      <c r="L159" s="1" t="s">
        <v>51</v>
      </c>
    </row>
    <row r="160" spans="1:12" x14ac:dyDescent="0.25">
      <c r="A160" s="1" t="s">
        <v>202</v>
      </c>
      <c r="B160" s="1" t="s">
        <v>34</v>
      </c>
      <c r="C160" s="1" t="s">
        <v>29</v>
      </c>
      <c r="D160" s="1">
        <v>37</v>
      </c>
      <c r="E160" s="1" t="s">
        <v>15</v>
      </c>
      <c r="F160" s="1">
        <v>3</v>
      </c>
      <c r="G160" s="1">
        <v>67357</v>
      </c>
      <c r="H160" s="1">
        <v>15</v>
      </c>
      <c r="I160" s="1">
        <v>48</v>
      </c>
      <c r="J160" s="1">
        <v>2</v>
      </c>
      <c r="K160" s="1">
        <v>100</v>
      </c>
      <c r="L160" s="1" t="s">
        <v>51</v>
      </c>
    </row>
    <row r="161" spans="1:12" x14ac:dyDescent="0.25">
      <c r="A161" s="1" t="s">
        <v>203</v>
      </c>
      <c r="B161" s="1" t="s">
        <v>45</v>
      </c>
      <c r="C161" s="1" t="s">
        <v>29</v>
      </c>
      <c r="D161" s="1">
        <v>23</v>
      </c>
      <c r="E161" s="1" t="s">
        <v>15</v>
      </c>
      <c r="F161" s="1">
        <v>5</v>
      </c>
      <c r="G161" s="1">
        <v>34524</v>
      </c>
      <c r="H161" s="1">
        <v>10</v>
      </c>
      <c r="I161" s="1">
        <v>43</v>
      </c>
      <c r="J161" s="1">
        <v>4</v>
      </c>
      <c r="K161" s="1">
        <v>92</v>
      </c>
      <c r="L161" s="1" t="s">
        <v>32</v>
      </c>
    </row>
    <row r="162" spans="1:12" x14ac:dyDescent="0.25">
      <c r="A162" s="1" t="s">
        <v>204</v>
      </c>
      <c r="B162" s="1" t="s">
        <v>36</v>
      </c>
      <c r="C162" s="1" t="s">
        <v>25</v>
      </c>
      <c r="D162" s="1">
        <v>33</v>
      </c>
      <c r="E162" s="1" t="s">
        <v>15</v>
      </c>
      <c r="F162" s="1">
        <v>1</v>
      </c>
      <c r="G162" s="1">
        <v>32274</v>
      </c>
      <c r="H162" s="1">
        <v>15</v>
      </c>
      <c r="I162" s="1">
        <v>45</v>
      </c>
      <c r="J162" s="1">
        <v>3</v>
      </c>
      <c r="K162" s="1">
        <v>96</v>
      </c>
      <c r="L162" s="1" t="s">
        <v>51</v>
      </c>
    </row>
    <row r="163" spans="1:12" x14ac:dyDescent="0.25">
      <c r="A163" s="1" t="s">
        <v>205</v>
      </c>
      <c r="B163" s="1" t="s">
        <v>83</v>
      </c>
      <c r="C163" s="1" t="s">
        <v>29</v>
      </c>
      <c r="D163" s="1">
        <v>36</v>
      </c>
      <c r="E163" s="1" t="s">
        <v>15</v>
      </c>
      <c r="F163" s="1">
        <v>13</v>
      </c>
      <c r="G163" s="1">
        <v>42201</v>
      </c>
      <c r="H163" s="1">
        <v>4</v>
      </c>
      <c r="I163" s="1">
        <v>48</v>
      </c>
      <c r="J163" s="1">
        <v>5</v>
      </c>
      <c r="K163" s="1">
        <v>93</v>
      </c>
      <c r="L163" s="1" t="s">
        <v>37</v>
      </c>
    </row>
    <row r="164" spans="1:12" x14ac:dyDescent="0.25">
      <c r="A164" s="1" t="s">
        <v>206</v>
      </c>
      <c r="B164" s="1" t="s">
        <v>43</v>
      </c>
      <c r="C164" s="1" t="s">
        <v>22</v>
      </c>
      <c r="D164" s="1">
        <v>27</v>
      </c>
      <c r="E164" s="1" t="s">
        <v>15</v>
      </c>
      <c r="F164" s="1">
        <v>10</v>
      </c>
      <c r="G164" s="1">
        <v>47507</v>
      </c>
      <c r="H164" s="1">
        <v>14</v>
      </c>
      <c r="I164" s="1">
        <v>48</v>
      </c>
      <c r="J164" s="1">
        <v>5</v>
      </c>
      <c r="K164" s="1">
        <v>93</v>
      </c>
      <c r="L164" s="1" t="s">
        <v>26</v>
      </c>
    </row>
    <row r="165" spans="1:12" x14ac:dyDescent="0.25">
      <c r="A165" s="1" t="s">
        <v>207</v>
      </c>
      <c r="B165" s="1" t="s">
        <v>63</v>
      </c>
      <c r="C165" s="1" t="s">
        <v>14</v>
      </c>
      <c r="D165" s="1">
        <v>22</v>
      </c>
      <c r="E165" s="1" t="s">
        <v>15</v>
      </c>
      <c r="F165" s="1">
        <v>7</v>
      </c>
      <c r="G165" s="1">
        <v>38643</v>
      </c>
      <c r="H165" s="1">
        <v>14</v>
      </c>
      <c r="I165" s="1">
        <v>44</v>
      </c>
      <c r="J165" s="1">
        <v>4</v>
      </c>
      <c r="K165" s="1">
        <v>99</v>
      </c>
      <c r="L165" s="1" t="s">
        <v>16</v>
      </c>
    </row>
    <row r="166" spans="1:12" x14ac:dyDescent="0.25">
      <c r="A166" s="1" t="s">
        <v>208</v>
      </c>
      <c r="B166" s="1" t="s">
        <v>13</v>
      </c>
      <c r="C166" s="1" t="s">
        <v>22</v>
      </c>
      <c r="D166" s="1">
        <v>38</v>
      </c>
      <c r="E166" s="1" t="s">
        <v>15</v>
      </c>
      <c r="F166" s="1">
        <v>6</v>
      </c>
      <c r="G166" s="1">
        <v>72900</v>
      </c>
      <c r="H166" s="1">
        <v>9</v>
      </c>
      <c r="I166" s="1">
        <v>35</v>
      </c>
      <c r="J166" s="1">
        <v>5</v>
      </c>
      <c r="K166" s="1">
        <v>89</v>
      </c>
      <c r="L166" s="1" t="s">
        <v>51</v>
      </c>
    </row>
    <row r="167" spans="1:12" x14ac:dyDescent="0.25">
      <c r="A167" s="1" t="s">
        <v>209</v>
      </c>
      <c r="B167" s="1" t="s">
        <v>18</v>
      </c>
      <c r="C167" s="1" t="s">
        <v>25</v>
      </c>
      <c r="D167" s="1">
        <v>34</v>
      </c>
      <c r="E167" s="1" t="s">
        <v>19</v>
      </c>
      <c r="F167" s="1">
        <v>12</v>
      </c>
      <c r="G167" s="1">
        <v>52685</v>
      </c>
      <c r="H167" s="1">
        <v>14</v>
      </c>
      <c r="I167" s="1">
        <v>49</v>
      </c>
      <c r="J167" s="1">
        <v>5</v>
      </c>
      <c r="K167" s="1">
        <v>93</v>
      </c>
      <c r="L167" s="1" t="s">
        <v>32</v>
      </c>
    </row>
    <row r="168" spans="1:12" x14ac:dyDescent="0.25">
      <c r="A168" s="1" t="s">
        <v>210</v>
      </c>
      <c r="B168" s="1" t="s">
        <v>31</v>
      </c>
      <c r="C168" s="1" t="s">
        <v>22</v>
      </c>
      <c r="D168" s="1">
        <v>35</v>
      </c>
      <c r="E168" s="1" t="s">
        <v>19</v>
      </c>
      <c r="F168" s="1">
        <v>12</v>
      </c>
      <c r="G168" s="1">
        <v>55273</v>
      </c>
      <c r="H168" s="1">
        <v>14</v>
      </c>
      <c r="I168" s="1">
        <v>41</v>
      </c>
      <c r="J168" s="1">
        <v>1</v>
      </c>
      <c r="K168" s="1">
        <v>98</v>
      </c>
      <c r="L168" s="1" t="s">
        <v>26</v>
      </c>
    </row>
    <row r="169" spans="1:12" x14ac:dyDescent="0.25">
      <c r="A169" s="1" t="s">
        <v>211</v>
      </c>
      <c r="B169" s="1" t="s">
        <v>70</v>
      </c>
      <c r="C169" s="1" t="s">
        <v>14</v>
      </c>
      <c r="D169" s="1">
        <v>24</v>
      </c>
      <c r="E169" s="1" t="s">
        <v>15</v>
      </c>
      <c r="F169" s="1">
        <v>7</v>
      </c>
      <c r="G169" s="1">
        <v>43227</v>
      </c>
      <c r="H169" s="1">
        <v>11</v>
      </c>
      <c r="I169" s="1">
        <v>48</v>
      </c>
      <c r="J169" s="1">
        <v>5</v>
      </c>
      <c r="K169" s="1">
        <v>91</v>
      </c>
      <c r="L169" s="1" t="s">
        <v>51</v>
      </c>
    </row>
    <row r="170" spans="1:12" x14ac:dyDescent="0.25">
      <c r="A170" s="1" t="s">
        <v>212</v>
      </c>
      <c r="B170" s="1" t="s">
        <v>36</v>
      </c>
      <c r="C170" s="1" t="s">
        <v>14</v>
      </c>
      <c r="D170" s="1">
        <v>37</v>
      </c>
      <c r="E170" s="1" t="s">
        <v>19</v>
      </c>
      <c r="F170" s="1">
        <v>9</v>
      </c>
      <c r="G170" s="1">
        <v>34346</v>
      </c>
      <c r="H170" s="1">
        <v>15</v>
      </c>
      <c r="I170" s="1">
        <v>45</v>
      </c>
      <c r="J170" s="1">
        <v>2</v>
      </c>
      <c r="K170" s="1">
        <v>96</v>
      </c>
      <c r="L170" s="1" t="s">
        <v>37</v>
      </c>
    </row>
    <row r="171" spans="1:12" x14ac:dyDescent="0.25">
      <c r="A171" s="1" t="s">
        <v>213</v>
      </c>
      <c r="B171" s="1" t="s">
        <v>45</v>
      </c>
      <c r="C171" s="1" t="s">
        <v>22</v>
      </c>
      <c r="D171" s="1">
        <v>35</v>
      </c>
      <c r="E171" s="1" t="s">
        <v>15</v>
      </c>
      <c r="F171" s="1">
        <v>9</v>
      </c>
      <c r="G171" s="1">
        <v>29128</v>
      </c>
      <c r="H171" s="1">
        <v>6</v>
      </c>
      <c r="I171" s="1">
        <v>37</v>
      </c>
      <c r="J171" s="1">
        <v>2</v>
      </c>
      <c r="K171" s="1">
        <v>89</v>
      </c>
      <c r="L171" s="1" t="s">
        <v>26</v>
      </c>
    </row>
    <row r="172" spans="1:12" x14ac:dyDescent="0.25">
      <c r="A172" s="1" t="s">
        <v>214</v>
      </c>
      <c r="B172" s="1" t="s">
        <v>75</v>
      </c>
      <c r="C172" s="1" t="s">
        <v>22</v>
      </c>
      <c r="D172" s="1">
        <v>33</v>
      </c>
      <c r="E172" s="1" t="s">
        <v>19</v>
      </c>
      <c r="F172" s="1">
        <v>1</v>
      </c>
      <c r="G172" s="1">
        <v>25431</v>
      </c>
      <c r="H172" s="1">
        <v>11</v>
      </c>
      <c r="I172" s="1">
        <v>39</v>
      </c>
      <c r="J172" s="1">
        <v>2</v>
      </c>
      <c r="K172" s="1">
        <v>98</v>
      </c>
      <c r="L172" s="1" t="s">
        <v>26</v>
      </c>
    </row>
    <row r="173" spans="1:12" x14ac:dyDescent="0.25">
      <c r="A173" s="1" t="s">
        <v>215</v>
      </c>
      <c r="B173" s="1" t="s">
        <v>75</v>
      </c>
      <c r="C173" s="1" t="s">
        <v>25</v>
      </c>
      <c r="D173" s="1">
        <v>34</v>
      </c>
      <c r="E173" s="1" t="s">
        <v>15</v>
      </c>
      <c r="F173" s="1">
        <v>6</v>
      </c>
      <c r="G173" s="1">
        <v>43060</v>
      </c>
      <c r="H173" s="1">
        <v>7</v>
      </c>
      <c r="I173" s="1">
        <v>45</v>
      </c>
      <c r="J173" s="1">
        <v>4</v>
      </c>
      <c r="K173" s="1">
        <v>98</v>
      </c>
      <c r="L173" s="1" t="s">
        <v>32</v>
      </c>
    </row>
    <row r="174" spans="1:12" x14ac:dyDescent="0.25">
      <c r="A174" s="1" t="s">
        <v>216</v>
      </c>
      <c r="B174" s="1" t="s">
        <v>83</v>
      </c>
      <c r="C174" s="1" t="s">
        <v>22</v>
      </c>
      <c r="D174" s="1">
        <v>40</v>
      </c>
      <c r="E174" s="1" t="s">
        <v>15</v>
      </c>
      <c r="F174" s="1">
        <v>11</v>
      </c>
      <c r="G174" s="1">
        <v>70826</v>
      </c>
      <c r="H174" s="1">
        <v>9</v>
      </c>
      <c r="I174" s="1">
        <v>48</v>
      </c>
      <c r="J174" s="1">
        <v>2</v>
      </c>
      <c r="K174" s="1">
        <v>94</v>
      </c>
      <c r="L174" s="1" t="s">
        <v>37</v>
      </c>
    </row>
    <row r="175" spans="1:12" x14ac:dyDescent="0.25">
      <c r="A175" s="1" t="s">
        <v>217</v>
      </c>
      <c r="B175" s="1" t="s">
        <v>83</v>
      </c>
      <c r="C175" s="1" t="s">
        <v>14</v>
      </c>
      <c r="D175" s="1">
        <v>22</v>
      </c>
      <c r="E175" s="1" t="s">
        <v>15</v>
      </c>
      <c r="F175" s="1">
        <v>8</v>
      </c>
      <c r="G175" s="1">
        <v>39003</v>
      </c>
      <c r="H175" s="1">
        <v>13</v>
      </c>
      <c r="I175" s="1">
        <v>48</v>
      </c>
      <c r="J175" s="1">
        <v>3</v>
      </c>
      <c r="K175" s="1">
        <v>85</v>
      </c>
      <c r="L175" s="1" t="s">
        <v>37</v>
      </c>
    </row>
    <row r="176" spans="1:12" x14ac:dyDescent="0.25">
      <c r="A176" s="1" t="s">
        <v>218</v>
      </c>
      <c r="B176" s="1" t="s">
        <v>81</v>
      </c>
      <c r="C176" s="1" t="s">
        <v>25</v>
      </c>
      <c r="D176" s="1">
        <v>36</v>
      </c>
      <c r="E176" s="1" t="s">
        <v>15</v>
      </c>
      <c r="F176" s="1">
        <v>15</v>
      </c>
      <c r="G176" s="1">
        <v>57642</v>
      </c>
      <c r="H176" s="1">
        <v>13</v>
      </c>
      <c r="I176" s="1">
        <v>47</v>
      </c>
      <c r="J176" s="1">
        <v>5</v>
      </c>
      <c r="K176" s="1">
        <v>93</v>
      </c>
      <c r="L176" s="1" t="s">
        <v>37</v>
      </c>
    </row>
    <row r="177" spans="1:12" x14ac:dyDescent="0.25">
      <c r="A177" s="1" t="s">
        <v>219</v>
      </c>
      <c r="B177" s="1" t="s">
        <v>43</v>
      </c>
      <c r="C177" s="1" t="s">
        <v>22</v>
      </c>
      <c r="D177" s="1">
        <v>24</v>
      </c>
      <c r="E177" s="1" t="s">
        <v>15</v>
      </c>
      <c r="F177" s="1">
        <v>13</v>
      </c>
      <c r="G177" s="1">
        <v>73356</v>
      </c>
      <c r="H177" s="1">
        <v>13</v>
      </c>
      <c r="I177" s="1">
        <v>35</v>
      </c>
      <c r="J177" s="1">
        <v>3</v>
      </c>
      <c r="K177" s="1">
        <v>93</v>
      </c>
      <c r="L177" s="1" t="s">
        <v>23</v>
      </c>
    </row>
    <row r="178" spans="1:12" x14ac:dyDescent="0.25">
      <c r="A178" s="1" t="s">
        <v>220</v>
      </c>
      <c r="B178" s="1" t="s">
        <v>75</v>
      </c>
      <c r="C178" s="1" t="s">
        <v>22</v>
      </c>
      <c r="D178" s="1">
        <v>35</v>
      </c>
      <c r="E178" s="1" t="s">
        <v>15</v>
      </c>
      <c r="F178" s="1">
        <v>11</v>
      </c>
      <c r="G178" s="1">
        <v>61411</v>
      </c>
      <c r="H178" s="1">
        <v>6</v>
      </c>
      <c r="I178" s="1">
        <v>44</v>
      </c>
      <c r="J178" s="1">
        <v>4</v>
      </c>
      <c r="K178" s="1">
        <v>92</v>
      </c>
      <c r="L178" s="1" t="s">
        <v>37</v>
      </c>
    </row>
    <row r="179" spans="1:12" x14ac:dyDescent="0.25">
      <c r="A179" s="1" t="s">
        <v>221</v>
      </c>
      <c r="B179" s="1" t="s">
        <v>89</v>
      </c>
      <c r="C179" s="1" t="s">
        <v>29</v>
      </c>
      <c r="D179" s="1">
        <v>39</v>
      </c>
      <c r="E179" s="1" t="s">
        <v>15</v>
      </c>
      <c r="F179" s="1">
        <v>10</v>
      </c>
      <c r="G179" s="1">
        <v>65136</v>
      </c>
      <c r="H179" s="1">
        <v>3</v>
      </c>
      <c r="I179" s="1">
        <v>45</v>
      </c>
      <c r="J179" s="1">
        <v>2</v>
      </c>
      <c r="K179" s="1">
        <v>98</v>
      </c>
      <c r="L179" s="1" t="s">
        <v>51</v>
      </c>
    </row>
    <row r="180" spans="1:12" x14ac:dyDescent="0.25">
      <c r="A180" s="1" t="s">
        <v>222</v>
      </c>
      <c r="B180" s="1" t="s">
        <v>21</v>
      </c>
      <c r="C180" s="1" t="s">
        <v>29</v>
      </c>
      <c r="D180" s="1">
        <v>35</v>
      </c>
      <c r="E180" s="1" t="s">
        <v>15</v>
      </c>
      <c r="F180" s="1">
        <v>14</v>
      </c>
      <c r="G180" s="1">
        <v>72546</v>
      </c>
      <c r="H180" s="1">
        <v>4</v>
      </c>
      <c r="I180" s="1">
        <v>43</v>
      </c>
      <c r="J180" s="1">
        <v>5</v>
      </c>
      <c r="K180" s="1">
        <v>87</v>
      </c>
      <c r="L180" s="1" t="s">
        <v>26</v>
      </c>
    </row>
    <row r="181" spans="1:12" x14ac:dyDescent="0.25">
      <c r="A181" s="1" t="s">
        <v>223</v>
      </c>
      <c r="B181" s="1" t="s">
        <v>43</v>
      </c>
      <c r="C181" s="1" t="s">
        <v>29</v>
      </c>
      <c r="D181" s="1">
        <v>33</v>
      </c>
      <c r="E181" s="1" t="s">
        <v>19</v>
      </c>
      <c r="F181" s="1">
        <v>8</v>
      </c>
      <c r="G181" s="1">
        <v>69587</v>
      </c>
      <c r="H181" s="1">
        <v>3</v>
      </c>
      <c r="I181" s="1">
        <v>46</v>
      </c>
      <c r="J181" s="1">
        <v>2</v>
      </c>
      <c r="K181" s="1">
        <v>93</v>
      </c>
      <c r="L181" s="1" t="s">
        <v>16</v>
      </c>
    </row>
    <row r="182" spans="1:12" x14ac:dyDescent="0.25">
      <c r="A182" s="1" t="s">
        <v>224</v>
      </c>
      <c r="B182" s="1" t="s">
        <v>13</v>
      </c>
      <c r="C182" s="1" t="s">
        <v>29</v>
      </c>
      <c r="D182" s="1">
        <v>23</v>
      </c>
      <c r="E182" s="1" t="s">
        <v>19</v>
      </c>
      <c r="F182" s="1">
        <v>3</v>
      </c>
      <c r="G182" s="1">
        <v>43424</v>
      </c>
      <c r="H182" s="1">
        <v>3</v>
      </c>
      <c r="I182" s="1">
        <v>37</v>
      </c>
      <c r="J182" s="1">
        <v>2</v>
      </c>
      <c r="K182" s="1">
        <v>94</v>
      </c>
      <c r="L182" s="1" t="s">
        <v>23</v>
      </c>
    </row>
    <row r="183" spans="1:12" x14ac:dyDescent="0.25">
      <c r="A183" s="1" t="s">
        <v>225</v>
      </c>
      <c r="B183" s="1" t="s">
        <v>36</v>
      </c>
      <c r="C183" s="1" t="s">
        <v>25</v>
      </c>
      <c r="D183" s="1">
        <v>26</v>
      </c>
      <c r="E183" s="1" t="s">
        <v>15</v>
      </c>
      <c r="F183" s="1">
        <v>15</v>
      </c>
      <c r="G183" s="1">
        <v>69946</v>
      </c>
      <c r="H183" s="1">
        <v>8</v>
      </c>
      <c r="I183" s="1">
        <v>42</v>
      </c>
      <c r="J183" s="1">
        <v>3</v>
      </c>
      <c r="K183" s="1">
        <v>85</v>
      </c>
      <c r="L183" s="1" t="s">
        <v>26</v>
      </c>
    </row>
    <row r="184" spans="1:12" x14ac:dyDescent="0.25">
      <c r="A184" s="1" t="s">
        <v>226</v>
      </c>
      <c r="B184" s="1" t="s">
        <v>45</v>
      </c>
      <c r="C184" s="1" t="s">
        <v>29</v>
      </c>
      <c r="D184" s="1">
        <v>38</v>
      </c>
      <c r="E184" s="1" t="s">
        <v>19</v>
      </c>
      <c r="F184" s="1">
        <v>7</v>
      </c>
      <c r="G184" s="1">
        <v>54630</v>
      </c>
      <c r="H184" s="1">
        <v>15</v>
      </c>
      <c r="I184" s="1">
        <v>48</v>
      </c>
      <c r="J184" s="1">
        <v>4</v>
      </c>
      <c r="K184" s="1">
        <v>85</v>
      </c>
      <c r="L184" s="1" t="s">
        <v>16</v>
      </c>
    </row>
    <row r="185" spans="1:12" x14ac:dyDescent="0.25">
      <c r="A185" s="1" t="s">
        <v>227</v>
      </c>
      <c r="B185" s="1" t="s">
        <v>13</v>
      </c>
      <c r="C185" s="1" t="s">
        <v>29</v>
      </c>
      <c r="D185" s="1">
        <v>36</v>
      </c>
      <c r="E185" s="1" t="s">
        <v>15</v>
      </c>
      <c r="F185" s="1">
        <v>15</v>
      </c>
      <c r="G185" s="1">
        <v>63136</v>
      </c>
      <c r="H185" s="1">
        <v>8</v>
      </c>
      <c r="I185" s="1">
        <v>37</v>
      </c>
      <c r="J185" s="1">
        <v>4</v>
      </c>
      <c r="K185" s="1">
        <v>92</v>
      </c>
      <c r="L185" s="1" t="s">
        <v>32</v>
      </c>
    </row>
    <row r="186" spans="1:12" x14ac:dyDescent="0.25">
      <c r="A186" s="1" t="s">
        <v>228</v>
      </c>
      <c r="B186" s="1" t="s">
        <v>13</v>
      </c>
      <c r="C186" s="1" t="s">
        <v>29</v>
      </c>
      <c r="D186" s="1">
        <v>26</v>
      </c>
      <c r="E186" s="1" t="s">
        <v>15</v>
      </c>
      <c r="F186" s="1">
        <v>5</v>
      </c>
      <c r="G186" s="1">
        <v>77979</v>
      </c>
      <c r="H186" s="1">
        <v>7</v>
      </c>
      <c r="I186" s="1">
        <v>44</v>
      </c>
      <c r="J186" s="1">
        <v>2</v>
      </c>
      <c r="K186" s="1">
        <v>91</v>
      </c>
      <c r="L186" s="1" t="s">
        <v>26</v>
      </c>
    </row>
    <row r="187" spans="1:12" x14ac:dyDescent="0.25">
      <c r="A187" s="1" t="s">
        <v>229</v>
      </c>
      <c r="B187" s="1" t="s">
        <v>65</v>
      </c>
      <c r="C187" s="1" t="s">
        <v>14</v>
      </c>
      <c r="D187" s="1">
        <v>38</v>
      </c>
      <c r="E187" s="1" t="s">
        <v>19</v>
      </c>
      <c r="F187" s="1">
        <v>10</v>
      </c>
      <c r="G187" s="1">
        <v>25866</v>
      </c>
      <c r="H187" s="1">
        <v>6</v>
      </c>
      <c r="I187" s="1">
        <v>42</v>
      </c>
      <c r="J187" s="1">
        <v>4</v>
      </c>
      <c r="K187" s="1">
        <v>91</v>
      </c>
      <c r="L187" s="1" t="s">
        <v>23</v>
      </c>
    </row>
    <row r="188" spans="1:12" x14ac:dyDescent="0.25">
      <c r="A188" s="1" t="s">
        <v>230</v>
      </c>
      <c r="B188" s="1" t="s">
        <v>53</v>
      </c>
      <c r="C188" s="1" t="s">
        <v>29</v>
      </c>
      <c r="D188" s="1">
        <v>24</v>
      </c>
      <c r="E188" s="1" t="s">
        <v>15</v>
      </c>
      <c r="F188" s="1">
        <v>13</v>
      </c>
      <c r="G188" s="1">
        <v>77990</v>
      </c>
      <c r="H188" s="1">
        <v>3</v>
      </c>
      <c r="I188" s="1">
        <v>40</v>
      </c>
      <c r="J188" s="1">
        <v>2</v>
      </c>
      <c r="K188" s="1">
        <v>93</v>
      </c>
      <c r="L188" s="1" t="s">
        <v>51</v>
      </c>
    </row>
    <row r="189" spans="1:12" x14ac:dyDescent="0.25">
      <c r="A189" s="1" t="s">
        <v>231</v>
      </c>
      <c r="B189" s="1" t="s">
        <v>43</v>
      </c>
      <c r="C189" s="1" t="s">
        <v>22</v>
      </c>
      <c r="D189" s="1">
        <v>36</v>
      </c>
      <c r="E189" s="1" t="s">
        <v>15</v>
      </c>
      <c r="F189" s="1">
        <v>12</v>
      </c>
      <c r="G189" s="1">
        <v>51269</v>
      </c>
      <c r="H189" s="1">
        <v>5</v>
      </c>
      <c r="I189" s="1">
        <v>47</v>
      </c>
      <c r="J189" s="1">
        <v>1</v>
      </c>
      <c r="K189" s="1">
        <v>91</v>
      </c>
      <c r="L189" s="1" t="s">
        <v>37</v>
      </c>
    </row>
    <row r="190" spans="1:12" x14ac:dyDescent="0.25">
      <c r="A190" s="1" t="s">
        <v>232</v>
      </c>
      <c r="B190" s="1" t="s">
        <v>45</v>
      </c>
      <c r="C190" s="1" t="s">
        <v>25</v>
      </c>
      <c r="D190" s="1">
        <v>22</v>
      </c>
      <c r="E190" s="1" t="s">
        <v>15</v>
      </c>
      <c r="F190" s="1">
        <v>10</v>
      </c>
      <c r="G190" s="1">
        <v>79099</v>
      </c>
      <c r="H190" s="1">
        <v>8</v>
      </c>
      <c r="I190" s="1">
        <v>43</v>
      </c>
      <c r="J190" s="1">
        <v>2</v>
      </c>
      <c r="K190" s="1">
        <v>98</v>
      </c>
      <c r="L190" s="1" t="s">
        <v>16</v>
      </c>
    </row>
    <row r="191" spans="1:12" x14ac:dyDescent="0.25">
      <c r="A191" s="1" t="s">
        <v>233</v>
      </c>
      <c r="B191" s="1" t="s">
        <v>43</v>
      </c>
      <c r="C191" s="1" t="s">
        <v>14</v>
      </c>
      <c r="D191" s="1">
        <v>29</v>
      </c>
      <c r="E191" s="1" t="s">
        <v>15</v>
      </c>
      <c r="F191" s="1">
        <v>15</v>
      </c>
      <c r="G191" s="1">
        <v>47228</v>
      </c>
      <c r="H191" s="1">
        <v>13</v>
      </c>
      <c r="I191" s="1">
        <v>49</v>
      </c>
      <c r="J191" s="1">
        <v>4</v>
      </c>
      <c r="K191" s="1">
        <v>90</v>
      </c>
      <c r="L191" s="1" t="s">
        <v>51</v>
      </c>
    </row>
    <row r="192" spans="1:12" x14ac:dyDescent="0.25">
      <c r="A192" s="1" t="s">
        <v>234</v>
      </c>
      <c r="B192" s="1" t="s">
        <v>18</v>
      </c>
      <c r="C192" s="1" t="s">
        <v>25</v>
      </c>
      <c r="D192" s="1">
        <v>23</v>
      </c>
      <c r="E192" s="1" t="s">
        <v>15</v>
      </c>
      <c r="F192" s="1">
        <v>7</v>
      </c>
      <c r="G192" s="1">
        <v>55413</v>
      </c>
      <c r="H192" s="1">
        <v>12</v>
      </c>
      <c r="I192" s="1">
        <v>40</v>
      </c>
      <c r="J192" s="1">
        <v>5</v>
      </c>
      <c r="K192" s="1">
        <v>100</v>
      </c>
      <c r="L192" s="1" t="s">
        <v>23</v>
      </c>
    </row>
    <row r="193" spans="1:12" x14ac:dyDescent="0.25">
      <c r="A193" s="1" t="s">
        <v>235</v>
      </c>
      <c r="B193" s="1" t="s">
        <v>43</v>
      </c>
      <c r="C193" s="1" t="s">
        <v>29</v>
      </c>
      <c r="D193" s="1">
        <v>36</v>
      </c>
      <c r="E193" s="1" t="s">
        <v>19</v>
      </c>
      <c r="F193" s="1">
        <v>2</v>
      </c>
      <c r="G193" s="1">
        <v>76251</v>
      </c>
      <c r="H193" s="1">
        <v>8</v>
      </c>
      <c r="I193" s="1">
        <v>45</v>
      </c>
      <c r="J193" s="1">
        <v>1</v>
      </c>
      <c r="K193" s="1">
        <v>86</v>
      </c>
      <c r="L193" s="1" t="s">
        <v>16</v>
      </c>
    </row>
    <row r="194" spans="1:12" x14ac:dyDescent="0.25">
      <c r="A194" s="1" t="s">
        <v>236</v>
      </c>
      <c r="B194" s="1" t="s">
        <v>65</v>
      </c>
      <c r="C194" s="1" t="s">
        <v>14</v>
      </c>
      <c r="D194" s="1">
        <v>38</v>
      </c>
      <c r="E194" s="1" t="s">
        <v>19</v>
      </c>
      <c r="F194" s="1">
        <v>8</v>
      </c>
      <c r="G194" s="1">
        <v>70483</v>
      </c>
      <c r="H194" s="1">
        <v>10</v>
      </c>
      <c r="I194" s="1">
        <v>41</v>
      </c>
      <c r="J194" s="1">
        <v>5</v>
      </c>
      <c r="K194" s="1">
        <v>97</v>
      </c>
      <c r="L194" s="1" t="s">
        <v>32</v>
      </c>
    </row>
    <row r="195" spans="1:12" x14ac:dyDescent="0.25">
      <c r="A195" s="1" t="s">
        <v>237</v>
      </c>
      <c r="B195" s="1" t="s">
        <v>89</v>
      </c>
      <c r="C195" s="1" t="s">
        <v>29</v>
      </c>
      <c r="D195" s="1">
        <v>25</v>
      </c>
      <c r="E195" s="1" t="s">
        <v>15</v>
      </c>
      <c r="F195" s="1">
        <v>14</v>
      </c>
      <c r="G195" s="1">
        <v>76866</v>
      </c>
      <c r="H195" s="1">
        <v>8</v>
      </c>
      <c r="I195" s="1">
        <v>41</v>
      </c>
      <c r="J195" s="1">
        <v>3</v>
      </c>
      <c r="K195" s="1">
        <v>90</v>
      </c>
      <c r="L195" s="1" t="s">
        <v>23</v>
      </c>
    </row>
    <row r="196" spans="1:12" x14ac:dyDescent="0.25">
      <c r="A196" s="1" t="s">
        <v>238</v>
      </c>
      <c r="B196" s="1" t="s">
        <v>53</v>
      </c>
      <c r="C196" s="1" t="s">
        <v>29</v>
      </c>
      <c r="D196" s="1">
        <v>40</v>
      </c>
      <c r="E196" s="1" t="s">
        <v>19</v>
      </c>
      <c r="F196" s="1">
        <v>4</v>
      </c>
      <c r="G196" s="1">
        <v>74980</v>
      </c>
      <c r="H196" s="1">
        <v>12</v>
      </c>
      <c r="I196" s="1">
        <v>43</v>
      </c>
      <c r="J196" s="1">
        <v>4</v>
      </c>
      <c r="K196" s="1">
        <v>99</v>
      </c>
      <c r="L196" s="1" t="s">
        <v>23</v>
      </c>
    </row>
    <row r="197" spans="1:12" x14ac:dyDescent="0.25">
      <c r="A197" s="1" t="s">
        <v>239</v>
      </c>
      <c r="B197" s="1" t="s">
        <v>31</v>
      </c>
      <c r="C197" s="1" t="s">
        <v>22</v>
      </c>
      <c r="D197" s="1">
        <v>34</v>
      </c>
      <c r="E197" s="1" t="s">
        <v>15</v>
      </c>
      <c r="F197" s="1">
        <v>3</v>
      </c>
      <c r="G197" s="1">
        <v>71884</v>
      </c>
      <c r="H197" s="1">
        <v>6</v>
      </c>
      <c r="I197" s="1">
        <v>39</v>
      </c>
      <c r="J197" s="1">
        <v>3</v>
      </c>
      <c r="K197" s="1">
        <v>96</v>
      </c>
      <c r="L197" s="1" t="s">
        <v>51</v>
      </c>
    </row>
    <row r="198" spans="1:12" x14ac:dyDescent="0.25">
      <c r="A198" s="1" t="s">
        <v>240</v>
      </c>
      <c r="B198" s="1" t="s">
        <v>40</v>
      </c>
      <c r="C198" s="1" t="s">
        <v>29</v>
      </c>
      <c r="D198" s="1">
        <v>32</v>
      </c>
      <c r="E198" s="1" t="s">
        <v>19</v>
      </c>
      <c r="F198" s="1">
        <v>1</v>
      </c>
      <c r="G198" s="1">
        <v>55654</v>
      </c>
      <c r="H198" s="1">
        <v>10</v>
      </c>
      <c r="I198" s="1">
        <v>44</v>
      </c>
      <c r="J198" s="1">
        <v>3</v>
      </c>
      <c r="K198" s="1">
        <v>90</v>
      </c>
      <c r="L198" s="1" t="s">
        <v>23</v>
      </c>
    </row>
    <row r="199" spans="1:12" x14ac:dyDescent="0.25">
      <c r="A199" s="1" t="s">
        <v>241</v>
      </c>
      <c r="B199" s="1" t="s">
        <v>83</v>
      </c>
      <c r="C199" s="1" t="s">
        <v>25</v>
      </c>
      <c r="D199" s="1">
        <v>29</v>
      </c>
      <c r="E199" s="1" t="s">
        <v>19</v>
      </c>
      <c r="F199" s="1">
        <v>10</v>
      </c>
      <c r="G199" s="1">
        <v>70340</v>
      </c>
      <c r="H199" s="1">
        <v>6</v>
      </c>
      <c r="I199" s="1">
        <v>42</v>
      </c>
      <c r="J199" s="1">
        <v>5</v>
      </c>
      <c r="K199" s="1">
        <v>89</v>
      </c>
      <c r="L199" s="1" t="s">
        <v>37</v>
      </c>
    </row>
    <row r="200" spans="1:12" x14ac:dyDescent="0.25">
      <c r="A200" s="1" t="s">
        <v>242</v>
      </c>
      <c r="B200" s="1" t="s">
        <v>43</v>
      </c>
      <c r="C200" s="1" t="s">
        <v>14</v>
      </c>
      <c r="D200" s="1">
        <v>38</v>
      </c>
      <c r="E200" s="1" t="s">
        <v>19</v>
      </c>
      <c r="F200" s="1">
        <v>11</v>
      </c>
      <c r="G200" s="1">
        <v>43819</v>
      </c>
      <c r="H200" s="1">
        <v>8</v>
      </c>
      <c r="I200" s="1">
        <v>42</v>
      </c>
      <c r="J200" s="1">
        <v>1</v>
      </c>
      <c r="K200" s="1">
        <v>88</v>
      </c>
      <c r="L200" s="1" t="s">
        <v>23</v>
      </c>
    </row>
    <row r="201" spans="1:12" x14ac:dyDescent="0.25">
      <c r="A201" s="1" t="s">
        <v>243</v>
      </c>
      <c r="B201" s="1" t="s">
        <v>63</v>
      </c>
      <c r="C201" s="1" t="s">
        <v>29</v>
      </c>
      <c r="D201" s="1">
        <v>22</v>
      </c>
      <c r="E201" s="1" t="s">
        <v>15</v>
      </c>
      <c r="F201" s="1">
        <v>7</v>
      </c>
      <c r="G201" s="1">
        <v>49753</v>
      </c>
      <c r="H201" s="1">
        <v>7</v>
      </c>
      <c r="I201" s="1">
        <v>49</v>
      </c>
      <c r="J201" s="1">
        <v>5</v>
      </c>
      <c r="K201" s="1">
        <v>92</v>
      </c>
      <c r="L201" s="1" t="s">
        <v>23</v>
      </c>
    </row>
    <row r="202" spans="1:12" x14ac:dyDescent="0.25">
      <c r="A202" s="1" t="s">
        <v>244</v>
      </c>
      <c r="B202" s="1" t="s">
        <v>75</v>
      </c>
      <c r="C202" s="1" t="s">
        <v>29</v>
      </c>
      <c r="D202" s="1">
        <v>31</v>
      </c>
      <c r="E202" s="1" t="s">
        <v>15</v>
      </c>
      <c r="F202" s="1">
        <v>9</v>
      </c>
      <c r="G202" s="1">
        <v>30471</v>
      </c>
      <c r="H202" s="1">
        <v>6</v>
      </c>
      <c r="I202" s="1">
        <v>46</v>
      </c>
      <c r="J202" s="1">
        <v>2</v>
      </c>
      <c r="K202" s="1">
        <v>88</v>
      </c>
      <c r="L202" s="1" t="s">
        <v>16</v>
      </c>
    </row>
    <row r="203" spans="1:12" x14ac:dyDescent="0.25">
      <c r="A203" s="1" t="s">
        <v>245</v>
      </c>
      <c r="B203" s="1" t="s">
        <v>75</v>
      </c>
      <c r="C203" s="1" t="s">
        <v>29</v>
      </c>
      <c r="D203" s="1">
        <v>39</v>
      </c>
      <c r="E203" s="1" t="s">
        <v>15</v>
      </c>
      <c r="F203" s="1">
        <v>15</v>
      </c>
      <c r="G203" s="1">
        <v>41656</v>
      </c>
      <c r="H203" s="1">
        <v>9</v>
      </c>
      <c r="I203" s="1">
        <v>49</v>
      </c>
      <c r="J203" s="1">
        <v>4</v>
      </c>
      <c r="K203" s="1">
        <v>96</v>
      </c>
      <c r="L203" s="1" t="s">
        <v>26</v>
      </c>
    </row>
    <row r="204" spans="1:12" x14ac:dyDescent="0.25">
      <c r="A204" s="1" t="s">
        <v>246</v>
      </c>
      <c r="B204" s="1" t="s">
        <v>18</v>
      </c>
      <c r="C204" s="1" t="s">
        <v>25</v>
      </c>
      <c r="D204" s="1">
        <v>24</v>
      </c>
      <c r="E204" s="1" t="s">
        <v>19</v>
      </c>
      <c r="F204" s="1">
        <v>4</v>
      </c>
      <c r="G204" s="1">
        <v>45877</v>
      </c>
      <c r="H204" s="1">
        <v>4</v>
      </c>
      <c r="I204" s="1">
        <v>43</v>
      </c>
      <c r="J204" s="1">
        <v>4</v>
      </c>
      <c r="K204" s="1">
        <v>93</v>
      </c>
      <c r="L204" s="1" t="s">
        <v>51</v>
      </c>
    </row>
    <row r="205" spans="1:12" x14ac:dyDescent="0.25">
      <c r="A205" s="1" t="s">
        <v>247</v>
      </c>
      <c r="B205" s="1" t="s">
        <v>40</v>
      </c>
      <c r="C205" s="1" t="s">
        <v>25</v>
      </c>
      <c r="D205" s="1">
        <v>27</v>
      </c>
      <c r="E205" s="1" t="s">
        <v>19</v>
      </c>
      <c r="F205" s="1">
        <v>5</v>
      </c>
      <c r="G205" s="1">
        <v>45604</v>
      </c>
      <c r="H205" s="1">
        <v>13</v>
      </c>
      <c r="I205" s="1">
        <v>43</v>
      </c>
      <c r="J205" s="1">
        <v>3</v>
      </c>
      <c r="K205" s="1">
        <v>97</v>
      </c>
      <c r="L205" s="1" t="s">
        <v>51</v>
      </c>
    </row>
    <row r="206" spans="1:12" x14ac:dyDescent="0.25">
      <c r="A206" s="1" t="s">
        <v>248</v>
      </c>
      <c r="B206" s="1" t="s">
        <v>21</v>
      </c>
      <c r="C206" s="1" t="s">
        <v>29</v>
      </c>
      <c r="D206" s="1">
        <v>26</v>
      </c>
      <c r="E206" s="1" t="s">
        <v>15</v>
      </c>
      <c r="F206" s="1">
        <v>7</v>
      </c>
      <c r="G206" s="1">
        <v>25591</v>
      </c>
      <c r="H206" s="1">
        <v>15</v>
      </c>
      <c r="I206" s="1">
        <v>40</v>
      </c>
      <c r="J206" s="1">
        <v>1</v>
      </c>
      <c r="K206" s="1">
        <v>100</v>
      </c>
      <c r="L206" s="1" t="s">
        <v>32</v>
      </c>
    </row>
    <row r="207" spans="1:12" x14ac:dyDescent="0.25">
      <c r="A207" s="1" t="s">
        <v>249</v>
      </c>
      <c r="B207" s="1" t="s">
        <v>13</v>
      </c>
      <c r="C207" s="1" t="s">
        <v>25</v>
      </c>
      <c r="D207" s="1">
        <v>37</v>
      </c>
      <c r="E207" s="1" t="s">
        <v>15</v>
      </c>
      <c r="F207" s="1">
        <v>8</v>
      </c>
      <c r="G207" s="1">
        <v>54449</v>
      </c>
      <c r="H207" s="1">
        <v>8</v>
      </c>
      <c r="I207" s="1">
        <v>38</v>
      </c>
      <c r="J207" s="1">
        <v>2</v>
      </c>
      <c r="K207" s="1">
        <v>89</v>
      </c>
      <c r="L207" s="1" t="s">
        <v>23</v>
      </c>
    </row>
    <row r="208" spans="1:12" x14ac:dyDescent="0.25">
      <c r="A208" s="1" t="s">
        <v>250</v>
      </c>
      <c r="B208" s="1" t="s">
        <v>18</v>
      </c>
      <c r="C208" s="1" t="s">
        <v>22</v>
      </c>
      <c r="D208" s="1">
        <v>27</v>
      </c>
      <c r="E208" s="1" t="s">
        <v>19</v>
      </c>
      <c r="F208" s="1">
        <v>3</v>
      </c>
      <c r="G208" s="1">
        <v>57141</v>
      </c>
      <c r="H208" s="1">
        <v>4</v>
      </c>
      <c r="I208" s="1">
        <v>44</v>
      </c>
      <c r="J208" s="1">
        <v>4</v>
      </c>
      <c r="K208" s="1">
        <v>94</v>
      </c>
      <c r="L208" s="1" t="s">
        <v>32</v>
      </c>
    </row>
    <row r="209" spans="1:12" x14ac:dyDescent="0.25">
      <c r="A209" s="1" t="s">
        <v>251</v>
      </c>
      <c r="B209" s="1" t="s">
        <v>81</v>
      </c>
      <c r="C209" s="1" t="s">
        <v>22</v>
      </c>
      <c r="D209" s="1">
        <v>22</v>
      </c>
      <c r="E209" s="1" t="s">
        <v>15</v>
      </c>
      <c r="F209" s="1">
        <v>4</v>
      </c>
      <c r="G209" s="1">
        <v>43916</v>
      </c>
      <c r="H209" s="1">
        <v>8</v>
      </c>
      <c r="I209" s="1">
        <v>43</v>
      </c>
      <c r="J209" s="1">
        <v>3</v>
      </c>
      <c r="K209" s="1">
        <v>96</v>
      </c>
      <c r="L209" s="1" t="s">
        <v>37</v>
      </c>
    </row>
    <row r="210" spans="1:12" x14ac:dyDescent="0.25">
      <c r="A210" s="1" t="s">
        <v>252</v>
      </c>
      <c r="B210" s="1" t="s">
        <v>70</v>
      </c>
      <c r="C210" s="1" t="s">
        <v>22</v>
      </c>
      <c r="D210" s="1">
        <v>38</v>
      </c>
      <c r="E210" s="1" t="s">
        <v>19</v>
      </c>
      <c r="F210" s="1">
        <v>1</v>
      </c>
      <c r="G210" s="1">
        <v>28635</v>
      </c>
      <c r="H210" s="1">
        <v>15</v>
      </c>
      <c r="I210" s="1">
        <v>36</v>
      </c>
      <c r="J210" s="1">
        <v>3</v>
      </c>
      <c r="K210" s="1">
        <v>99</v>
      </c>
      <c r="L210" s="1" t="s">
        <v>23</v>
      </c>
    </row>
    <row r="211" spans="1:12" x14ac:dyDescent="0.25">
      <c r="A211" s="1" t="s">
        <v>253</v>
      </c>
      <c r="B211" s="1" t="s">
        <v>36</v>
      </c>
      <c r="C211" s="1" t="s">
        <v>22</v>
      </c>
      <c r="D211" s="1">
        <v>28</v>
      </c>
      <c r="E211" s="1" t="s">
        <v>15</v>
      </c>
      <c r="F211" s="1">
        <v>11</v>
      </c>
      <c r="G211" s="1">
        <v>59465</v>
      </c>
      <c r="H211" s="1">
        <v>7</v>
      </c>
      <c r="I211" s="1">
        <v>42</v>
      </c>
      <c r="J211" s="1">
        <v>1</v>
      </c>
      <c r="K211" s="1">
        <v>100</v>
      </c>
      <c r="L211" s="1" t="s">
        <v>37</v>
      </c>
    </row>
    <row r="212" spans="1:12" x14ac:dyDescent="0.25">
      <c r="A212" s="1" t="s">
        <v>254</v>
      </c>
      <c r="B212" s="1" t="s">
        <v>89</v>
      </c>
      <c r="C212" s="1" t="s">
        <v>14</v>
      </c>
      <c r="D212" s="1">
        <v>38</v>
      </c>
      <c r="E212" s="1" t="s">
        <v>15</v>
      </c>
      <c r="F212" s="1">
        <v>14</v>
      </c>
      <c r="G212" s="1">
        <v>49179</v>
      </c>
      <c r="H212" s="1">
        <v>11</v>
      </c>
      <c r="I212" s="1">
        <v>35</v>
      </c>
      <c r="J212" s="1">
        <v>3</v>
      </c>
      <c r="K212" s="1">
        <v>98</v>
      </c>
      <c r="L212" s="1" t="s">
        <v>16</v>
      </c>
    </row>
    <row r="213" spans="1:12" x14ac:dyDescent="0.25">
      <c r="A213" s="1" t="s">
        <v>255</v>
      </c>
      <c r="B213" s="1" t="s">
        <v>83</v>
      </c>
      <c r="C213" s="1" t="s">
        <v>22</v>
      </c>
      <c r="D213" s="1">
        <v>33</v>
      </c>
      <c r="E213" s="1" t="s">
        <v>19</v>
      </c>
      <c r="F213" s="1">
        <v>13</v>
      </c>
      <c r="G213" s="1">
        <v>36595</v>
      </c>
      <c r="H213" s="1">
        <v>14</v>
      </c>
      <c r="I213" s="1">
        <v>47</v>
      </c>
      <c r="J213" s="1">
        <v>2</v>
      </c>
      <c r="K213" s="1">
        <v>88</v>
      </c>
      <c r="L213" s="1" t="s">
        <v>26</v>
      </c>
    </row>
    <row r="214" spans="1:12" x14ac:dyDescent="0.25">
      <c r="A214" s="1" t="s">
        <v>256</v>
      </c>
      <c r="B214" s="1" t="s">
        <v>18</v>
      </c>
      <c r="C214" s="1" t="s">
        <v>29</v>
      </c>
      <c r="D214" s="1">
        <v>36</v>
      </c>
      <c r="E214" s="1" t="s">
        <v>19</v>
      </c>
      <c r="F214" s="1">
        <v>14</v>
      </c>
      <c r="G214" s="1">
        <v>77981</v>
      </c>
      <c r="H214" s="1">
        <v>3</v>
      </c>
      <c r="I214" s="1">
        <v>43</v>
      </c>
      <c r="J214" s="1">
        <v>3</v>
      </c>
      <c r="K214" s="1">
        <v>90</v>
      </c>
      <c r="L214" s="1" t="s">
        <v>37</v>
      </c>
    </row>
    <row r="215" spans="1:12" x14ac:dyDescent="0.25">
      <c r="A215" s="1" t="s">
        <v>257</v>
      </c>
      <c r="B215" s="1" t="s">
        <v>70</v>
      </c>
      <c r="C215" s="1" t="s">
        <v>22</v>
      </c>
      <c r="D215" s="1">
        <v>39</v>
      </c>
      <c r="E215" s="1" t="s">
        <v>19</v>
      </c>
      <c r="F215" s="1">
        <v>6</v>
      </c>
      <c r="G215" s="1">
        <v>36458</v>
      </c>
      <c r="H215" s="1">
        <v>14</v>
      </c>
      <c r="I215" s="1">
        <v>37</v>
      </c>
      <c r="J215" s="1">
        <v>1</v>
      </c>
      <c r="K215" s="1">
        <v>91</v>
      </c>
      <c r="L215" s="1" t="s">
        <v>26</v>
      </c>
    </row>
    <row r="216" spans="1:12" x14ac:dyDescent="0.25">
      <c r="A216" s="1" t="s">
        <v>258</v>
      </c>
      <c r="B216" s="1" t="s">
        <v>36</v>
      </c>
      <c r="C216" s="1" t="s">
        <v>22</v>
      </c>
      <c r="D216" s="1">
        <v>22</v>
      </c>
      <c r="E216" s="1" t="s">
        <v>15</v>
      </c>
      <c r="F216" s="1">
        <v>3</v>
      </c>
      <c r="G216" s="1">
        <v>58673</v>
      </c>
      <c r="H216" s="1">
        <v>13</v>
      </c>
      <c r="I216" s="1">
        <v>42</v>
      </c>
      <c r="J216" s="1">
        <v>5</v>
      </c>
      <c r="K216" s="1">
        <v>94</v>
      </c>
      <c r="L216" s="1" t="s">
        <v>51</v>
      </c>
    </row>
    <row r="217" spans="1:12" x14ac:dyDescent="0.25">
      <c r="A217" s="1" t="s">
        <v>259</v>
      </c>
      <c r="B217" s="1" t="s">
        <v>21</v>
      </c>
      <c r="C217" s="1" t="s">
        <v>22</v>
      </c>
      <c r="D217" s="1">
        <v>28</v>
      </c>
      <c r="E217" s="1" t="s">
        <v>19</v>
      </c>
      <c r="F217" s="1">
        <v>8</v>
      </c>
      <c r="G217" s="1">
        <v>45589</v>
      </c>
      <c r="H217" s="1">
        <v>8</v>
      </c>
      <c r="I217" s="1">
        <v>43</v>
      </c>
      <c r="J217" s="1">
        <v>4</v>
      </c>
      <c r="K217" s="1">
        <v>94</v>
      </c>
      <c r="L217" s="1" t="s">
        <v>23</v>
      </c>
    </row>
    <row r="218" spans="1:12" x14ac:dyDescent="0.25">
      <c r="A218" s="1" t="s">
        <v>260</v>
      </c>
      <c r="B218" s="1" t="s">
        <v>31</v>
      </c>
      <c r="C218" s="1" t="s">
        <v>29</v>
      </c>
      <c r="D218" s="1">
        <v>33</v>
      </c>
      <c r="E218" s="1" t="s">
        <v>19</v>
      </c>
      <c r="F218" s="1">
        <v>6</v>
      </c>
      <c r="G218" s="1">
        <v>44763</v>
      </c>
      <c r="H218" s="1">
        <v>15</v>
      </c>
      <c r="I218" s="1">
        <v>37</v>
      </c>
      <c r="J218" s="1">
        <v>5</v>
      </c>
      <c r="K218" s="1">
        <v>97</v>
      </c>
      <c r="L218" s="1" t="s">
        <v>37</v>
      </c>
    </row>
    <row r="219" spans="1:12" x14ac:dyDescent="0.25">
      <c r="A219" s="1" t="s">
        <v>261</v>
      </c>
      <c r="B219" s="1" t="s">
        <v>65</v>
      </c>
      <c r="C219" s="1" t="s">
        <v>29</v>
      </c>
      <c r="D219" s="1">
        <v>29</v>
      </c>
      <c r="E219" s="1" t="s">
        <v>15</v>
      </c>
      <c r="F219" s="1">
        <v>11</v>
      </c>
      <c r="G219" s="1">
        <v>30474</v>
      </c>
      <c r="H219" s="1">
        <v>11</v>
      </c>
      <c r="I219" s="1">
        <v>48</v>
      </c>
      <c r="J219" s="1">
        <v>3</v>
      </c>
      <c r="K219" s="1">
        <v>90</v>
      </c>
      <c r="L219" s="1" t="s">
        <v>51</v>
      </c>
    </row>
    <row r="220" spans="1:12" x14ac:dyDescent="0.25">
      <c r="A220" s="1" t="s">
        <v>262</v>
      </c>
      <c r="B220" s="1" t="s">
        <v>36</v>
      </c>
      <c r="C220" s="1" t="s">
        <v>29</v>
      </c>
      <c r="D220" s="1">
        <v>35</v>
      </c>
      <c r="E220" s="1" t="s">
        <v>19</v>
      </c>
      <c r="F220" s="1">
        <v>14</v>
      </c>
      <c r="G220" s="1">
        <v>35984</v>
      </c>
      <c r="H220" s="1">
        <v>12</v>
      </c>
      <c r="I220" s="1">
        <v>43</v>
      </c>
      <c r="J220" s="1">
        <v>1</v>
      </c>
      <c r="K220" s="1">
        <v>98</v>
      </c>
      <c r="L220" s="1" t="s">
        <v>51</v>
      </c>
    </row>
    <row r="221" spans="1:12" x14ac:dyDescent="0.25">
      <c r="A221" s="1" t="s">
        <v>263</v>
      </c>
      <c r="B221" s="1" t="s">
        <v>81</v>
      </c>
      <c r="C221" s="1" t="s">
        <v>25</v>
      </c>
      <c r="D221" s="1">
        <v>29</v>
      </c>
      <c r="E221" s="1" t="s">
        <v>15</v>
      </c>
      <c r="F221" s="1">
        <v>12</v>
      </c>
      <c r="G221" s="1">
        <v>72963</v>
      </c>
      <c r="H221" s="1">
        <v>15</v>
      </c>
      <c r="I221" s="1">
        <v>37</v>
      </c>
      <c r="J221" s="1">
        <v>1</v>
      </c>
      <c r="K221" s="1">
        <v>92</v>
      </c>
      <c r="L221" s="1" t="s">
        <v>26</v>
      </c>
    </row>
    <row r="222" spans="1:12" x14ac:dyDescent="0.25">
      <c r="A222" s="1" t="s">
        <v>264</v>
      </c>
      <c r="B222" s="1" t="s">
        <v>83</v>
      </c>
      <c r="C222" s="1" t="s">
        <v>29</v>
      </c>
      <c r="D222" s="1">
        <v>29</v>
      </c>
      <c r="E222" s="1" t="s">
        <v>15</v>
      </c>
      <c r="F222" s="1">
        <v>10</v>
      </c>
      <c r="G222" s="1">
        <v>44774</v>
      </c>
      <c r="H222" s="1">
        <v>10</v>
      </c>
      <c r="I222" s="1">
        <v>43</v>
      </c>
      <c r="J222" s="1">
        <v>1</v>
      </c>
      <c r="K222" s="1">
        <v>86</v>
      </c>
      <c r="L222" s="1" t="s">
        <v>37</v>
      </c>
    </row>
    <row r="223" spans="1:12" x14ac:dyDescent="0.25">
      <c r="A223" s="1" t="s">
        <v>265</v>
      </c>
      <c r="B223" s="1" t="s">
        <v>63</v>
      </c>
      <c r="C223" s="1" t="s">
        <v>29</v>
      </c>
      <c r="D223" s="1">
        <v>24</v>
      </c>
      <c r="E223" s="1" t="s">
        <v>15</v>
      </c>
      <c r="F223" s="1">
        <v>9</v>
      </c>
      <c r="G223" s="1">
        <v>63268</v>
      </c>
      <c r="H223" s="1">
        <v>9</v>
      </c>
      <c r="I223" s="1">
        <v>37</v>
      </c>
      <c r="J223" s="1">
        <v>5</v>
      </c>
      <c r="K223" s="1">
        <v>95</v>
      </c>
      <c r="L223" s="1" t="s">
        <v>32</v>
      </c>
    </row>
    <row r="224" spans="1:12" x14ac:dyDescent="0.25">
      <c r="A224" s="1" t="s">
        <v>266</v>
      </c>
      <c r="B224" s="1" t="s">
        <v>13</v>
      </c>
      <c r="C224" s="1" t="s">
        <v>29</v>
      </c>
      <c r="D224" s="1">
        <v>31</v>
      </c>
      <c r="E224" s="1" t="s">
        <v>19</v>
      </c>
      <c r="F224" s="1">
        <v>2</v>
      </c>
      <c r="G224" s="1">
        <v>55045</v>
      </c>
      <c r="H224" s="1">
        <v>6</v>
      </c>
      <c r="I224" s="1">
        <v>39</v>
      </c>
      <c r="J224" s="1">
        <v>5</v>
      </c>
      <c r="K224" s="1">
        <v>95</v>
      </c>
      <c r="L224" s="1" t="s">
        <v>37</v>
      </c>
    </row>
    <row r="225" spans="1:12" x14ac:dyDescent="0.25">
      <c r="A225" s="1" t="s">
        <v>267</v>
      </c>
      <c r="B225" s="1" t="s">
        <v>34</v>
      </c>
      <c r="C225" s="1" t="s">
        <v>29</v>
      </c>
      <c r="D225" s="1">
        <v>27</v>
      </c>
      <c r="E225" s="1" t="s">
        <v>15</v>
      </c>
      <c r="F225" s="1">
        <v>10</v>
      </c>
      <c r="G225" s="1">
        <v>55668</v>
      </c>
      <c r="H225" s="1">
        <v>6</v>
      </c>
      <c r="I225" s="1">
        <v>37</v>
      </c>
      <c r="J225" s="1">
        <v>2</v>
      </c>
      <c r="K225" s="1">
        <v>98</v>
      </c>
      <c r="L225" s="1" t="s">
        <v>23</v>
      </c>
    </row>
    <row r="226" spans="1:12" x14ac:dyDescent="0.25">
      <c r="A226" s="1" t="s">
        <v>268</v>
      </c>
      <c r="B226" s="1" t="s">
        <v>70</v>
      </c>
      <c r="C226" s="1" t="s">
        <v>14</v>
      </c>
      <c r="D226" s="1">
        <v>39</v>
      </c>
      <c r="E226" s="1" t="s">
        <v>15</v>
      </c>
      <c r="F226" s="1">
        <v>9</v>
      </c>
      <c r="G226" s="1">
        <v>54495</v>
      </c>
      <c r="H226" s="1">
        <v>12</v>
      </c>
      <c r="I226" s="1">
        <v>49</v>
      </c>
      <c r="J226" s="1">
        <v>3</v>
      </c>
      <c r="K226" s="1">
        <v>90</v>
      </c>
      <c r="L226" s="1" t="s">
        <v>37</v>
      </c>
    </row>
    <row r="227" spans="1:12" x14ac:dyDescent="0.25">
      <c r="A227" s="1" t="s">
        <v>269</v>
      </c>
      <c r="B227" s="1" t="s">
        <v>34</v>
      </c>
      <c r="C227" s="1" t="s">
        <v>25</v>
      </c>
      <c r="D227" s="1">
        <v>34</v>
      </c>
      <c r="E227" s="1" t="s">
        <v>19</v>
      </c>
      <c r="F227" s="1">
        <v>8</v>
      </c>
      <c r="G227" s="1">
        <v>59582</v>
      </c>
      <c r="H227" s="1">
        <v>13</v>
      </c>
      <c r="I227" s="1">
        <v>37</v>
      </c>
      <c r="J227" s="1">
        <v>5</v>
      </c>
      <c r="K227" s="1">
        <v>99</v>
      </c>
      <c r="L227" s="1" t="s">
        <v>26</v>
      </c>
    </row>
    <row r="228" spans="1:12" x14ac:dyDescent="0.25">
      <c r="A228" s="1" t="s">
        <v>270</v>
      </c>
      <c r="B228" s="1" t="s">
        <v>40</v>
      </c>
      <c r="C228" s="1" t="s">
        <v>22</v>
      </c>
      <c r="D228" s="1">
        <v>36</v>
      </c>
      <c r="E228" s="1" t="s">
        <v>15</v>
      </c>
      <c r="F228" s="1">
        <v>4</v>
      </c>
      <c r="G228" s="1">
        <v>55981</v>
      </c>
      <c r="H228" s="1">
        <v>3</v>
      </c>
      <c r="I228" s="1">
        <v>48</v>
      </c>
      <c r="J228" s="1">
        <v>3</v>
      </c>
      <c r="K228" s="1">
        <v>87</v>
      </c>
      <c r="L228" s="1" t="s">
        <v>16</v>
      </c>
    </row>
    <row r="229" spans="1:12" x14ac:dyDescent="0.25">
      <c r="A229" s="1" t="s">
        <v>271</v>
      </c>
      <c r="B229" s="1" t="s">
        <v>13</v>
      </c>
      <c r="C229" s="1" t="s">
        <v>29</v>
      </c>
      <c r="D229" s="1">
        <v>37</v>
      </c>
      <c r="E229" s="1" t="s">
        <v>15</v>
      </c>
      <c r="F229" s="1">
        <v>8</v>
      </c>
      <c r="G229" s="1">
        <v>78107</v>
      </c>
      <c r="H229" s="1">
        <v>10</v>
      </c>
      <c r="I229" s="1">
        <v>35</v>
      </c>
      <c r="J229" s="1">
        <v>2</v>
      </c>
      <c r="K229" s="1">
        <v>90</v>
      </c>
      <c r="L229" s="1" t="s">
        <v>26</v>
      </c>
    </row>
    <row r="230" spans="1:12" x14ac:dyDescent="0.25">
      <c r="A230" s="1" t="s">
        <v>272</v>
      </c>
      <c r="B230" s="1" t="s">
        <v>63</v>
      </c>
      <c r="C230" s="1" t="s">
        <v>29</v>
      </c>
      <c r="D230" s="1">
        <v>35</v>
      </c>
      <c r="E230" s="1" t="s">
        <v>19</v>
      </c>
      <c r="F230" s="1">
        <v>9</v>
      </c>
      <c r="G230" s="1">
        <v>30701</v>
      </c>
      <c r="H230" s="1">
        <v>6</v>
      </c>
      <c r="I230" s="1">
        <v>35</v>
      </c>
      <c r="J230" s="1">
        <v>2</v>
      </c>
      <c r="K230" s="1">
        <v>89</v>
      </c>
      <c r="L230" s="1" t="s">
        <v>26</v>
      </c>
    </row>
    <row r="231" spans="1:12" x14ac:dyDescent="0.25">
      <c r="A231" s="1" t="s">
        <v>273</v>
      </c>
      <c r="B231" s="1" t="s">
        <v>53</v>
      </c>
      <c r="C231" s="1" t="s">
        <v>14</v>
      </c>
      <c r="D231" s="1">
        <v>27</v>
      </c>
      <c r="E231" s="1" t="s">
        <v>15</v>
      </c>
      <c r="F231" s="1">
        <v>7</v>
      </c>
      <c r="G231" s="1">
        <v>41022</v>
      </c>
      <c r="H231" s="1">
        <v>3</v>
      </c>
      <c r="I231" s="1">
        <v>37</v>
      </c>
      <c r="J231" s="1">
        <v>3</v>
      </c>
      <c r="K231" s="1">
        <v>86</v>
      </c>
      <c r="L231" s="1" t="s">
        <v>37</v>
      </c>
    </row>
    <row r="232" spans="1:12" x14ac:dyDescent="0.25">
      <c r="A232" s="1" t="s">
        <v>274</v>
      </c>
      <c r="B232" s="1" t="s">
        <v>45</v>
      </c>
      <c r="C232" s="1" t="s">
        <v>25</v>
      </c>
      <c r="D232" s="1">
        <v>39</v>
      </c>
      <c r="E232" s="1" t="s">
        <v>15</v>
      </c>
      <c r="F232" s="1">
        <v>3</v>
      </c>
      <c r="G232" s="1">
        <v>58783</v>
      </c>
      <c r="H232" s="1">
        <v>13</v>
      </c>
      <c r="I232" s="1">
        <v>42</v>
      </c>
      <c r="J232" s="1">
        <v>5</v>
      </c>
      <c r="K232" s="1">
        <v>99</v>
      </c>
      <c r="L232" s="1" t="s">
        <v>51</v>
      </c>
    </row>
    <row r="233" spans="1:12" x14ac:dyDescent="0.25">
      <c r="A233" s="1" t="s">
        <v>275</v>
      </c>
      <c r="B233" s="1" t="s">
        <v>28</v>
      </c>
      <c r="C233" s="1" t="s">
        <v>25</v>
      </c>
      <c r="D233" s="1">
        <v>34</v>
      </c>
      <c r="E233" s="1" t="s">
        <v>15</v>
      </c>
      <c r="F233" s="1">
        <v>3</v>
      </c>
      <c r="G233" s="1">
        <v>78997</v>
      </c>
      <c r="H233" s="1">
        <v>4</v>
      </c>
      <c r="I233" s="1">
        <v>47</v>
      </c>
      <c r="J233" s="1">
        <v>5</v>
      </c>
      <c r="K233" s="1">
        <v>97</v>
      </c>
      <c r="L233" s="1" t="s">
        <v>37</v>
      </c>
    </row>
    <row r="234" spans="1:12" x14ac:dyDescent="0.25">
      <c r="A234" s="1" t="s">
        <v>276</v>
      </c>
      <c r="B234" s="1" t="s">
        <v>31</v>
      </c>
      <c r="C234" s="1" t="s">
        <v>25</v>
      </c>
      <c r="D234" s="1">
        <v>37</v>
      </c>
      <c r="E234" s="1" t="s">
        <v>15</v>
      </c>
      <c r="F234" s="1">
        <v>10</v>
      </c>
      <c r="G234" s="1">
        <v>76531</v>
      </c>
      <c r="H234" s="1">
        <v>12</v>
      </c>
      <c r="I234" s="1">
        <v>43</v>
      </c>
      <c r="J234" s="1">
        <v>5</v>
      </c>
      <c r="K234" s="1">
        <v>98</v>
      </c>
      <c r="L234" s="1" t="s">
        <v>26</v>
      </c>
    </row>
    <row r="235" spans="1:12" x14ac:dyDescent="0.25">
      <c r="A235" s="1" t="s">
        <v>277</v>
      </c>
      <c r="B235" s="1" t="s">
        <v>45</v>
      </c>
      <c r="C235" s="1" t="s">
        <v>22</v>
      </c>
      <c r="D235" s="1">
        <v>22</v>
      </c>
      <c r="E235" s="1" t="s">
        <v>15</v>
      </c>
      <c r="F235" s="1">
        <v>8</v>
      </c>
      <c r="G235" s="1">
        <v>57478</v>
      </c>
      <c r="H235" s="1">
        <v>7</v>
      </c>
      <c r="I235" s="1">
        <v>45</v>
      </c>
      <c r="J235" s="1">
        <v>4</v>
      </c>
      <c r="K235" s="1">
        <v>88</v>
      </c>
      <c r="L235" s="1" t="s">
        <v>32</v>
      </c>
    </row>
    <row r="236" spans="1:12" x14ac:dyDescent="0.25">
      <c r="A236" s="1" t="s">
        <v>278</v>
      </c>
      <c r="B236" s="1" t="s">
        <v>65</v>
      </c>
      <c r="C236" s="1" t="s">
        <v>14</v>
      </c>
      <c r="D236" s="1">
        <v>23</v>
      </c>
      <c r="E236" s="1" t="s">
        <v>15</v>
      </c>
      <c r="F236" s="1">
        <v>14</v>
      </c>
      <c r="G236" s="1">
        <v>30448</v>
      </c>
      <c r="H236" s="1">
        <v>15</v>
      </c>
      <c r="I236" s="1">
        <v>41</v>
      </c>
      <c r="J236" s="1">
        <v>5</v>
      </c>
      <c r="K236" s="1">
        <v>94</v>
      </c>
      <c r="L236" s="1" t="s">
        <v>23</v>
      </c>
    </row>
    <row r="237" spans="1:12" x14ac:dyDescent="0.25">
      <c r="A237" s="1" t="s">
        <v>279</v>
      </c>
      <c r="B237" s="1" t="s">
        <v>75</v>
      </c>
      <c r="C237" s="1" t="s">
        <v>25</v>
      </c>
      <c r="D237" s="1">
        <v>39</v>
      </c>
      <c r="E237" s="1" t="s">
        <v>19</v>
      </c>
      <c r="F237" s="1">
        <v>5</v>
      </c>
      <c r="G237" s="1">
        <v>74914</v>
      </c>
      <c r="H237" s="1">
        <v>13</v>
      </c>
      <c r="I237" s="1">
        <v>38</v>
      </c>
      <c r="J237" s="1">
        <v>2</v>
      </c>
      <c r="K237" s="1">
        <v>94</v>
      </c>
      <c r="L237" s="1" t="s">
        <v>51</v>
      </c>
    </row>
    <row r="238" spans="1:12" x14ac:dyDescent="0.25">
      <c r="A238" s="1" t="s">
        <v>280</v>
      </c>
      <c r="B238" s="1" t="s">
        <v>75</v>
      </c>
      <c r="C238" s="1" t="s">
        <v>29</v>
      </c>
      <c r="D238" s="1">
        <v>24</v>
      </c>
      <c r="E238" s="1" t="s">
        <v>19</v>
      </c>
      <c r="F238" s="1">
        <v>6</v>
      </c>
      <c r="G238" s="1">
        <v>68992</v>
      </c>
      <c r="H238" s="1">
        <v>13</v>
      </c>
      <c r="I238" s="1">
        <v>45</v>
      </c>
      <c r="J238" s="1">
        <v>2</v>
      </c>
      <c r="K238" s="1">
        <v>98</v>
      </c>
      <c r="L238" s="1" t="s">
        <v>32</v>
      </c>
    </row>
    <row r="239" spans="1:12" x14ac:dyDescent="0.25">
      <c r="A239" s="1" t="s">
        <v>281</v>
      </c>
      <c r="B239" s="1" t="s">
        <v>18</v>
      </c>
      <c r="C239" s="1" t="s">
        <v>25</v>
      </c>
      <c r="D239" s="1">
        <v>38</v>
      </c>
      <c r="E239" s="1" t="s">
        <v>15</v>
      </c>
      <c r="F239" s="1">
        <v>5</v>
      </c>
      <c r="G239" s="1">
        <v>36353</v>
      </c>
      <c r="H239" s="1">
        <v>10</v>
      </c>
      <c r="I239" s="1">
        <v>45</v>
      </c>
      <c r="J239" s="1">
        <v>1</v>
      </c>
      <c r="K239" s="1">
        <v>96</v>
      </c>
      <c r="L239" s="1" t="s">
        <v>32</v>
      </c>
    </row>
    <row r="240" spans="1:12" x14ac:dyDescent="0.25">
      <c r="A240" s="1" t="s">
        <v>282</v>
      </c>
      <c r="B240" s="1" t="s">
        <v>81</v>
      </c>
      <c r="C240" s="1" t="s">
        <v>29</v>
      </c>
      <c r="D240" s="1">
        <v>34</v>
      </c>
      <c r="E240" s="1" t="s">
        <v>19</v>
      </c>
      <c r="F240" s="1">
        <v>6</v>
      </c>
      <c r="G240" s="1">
        <v>64915</v>
      </c>
      <c r="H240" s="1">
        <v>7</v>
      </c>
      <c r="I240" s="1">
        <v>38</v>
      </c>
      <c r="J240" s="1">
        <v>3</v>
      </c>
      <c r="K240" s="1">
        <v>95</v>
      </c>
      <c r="L240" s="1" t="s">
        <v>37</v>
      </c>
    </row>
    <row r="241" spans="1:12" x14ac:dyDescent="0.25">
      <c r="A241" s="1" t="s">
        <v>283</v>
      </c>
      <c r="B241" s="1" t="s">
        <v>94</v>
      </c>
      <c r="C241" s="1" t="s">
        <v>22</v>
      </c>
      <c r="D241" s="1">
        <v>30</v>
      </c>
      <c r="E241" s="1" t="s">
        <v>19</v>
      </c>
      <c r="F241" s="1">
        <v>1</v>
      </c>
      <c r="G241" s="1">
        <v>60420</v>
      </c>
      <c r="H241" s="1">
        <v>15</v>
      </c>
      <c r="I241" s="1">
        <v>39</v>
      </c>
      <c r="J241" s="1">
        <v>5</v>
      </c>
      <c r="K241" s="1">
        <v>86</v>
      </c>
      <c r="L241" s="1" t="s">
        <v>16</v>
      </c>
    </row>
    <row r="242" spans="1:12" x14ac:dyDescent="0.25">
      <c r="A242" s="1" t="s">
        <v>284</v>
      </c>
      <c r="B242" s="1" t="s">
        <v>40</v>
      </c>
      <c r="C242" s="1" t="s">
        <v>14</v>
      </c>
      <c r="D242" s="1">
        <v>33</v>
      </c>
      <c r="E242" s="1" t="s">
        <v>19</v>
      </c>
      <c r="F242" s="1">
        <v>14</v>
      </c>
      <c r="G242" s="1">
        <v>73546</v>
      </c>
      <c r="H242" s="1">
        <v>10</v>
      </c>
      <c r="I242" s="1">
        <v>48</v>
      </c>
      <c r="J242" s="1">
        <v>1</v>
      </c>
      <c r="K242" s="1">
        <v>90</v>
      </c>
      <c r="L242" s="1" t="s">
        <v>16</v>
      </c>
    </row>
    <row r="243" spans="1:12" x14ac:dyDescent="0.25">
      <c r="A243" s="1" t="s">
        <v>285</v>
      </c>
      <c r="B243" s="1" t="s">
        <v>63</v>
      </c>
      <c r="C243" s="1" t="s">
        <v>25</v>
      </c>
      <c r="D243" s="1">
        <v>24</v>
      </c>
      <c r="E243" s="1" t="s">
        <v>15</v>
      </c>
      <c r="F243" s="1">
        <v>10</v>
      </c>
      <c r="G243" s="1">
        <v>58118</v>
      </c>
      <c r="H243" s="1">
        <v>11</v>
      </c>
      <c r="I243" s="1">
        <v>48</v>
      </c>
      <c r="J243" s="1">
        <v>2</v>
      </c>
      <c r="K243" s="1">
        <v>89</v>
      </c>
      <c r="L243" s="1" t="s">
        <v>26</v>
      </c>
    </row>
    <row r="244" spans="1:12" x14ac:dyDescent="0.25">
      <c r="A244" s="1" t="s">
        <v>286</v>
      </c>
      <c r="B244" s="1" t="s">
        <v>13</v>
      </c>
      <c r="C244" s="1" t="s">
        <v>25</v>
      </c>
      <c r="D244" s="1">
        <v>30</v>
      </c>
      <c r="E244" s="1" t="s">
        <v>19</v>
      </c>
      <c r="F244" s="1">
        <v>3</v>
      </c>
      <c r="G244" s="1">
        <v>44276</v>
      </c>
      <c r="H244" s="1">
        <v>12</v>
      </c>
      <c r="I244" s="1">
        <v>49</v>
      </c>
      <c r="J244" s="1">
        <v>1</v>
      </c>
      <c r="K244" s="1">
        <v>95</v>
      </c>
      <c r="L244" s="1" t="s">
        <v>16</v>
      </c>
    </row>
    <row r="245" spans="1:12" x14ac:dyDescent="0.25">
      <c r="A245" s="1" t="s">
        <v>287</v>
      </c>
      <c r="B245" s="1" t="s">
        <v>53</v>
      </c>
      <c r="C245" s="1" t="s">
        <v>22</v>
      </c>
      <c r="D245" s="1">
        <v>25</v>
      </c>
      <c r="E245" s="1" t="s">
        <v>19</v>
      </c>
      <c r="F245" s="1">
        <v>8</v>
      </c>
      <c r="G245" s="1">
        <v>68164</v>
      </c>
      <c r="H245" s="1">
        <v>10</v>
      </c>
      <c r="I245" s="1">
        <v>43</v>
      </c>
      <c r="J245" s="1">
        <v>5</v>
      </c>
      <c r="K245" s="1">
        <v>95</v>
      </c>
      <c r="L245" s="1" t="s">
        <v>32</v>
      </c>
    </row>
    <row r="246" spans="1:12" x14ac:dyDescent="0.25">
      <c r="A246" s="1" t="s">
        <v>288</v>
      </c>
      <c r="B246" s="1" t="s">
        <v>53</v>
      </c>
      <c r="C246" s="1" t="s">
        <v>22</v>
      </c>
      <c r="D246" s="1">
        <v>28</v>
      </c>
      <c r="E246" s="1" t="s">
        <v>19</v>
      </c>
      <c r="F246" s="1">
        <v>6</v>
      </c>
      <c r="G246" s="1">
        <v>42669</v>
      </c>
      <c r="H246" s="1">
        <v>8</v>
      </c>
      <c r="I246" s="1">
        <v>48</v>
      </c>
      <c r="J246" s="1">
        <v>4</v>
      </c>
      <c r="K246" s="1">
        <v>88</v>
      </c>
      <c r="L246" s="1" t="s">
        <v>26</v>
      </c>
    </row>
    <row r="247" spans="1:12" x14ac:dyDescent="0.25">
      <c r="A247" s="1" t="s">
        <v>289</v>
      </c>
      <c r="B247" s="1" t="s">
        <v>53</v>
      </c>
      <c r="C247" s="1" t="s">
        <v>14</v>
      </c>
      <c r="D247" s="1">
        <v>27</v>
      </c>
      <c r="E247" s="1" t="s">
        <v>19</v>
      </c>
      <c r="F247" s="1">
        <v>11</v>
      </c>
      <c r="G247" s="1">
        <v>71265</v>
      </c>
      <c r="H247" s="1">
        <v>11</v>
      </c>
      <c r="I247" s="1">
        <v>47</v>
      </c>
      <c r="J247" s="1">
        <v>3</v>
      </c>
      <c r="K247" s="1">
        <v>91</v>
      </c>
      <c r="L247" s="1" t="s">
        <v>23</v>
      </c>
    </row>
    <row r="248" spans="1:12" x14ac:dyDescent="0.25">
      <c r="A248" s="1" t="s">
        <v>290</v>
      </c>
      <c r="B248" s="1" t="s">
        <v>81</v>
      </c>
      <c r="C248" s="1" t="s">
        <v>29</v>
      </c>
      <c r="D248" s="1">
        <v>33</v>
      </c>
      <c r="E248" s="1" t="s">
        <v>15</v>
      </c>
      <c r="F248" s="1">
        <v>7</v>
      </c>
      <c r="G248" s="1">
        <v>56888</v>
      </c>
      <c r="H248" s="1">
        <v>12</v>
      </c>
      <c r="I248" s="1">
        <v>45</v>
      </c>
      <c r="J248" s="1">
        <v>5</v>
      </c>
      <c r="K248" s="1">
        <v>98</v>
      </c>
      <c r="L248" s="1" t="s">
        <v>16</v>
      </c>
    </row>
    <row r="249" spans="1:12" x14ac:dyDescent="0.25">
      <c r="A249" s="1" t="s">
        <v>291</v>
      </c>
      <c r="B249" s="1" t="s">
        <v>70</v>
      </c>
      <c r="C249" s="1" t="s">
        <v>25</v>
      </c>
      <c r="D249" s="1">
        <v>28</v>
      </c>
      <c r="E249" s="1" t="s">
        <v>15</v>
      </c>
      <c r="F249" s="1">
        <v>7</v>
      </c>
      <c r="G249" s="1">
        <v>76533</v>
      </c>
      <c r="H249" s="1">
        <v>3</v>
      </c>
      <c r="I249" s="1">
        <v>44</v>
      </c>
      <c r="J249" s="1">
        <v>5</v>
      </c>
      <c r="K249" s="1">
        <v>93</v>
      </c>
      <c r="L249" s="1" t="s">
        <v>37</v>
      </c>
    </row>
    <row r="250" spans="1:12" x14ac:dyDescent="0.25">
      <c r="A250" s="1" t="s">
        <v>292</v>
      </c>
      <c r="B250" s="1" t="s">
        <v>89</v>
      </c>
      <c r="C250" s="1" t="s">
        <v>25</v>
      </c>
      <c r="D250" s="1">
        <v>27</v>
      </c>
      <c r="E250" s="1" t="s">
        <v>15</v>
      </c>
      <c r="F250" s="1">
        <v>5</v>
      </c>
      <c r="G250" s="1">
        <v>45508</v>
      </c>
      <c r="H250" s="1">
        <v>9</v>
      </c>
      <c r="I250" s="1">
        <v>41</v>
      </c>
      <c r="J250" s="1">
        <v>1</v>
      </c>
      <c r="K250" s="1">
        <v>91</v>
      </c>
      <c r="L250" s="1" t="s">
        <v>23</v>
      </c>
    </row>
    <row r="251" spans="1:12" x14ac:dyDescent="0.25">
      <c r="A251" s="1" t="s">
        <v>293</v>
      </c>
      <c r="B251" s="1" t="s">
        <v>89</v>
      </c>
      <c r="C251" s="1" t="s">
        <v>29</v>
      </c>
      <c r="D251" s="1">
        <v>40</v>
      </c>
      <c r="E251" s="1" t="s">
        <v>19</v>
      </c>
      <c r="F251" s="1">
        <v>3</v>
      </c>
      <c r="G251" s="1">
        <v>67276</v>
      </c>
      <c r="H251" s="1">
        <v>7</v>
      </c>
      <c r="I251" s="1">
        <v>48</v>
      </c>
      <c r="J251" s="1">
        <v>4</v>
      </c>
      <c r="K251" s="1">
        <v>95</v>
      </c>
      <c r="L251" s="1" t="s">
        <v>37</v>
      </c>
    </row>
    <row r="252" spans="1:12" x14ac:dyDescent="0.25">
      <c r="A252" s="1" t="s">
        <v>294</v>
      </c>
      <c r="B252" s="1" t="s">
        <v>75</v>
      </c>
      <c r="C252" s="1" t="s">
        <v>14</v>
      </c>
      <c r="D252" s="1">
        <v>30</v>
      </c>
      <c r="E252" s="1" t="s">
        <v>15</v>
      </c>
      <c r="F252" s="1">
        <v>2</v>
      </c>
      <c r="G252" s="1">
        <v>50331</v>
      </c>
      <c r="H252" s="1">
        <v>3</v>
      </c>
      <c r="I252" s="1">
        <v>48</v>
      </c>
      <c r="J252" s="1">
        <v>5</v>
      </c>
      <c r="K252" s="1">
        <v>92</v>
      </c>
      <c r="L252" s="1" t="s">
        <v>51</v>
      </c>
    </row>
    <row r="253" spans="1:12" x14ac:dyDescent="0.25">
      <c r="A253" s="1" t="s">
        <v>295</v>
      </c>
      <c r="B253" s="1" t="s">
        <v>34</v>
      </c>
      <c r="C253" s="1" t="s">
        <v>14</v>
      </c>
      <c r="D253" s="1">
        <v>23</v>
      </c>
      <c r="E253" s="1" t="s">
        <v>19</v>
      </c>
      <c r="F253" s="1">
        <v>13</v>
      </c>
      <c r="G253" s="1">
        <v>40475</v>
      </c>
      <c r="H253" s="1">
        <v>7</v>
      </c>
      <c r="I253" s="1">
        <v>49</v>
      </c>
      <c r="J253" s="1">
        <v>1</v>
      </c>
      <c r="K253" s="1">
        <v>89</v>
      </c>
      <c r="L253" s="1" t="s">
        <v>37</v>
      </c>
    </row>
    <row r="254" spans="1:12" x14ac:dyDescent="0.25">
      <c r="A254" s="1" t="s">
        <v>296</v>
      </c>
      <c r="B254" s="1" t="s">
        <v>45</v>
      </c>
      <c r="C254" s="1" t="s">
        <v>29</v>
      </c>
      <c r="D254" s="1">
        <v>35</v>
      </c>
      <c r="E254" s="1" t="s">
        <v>19</v>
      </c>
      <c r="F254" s="1">
        <v>13</v>
      </c>
      <c r="G254" s="1">
        <v>43333</v>
      </c>
      <c r="H254" s="1">
        <v>9</v>
      </c>
      <c r="I254" s="1">
        <v>36</v>
      </c>
      <c r="J254" s="1">
        <v>5</v>
      </c>
      <c r="K254" s="1">
        <v>90</v>
      </c>
      <c r="L254" s="1" t="s">
        <v>37</v>
      </c>
    </row>
    <row r="255" spans="1:12" x14ac:dyDescent="0.25">
      <c r="A255" s="1" t="s">
        <v>297</v>
      </c>
      <c r="B255" s="1" t="s">
        <v>75</v>
      </c>
      <c r="C255" s="1" t="s">
        <v>14</v>
      </c>
      <c r="D255" s="1">
        <v>28</v>
      </c>
      <c r="E255" s="1" t="s">
        <v>15</v>
      </c>
      <c r="F255" s="1">
        <v>4</v>
      </c>
      <c r="G255" s="1">
        <v>31217</v>
      </c>
      <c r="H255" s="1">
        <v>11</v>
      </c>
      <c r="I255" s="1">
        <v>39</v>
      </c>
      <c r="J255" s="1">
        <v>1</v>
      </c>
      <c r="K255" s="1">
        <v>93</v>
      </c>
      <c r="L255" s="1" t="s">
        <v>37</v>
      </c>
    </row>
    <row r="256" spans="1:12" x14ac:dyDescent="0.25">
      <c r="A256" s="1" t="s">
        <v>298</v>
      </c>
      <c r="B256" s="1" t="s">
        <v>89</v>
      </c>
      <c r="C256" s="1" t="s">
        <v>25</v>
      </c>
      <c r="D256" s="1">
        <v>33</v>
      </c>
      <c r="E256" s="1" t="s">
        <v>15</v>
      </c>
      <c r="F256" s="1">
        <v>13</v>
      </c>
      <c r="G256" s="1">
        <v>29178</v>
      </c>
      <c r="H256" s="1">
        <v>13</v>
      </c>
      <c r="I256" s="1">
        <v>37</v>
      </c>
      <c r="J256" s="1">
        <v>2</v>
      </c>
      <c r="K256" s="1">
        <v>93</v>
      </c>
      <c r="L256" s="1" t="s">
        <v>16</v>
      </c>
    </row>
    <row r="257" spans="1:12" x14ac:dyDescent="0.25">
      <c r="A257" s="1" t="s">
        <v>299</v>
      </c>
      <c r="B257" s="1" t="s">
        <v>43</v>
      </c>
      <c r="C257" s="1" t="s">
        <v>14</v>
      </c>
      <c r="D257" s="1">
        <v>35</v>
      </c>
      <c r="E257" s="1" t="s">
        <v>15</v>
      </c>
      <c r="F257" s="1">
        <v>4</v>
      </c>
      <c r="G257" s="1">
        <v>72452</v>
      </c>
      <c r="H257" s="1">
        <v>13</v>
      </c>
      <c r="I257" s="1">
        <v>35</v>
      </c>
      <c r="J257" s="1">
        <v>1</v>
      </c>
      <c r="K257" s="1">
        <v>91</v>
      </c>
      <c r="L257" s="1" t="s">
        <v>16</v>
      </c>
    </row>
    <row r="258" spans="1:12" x14ac:dyDescent="0.25">
      <c r="A258" s="1" t="s">
        <v>300</v>
      </c>
      <c r="B258" s="1" t="s">
        <v>45</v>
      </c>
      <c r="C258" s="1" t="s">
        <v>29</v>
      </c>
      <c r="D258" s="1">
        <v>31</v>
      </c>
      <c r="E258" s="1" t="s">
        <v>15</v>
      </c>
      <c r="F258" s="1">
        <v>1</v>
      </c>
      <c r="G258" s="1">
        <v>37560</v>
      </c>
      <c r="H258" s="1">
        <v>8</v>
      </c>
      <c r="I258" s="1">
        <v>44</v>
      </c>
      <c r="J258" s="1">
        <v>1</v>
      </c>
      <c r="K258" s="1">
        <v>85</v>
      </c>
      <c r="L258" s="1" t="s">
        <v>51</v>
      </c>
    </row>
    <row r="259" spans="1:12" x14ac:dyDescent="0.25">
      <c r="A259" s="1" t="s">
        <v>301</v>
      </c>
      <c r="B259" s="1" t="s">
        <v>21</v>
      </c>
      <c r="C259" s="1" t="s">
        <v>14</v>
      </c>
      <c r="D259" s="1">
        <v>40</v>
      </c>
      <c r="E259" s="1" t="s">
        <v>15</v>
      </c>
      <c r="F259" s="1">
        <v>1</v>
      </c>
      <c r="G259" s="1">
        <v>48256</v>
      </c>
      <c r="H259" s="1">
        <v>10</v>
      </c>
      <c r="I259" s="1">
        <v>39</v>
      </c>
      <c r="J259" s="1">
        <v>3</v>
      </c>
      <c r="K259" s="1">
        <v>89</v>
      </c>
      <c r="L259" s="1" t="s">
        <v>51</v>
      </c>
    </row>
    <row r="260" spans="1:12" x14ac:dyDescent="0.25">
      <c r="A260" s="1" t="s">
        <v>302</v>
      </c>
      <c r="B260" s="1" t="s">
        <v>75</v>
      </c>
      <c r="C260" s="1" t="s">
        <v>25</v>
      </c>
      <c r="D260" s="1">
        <v>29</v>
      </c>
      <c r="E260" s="1" t="s">
        <v>19</v>
      </c>
      <c r="F260" s="1">
        <v>14</v>
      </c>
      <c r="G260" s="1">
        <v>37419</v>
      </c>
      <c r="H260" s="1">
        <v>14</v>
      </c>
      <c r="I260" s="1">
        <v>38</v>
      </c>
      <c r="J260" s="1">
        <v>1</v>
      </c>
      <c r="K260" s="1">
        <v>89</v>
      </c>
      <c r="L260" s="1" t="s">
        <v>37</v>
      </c>
    </row>
    <row r="261" spans="1:12" x14ac:dyDescent="0.25">
      <c r="A261" s="1" t="s">
        <v>303</v>
      </c>
      <c r="B261" s="1" t="s">
        <v>21</v>
      </c>
      <c r="C261" s="1" t="s">
        <v>14</v>
      </c>
      <c r="D261" s="1">
        <v>26</v>
      </c>
      <c r="E261" s="1" t="s">
        <v>19</v>
      </c>
      <c r="F261" s="1">
        <v>4</v>
      </c>
      <c r="G261" s="1">
        <v>67709</v>
      </c>
      <c r="H261" s="1">
        <v>15</v>
      </c>
      <c r="I261" s="1">
        <v>39</v>
      </c>
      <c r="J261" s="1">
        <v>2</v>
      </c>
      <c r="K261" s="1">
        <v>93</v>
      </c>
      <c r="L261" s="1" t="s">
        <v>51</v>
      </c>
    </row>
    <row r="262" spans="1:12" x14ac:dyDescent="0.25">
      <c r="A262" s="1" t="s">
        <v>304</v>
      </c>
      <c r="B262" s="1" t="s">
        <v>63</v>
      </c>
      <c r="C262" s="1" t="s">
        <v>22</v>
      </c>
      <c r="D262" s="1">
        <v>27</v>
      </c>
      <c r="E262" s="1" t="s">
        <v>19</v>
      </c>
      <c r="F262" s="1">
        <v>14</v>
      </c>
      <c r="G262" s="1">
        <v>79047</v>
      </c>
      <c r="H262" s="1">
        <v>6</v>
      </c>
      <c r="I262" s="1">
        <v>35</v>
      </c>
      <c r="J262" s="1">
        <v>4</v>
      </c>
      <c r="K262" s="1">
        <v>89</v>
      </c>
      <c r="L262" s="1" t="s">
        <v>16</v>
      </c>
    </row>
    <row r="263" spans="1:12" x14ac:dyDescent="0.25">
      <c r="A263" s="1" t="s">
        <v>305</v>
      </c>
      <c r="B263" s="1" t="s">
        <v>63</v>
      </c>
      <c r="C263" s="1" t="s">
        <v>22</v>
      </c>
      <c r="D263" s="1">
        <v>29</v>
      </c>
      <c r="E263" s="1" t="s">
        <v>15</v>
      </c>
      <c r="F263" s="1">
        <v>1</v>
      </c>
      <c r="G263" s="1">
        <v>68703</v>
      </c>
      <c r="H263" s="1">
        <v>14</v>
      </c>
      <c r="I263" s="1">
        <v>42</v>
      </c>
      <c r="J263" s="1">
        <v>5</v>
      </c>
      <c r="K263" s="1">
        <v>92</v>
      </c>
      <c r="L263" s="1" t="s">
        <v>37</v>
      </c>
    </row>
    <row r="264" spans="1:12" x14ac:dyDescent="0.25">
      <c r="A264" s="1" t="s">
        <v>306</v>
      </c>
      <c r="B264" s="1" t="s">
        <v>65</v>
      </c>
      <c r="C264" s="1" t="s">
        <v>22</v>
      </c>
      <c r="D264" s="1">
        <v>30</v>
      </c>
      <c r="E264" s="1" t="s">
        <v>15</v>
      </c>
      <c r="F264" s="1">
        <v>6</v>
      </c>
      <c r="G264" s="1">
        <v>51986</v>
      </c>
      <c r="H264" s="1">
        <v>14</v>
      </c>
      <c r="I264" s="1">
        <v>46</v>
      </c>
      <c r="J264" s="1">
        <v>1</v>
      </c>
      <c r="K264" s="1">
        <v>100</v>
      </c>
      <c r="L264" s="1" t="s">
        <v>37</v>
      </c>
    </row>
    <row r="265" spans="1:12" x14ac:dyDescent="0.25">
      <c r="A265" s="1" t="s">
        <v>307</v>
      </c>
      <c r="B265" s="1" t="s">
        <v>65</v>
      </c>
      <c r="C265" s="1" t="s">
        <v>14</v>
      </c>
      <c r="D265" s="1">
        <v>35</v>
      </c>
      <c r="E265" s="1" t="s">
        <v>19</v>
      </c>
      <c r="F265" s="1">
        <v>4</v>
      </c>
      <c r="G265" s="1">
        <v>42052</v>
      </c>
      <c r="H265" s="1">
        <v>11</v>
      </c>
      <c r="I265" s="1">
        <v>40</v>
      </c>
      <c r="J265" s="1">
        <v>5</v>
      </c>
      <c r="K265" s="1">
        <v>91</v>
      </c>
      <c r="L265" s="1" t="s">
        <v>26</v>
      </c>
    </row>
    <row r="266" spans="1:12" x14ac:dyDescent="0.25">
      <c r="A266" s="1" t="s">
        <v>308</v>
      </c>
      <c r="B266" s="1" t="s">
        <v>36</v>
      </c>
      <c r="C266" s="1" t="s">
        <v>14</v>
      </c>
      <c r="D266" s="1">
        <v>25</v>
      </c>
      <c r="E266" s="1" t="s">
        <v>19</v>
      </c>
      <c r="F266" s="1">
        <v>6</v>
      </c>
      <c r="G266" s="1">
        <v>38419</v>
      </c>
      <c r="H266" s="1">
        <v>3</v>
      </c>
      <c r="I266" s="1">
        <v>42</v>
      </c>
      <c r="J266" s="1">
        <v>3</v>
      </c>
      <c r="K266" s="1">
        <v>85</v>
      </c>
      <c r="L266" s="1" t="s">
        <v>32</v>
      </c>
    </row>
    <row r="267" spans="1:12" x14ac:dyDescent="0.25">
      <c r="A267" s="1" t="s">
        <v>309</v>
      </c>
      <c r="B267" s="1" t="s">
        <v>28</v>
      </c>
      <c r="C267" s="1" t="s">
        <v>29</v>
      </c>
      <c r="D267" s="1">
        <v>39</v>
      </c>
      <c r="E267" s="1" t="s">
        <v>19</v>
      </c>
      <c r="F267" s="1">
        <v>7</v>
      </c>
      <c r="G267" s="1">
        <v>62373</v>
      </c>
      <c r="H267" s="1">
        <v>15</v>
      </c>
      <c r="I267" s="1">
        <v>49</v>
      </c>
      <c r="J267" s="1">
        <v>5</v>
      </c>
      <c r="K267" s="1">
        <v>100</v>
      </c>
      <c r="L267" s="1" t="s">
        <v>37</v>
      </c>
    </row>
    <row r="268" spans="1:12" x14ac:dyDescent="0.25">
      <c r="A268" s="1" t="s">
        <v>310</v>
      </c>
      <c r="B268" s="1" t="s">
        <v>18</v>
      </c>
      <c r="C268" s="1" t="s">
        <v>22</v>
      </c>
      <c r="D268" s="1">
        <v>25</v>
      </c>
      <c r="E268" s="1" t="s">
        <v>19</v>
      </c>
      <c r="F268" s="1">
        <v>2</v>
      </c>
      <c r="G268" s="1">
        <v>25137</v>
      </c>
      <c r="H268" s="1">
        <v>14</v>
      </c>
      <c r="I268" s="1">
        <v>43</v>
      </c>
      <c r="J268" s="1">
        <v>2</v>
      </c>
      <c r="K268" s="1">
        <v>95</v>
      </c>
      <c r="L268" s="1" t="s">
        <v>16</v>
      </c>
    </row>
    <row r="269" spans="1:12" x14ac:dyDescent="0.25">
      <c r="A269" s="1" t="s">
        <v>311</v>
      </c>
      <c r="B269" s="1" t="s">
        <v>34</v>
      </c>
      <c r="C269" s="1" t="s">
        <v>29</v>
      </c>
      <c r="D269" s="1">
        <v>37</v>
      </c>
      <c r="E269" s="1" t="s">
        <v>15</v>
      </c>
      <c r="F269" s="1">
        <v>12</v>
      </c>
      <c r="G269" s="1">
        <v>55287</v>
      </c>
      <c r="H269" s="1">
        <v>5</v>
      </c>
      <c r="I269" s="1">
        <v>49</v>
      </c>
      <c r="J269" s="1">
        <v>5</v>
      </c>
      <c r="K269" s="1">
        <v>85</v>
      </c>
      <c r="L269" s="1" t="s">
        <v>32</v>
      </c>
    </row>
    <row r="270" spans="1:12" x14ac:dyDescent="0.25">
      <c r="A270" s="1" t="s">
        <v>312</v>
      </c>
      <c r="B270" s="1" t="s">
        <v>89</v>
      </c>
      <c r="C270" s="1" t="s">
        <v>14</v>
      </c>
      <c r="D270" s="1">
        <v>32</v>
      </c>
      <c r="E270" s="1" t="s">
        <v>15</v>
      </c>
      <c r="F270" s="1">
        <v>6</v>
      </c>
      <c r="G270" s="1">
        <v>79551</v>
      </c>
      <c r="H270" s="1">
        <v>7</v>
      </c>
      <c r="I270" s="1">
        <v>38</v>
      </c>
      <c r="J270" s="1">
        <v>5</v>
      </c>
      <c r="K270" s="1">
        <v>87</v>
      </c>
      <c r="L270" s="1" t="s">
        <v>26</v>
      </c>
    </row>
    <row r="271" spans="1:12" x14ac:dyDescent="0.25">
      <c r="A271" s="1" t="s">
        <v>313</v>
      </c>
      <c r="B271" s="1" t="s">
        <v>31</v>
      </c>
      <c r="C271" s="1" t="s">
        <v>14</v>
      </c>
      <c r="D271" s="1">
        <v>40</v>
      </c>
      <c r="E271" s="1" t="s">
        <v>15</v>
      </c>
      <c r="F271" s="1">
        <v>7</v>
      </c>
      <c r="G271" s="1">
        <v>68473</v>
      </c>
      <c r="H271" s="1">
        <v>9</v>
      </c>
      <c r="I271" s="1">
        <v>45</v>
      </c>
      <c r="J271" s="1">
        <v>2</v>
      </c>
      <c r="K271" s="1">
        <v>96</v>
      </c>
      <c r="L271" s="1" t="s">
        <v>32</v>
      </c>
    </row>
    <row r="272" spans="1:12" x14ac:dyDescent="0.25">
      <c r="A272" s="1" t="s">
        <v>314</v>
      </c>
      <c r="B272" s="1" t="s">
        <v>70</v>
      </c>
      <c r="C272" s="1" t="s">
        <v>29</v>
      </c>
      <c r="D272" s="1">
        <v>26</v>
      </c>
      <c r="E272" s="1" t="s">
        <v>15</v>
      </c>
      <c r="F272" s="1">
        <v>14</v>
      </c>
      <c r="G272" s="1">
        <v>67518</v>
      </c>
      <c r="H272" s="1">
        <v>11</v>
      </c>
      <c r="I272" s="1">
        <v>40</v>
      </c>
      <c r="J272" s="1">
        <v>5</v>
      </c>
      <c r="K272" s="1">
        <v>90</v>
      </c>
      <c r="L272" s="1" t="s">
        <v>32</v>
      </c>
    </row>
    <row r="273" spans="1:12" x14ac:dyDescent="0.25">
      <c r="A273" s="1" t="s">
        <v>315</v>
      </c>
      <c r="B273" s="1" t="s">
        <v>13</v>
      </c>
      <c r="C273" s="1" t="s">
        <v>25</v>
      </c>
      <c r="D273" s="1">
        <v>30</v>
      </c>
      <c r="E273" s="1" t="s">
        <v>19</v>
      </c>
      <c r="F273" s="1">
        <v>10</v>
      </c>
      <c r="G273" s="1">
        <v>48503</v>
      </c>
      <c r="H273" s="1">
        <v>13</v>
      </c>
      <c r="I273" s="1">
        <v>35</v>
      </c>
      <c r="J273" s="1">
        <v>4</v>
      </c>
      <c r="K273" s="1">
        <v>92</v>
      </c>
      <c r="L273" s="1" t="s">
        <v>23</v>
      </c>
    </row>
    <row r="274" spans="1:12" x14ac:dyDescent="0.25">
      <c r="A274" s="1" t="s">
        <v>316</v>
      </c>
      <c r="B274" s="1" t="s">
        <v>45</v>
      </c>
      <c r="C274" s="1" t="s">
        <v>22</v>
      </c>
      <c r="D274" s="1">
        <v>37</v>
      </c>
      <c r="E274" s="1" t="s">
        <v>15</v>
      </c>
      <c r="F274" s="1">
        <v>12</v>
      </c>
      <c r="G274" s="1">
        <v>41107</v>
      </c>
      <c r="H274" s="1">
        <v>11</v>
      </c>
      <c r="I274" s="1">
        <v>40</v>
      </c>
      <c r="J274" s="1">
        <v>1</v>
      </c>
      <c r="K274" s="1">
        <v>85</v>
      </c>
      <c r="L274" s="1" t="s">
        <v>51</v>
      </c>
    </row>
    <row r="275" spans="1:12" x14ac:dyDescent="0.25">
      <c r="A275" s="1" t="s">
        <v>317</v>
      </c>
      <c r="B275" s="1" t="s">
        <v>63</v>
      </c>
      <c r="C275" s="1" t="s">
        <v>25</v>
      </c>
      <c r="D275" s="1">
        <v>28</v>
      </c>
      <c r="E275" s="1" t="s">
        <v>19</v>
      </c>
      <c r="F275" s="1">
        <v>9</v>
      </c>
      <c r="G275" s="1">
        <v>65062</v>
      </c>
      <c r="H275" s="1">
        <v>11</v>
      </c>
      <c r="I275" s="1">
        <v>42</v>
      </c>
      <c r="J275" s="1">
        <v>4</v>
      </c>
      <c r="K275" s="1">
        <v>96</v>
      </c>
      <c r="L275" s="1" t="s">
        <v>32</v>
      </c>
    </row>
    <row r="276" spans="1:12" x14ac:dyDescent="0.25">
      <c r="A276" s="1" t="s">
        <v>318</v>
      </c>
      <c r="B276" s="1" t="s">
        <v>94</v>
      </c>
      <c r="C276" s="1" t="s">
        <v>22</v>
      </c>
      <c r="D276" s="1">
        <v>33</v>
      </c>
      <c r="E276" s="1" t="s">
        <v>15</v>
      </c>
      <c r="F276" s="1">
        <v>7</v>
      </c>
      <c r="G276" s="1">
        <v>42725</v>
      </c>
      <c r="H276" s="1">
        <v>3</v>
      </c>
      <c r="I276" s="1">
        <v>48</v>
      </c>
      <c r="J276" s="1">
        <v>3</v>
      </c>
      <c r="K276" s="1">
        <v>85</v>
      </c>
      <c r="L276" s="1" t="s">
        <v>32</v>
      </c>
    </row>
    <row r="277" spans="1:12" x14ac:dyDescent="0.25">
      <c r="A277" s="1" t="s">
        <v>319</v>
      </c>
      <c r="B277" s="1" t="s">
        <v>43</v>
      </c>
      <c r="C277" s="1" t="s">
        <v>29</v>
      </c>
      <c r="D277" s="1">
        <v>27</v>
      </c>
      <c r="E277" s="1" t="s">
        <v>15</v>
      </c>
      <c r="F277" s="1">
        <v>5</v>
      </c>
      <c r="G277" s="1">
        <v>73427</v>
      </c>
      <c r="H277" s="1">
        <v>3</v>
      </c>
      <c r="I277" s="1">
        <v>41</v>
      </c>
      <c r="J277" s="1">
        <v>4</v>
      </c>
      <c r="K277" s="1">
        <v>89</v>
      </c>
      <c r="L277" s="1" t="s">
        <v>23</v>
      </c>
    </row>
    <row r="278" spans="1:12" x14ac:dyDescent="0.25">
      <c r="A278" s="1" t="s">
        <v>320</v>
      </c>
      <c r="B278" s="1" t="s">
        <v>81</v>
      </c>
      <c r="C278" s="1" t="s">
        <v>22</v>
      </c>
      <c r="D278" s="1">
        <v>38</v>
      </c>
      <c r="E278" s="1" t="s">
        <v>19</v>
      </c>
      <c r="F278" s="1">
        <v>11</v>
      </c>
      <c r="G278" s="1">
        <v>79357</v>
      </c>
      <c r="H278" s="1">
        <v>14</v>
      </c>
      <c r="I278" s="1">
        <v>46</v>
      </c>
      <c r="J278" s="1">
        <v>1</v>
      </c>
      <c r="K278" s="1">
        <v>94</v>
      </c>
      <c r="L278" s="1" t="s">
        <v>23</v>
      </c>
    </row>
    <row r="279" spans="1:12" x14ac:dyDescent="0.25">
      <c r="A279" s="1" t="s">
        <v>321</v>
      </c>
      <c r="B279" s="1" t="s">
        <v>75</v>
      </c>
      <c r="C279" s="1" t="s">
        <v>14</v>
      </c>
      <c r="D279" s="1">
        <v>38</v>
      </c>
      <c r="E279" s="1" t="s">
        <v>19</v>
      </c>
      <c r="F279" s="1">
        <v>4</v>
      </c>
      <c r="G279" s="1">
        <v>64491</v>
      </c>
      <c r="H279" s="1">
        <v>8</v>
      </c>
      <c r="I279" s="1">
        <v>39</v>
      </c>
      <c r="J279" s="1">
        <v>3</v>
      </c>
      <c r="K279" s="1">
        <v>97</v>
      </c>
      <c r="L279" s="1" t="s">
        <v>32</v>
      </c>
    </row>
    <row r="280" spans="1:12" x14ac:dyDescent="0.25">
      <c r="A280" s="1" t="s">
        <v>322</v>
      </c>
      <c r="B280" s="1" t="s">
        <v>65</v>
      </c>
      <c r="C280" s="1" t="s">
        <v>25</v>
      </c>
      <c r="D280" s="1">
        <v>29</v>
      </c>
      <c r="E280" s="1" t="s">
        <v>15</v>
      </c>
      <c r="F280" s="1">
        <v>12</v>
      </c>
      <c r="G280" s="1">
        <v>72940</v>
      </c>
      <c r="H280" s="1">
        <v>14</v>
      </c>
      <c r="I280" s="1">
        <v>36</v>
      </c>
      <c r="J280" s="1">
        <v>5</v>
      </c>
      <c r="K280" s="1">
        <v>99</v>
      </c>
      <c r="L280" s="1" t="s">
        <v>32</v>
      </c>
    </row>
    <row r="281" spans="1:12" x14ac:dyDescent="0.25">
      <c r="A281" s="1" t="s">
        <v>323</v>
      </c>
      <c r="B281" s="1" t="s">
        <v>45</v>
      </c>
      <c r="C281" s="1" t="s">
        <v>25</v>
      </c>
      <c r="D281" s="1">
        <v>30</v>
      </c>
      <c r="E281" s="1" t="s">
        <v>15</v>
      </c>
      <c r="F281" s="1">
        <v>2</v>
      </c>
      <c r="G281" s="1">
        <v>42326</v>
      </c>
      <c r="H281" s="1">
        <v>9</v>
      </c>
      <c r="I281" s="1">
        <v>41</v>
      </c>
      <c r="J281" s="1">
        <v>1</v>
      </c>
      <c r="K281" s="1">
        <v>99</v>
      </c>
      <c r="L281" s="1" t="s">
        <v>51</v>
      </c>
    </row>
    <row r="282" spans="1:12" x14ac:dyDescent="0.25">
      <c r="A282" s="1" t="s">
        <v>324</v>
      </c>
      <c r="B282" s="1" t="s">
        <v>77</v>
      </c>
      <c r="C282" s="1" t="s">
        <v>29</v>
      </c>
      <c r="D282" s="1">
        <v>40</v>
      </c>
      <c r="E282" s="1" t="s">
        <v>15</v>
      </c>
      <c r="F282" s="1">
        <v>3</v>
      </c>
      <c r="G282" s="1">
        <v>34670</v>
      </c>
      <c r="H282" s="1">
        <v>7</v>
      </c>
      <c r="I282" s="1">
        <v>46</v>
      </c>
      <c r="J282" s="1">
        <v>4</v>
      </c>
      <c r="K282" s="1">
        <v>92</v>
      </c>
      <c r="L282" s="1" t="s">
        <v>32</v>
      </c>
    </row>
    <row r="283" spans="1:12" x14ac:dyDescent="0.25">
      <c r="A283" s="1" t="s">
        <v>325</v>
      </c>
      <c r="B283" s="1" t="s">
        <v>77</v>
      </c>
      <c r="C283" s="1" t="s">
        <v>14</v>
      </c>
      <c r="D283" s="1">
        <v>33</v>
      </c>
      <c r="E283" s="1" t="s">
        <v>19</v>
      </c>
      <c r="F283" s="1">
        <v>7</v>
      </c>
      <c r="G283" s="1">
        <v>75863</v>
      </c>
      <c r="H283" s="1">
        <v>3</v>
      </c>
      <c r="I283" s="1">
        <v>41</v>
      </c>
      <c r="J283" s="1">
        <v>4</v>
      </c>
      <c r="K283" s="1">
        <v>85</v>
      </c>
      <c r="L283" s="1" t="s">
        <v>37</v>
      </c>
    </row>
    <row r="284" spans="1:12" x14ac:dyDescent="0.25">
      <c r="A284" s="1" t="s">
        <v>326</v>
      </c>
      <c r="B284" s="1" t="s">
        <v>36</v>
      </c>
      <c r="C284" s="1" t="s">
        <v>25</v>
      </c>
      <c r="D284" s="1">
        <v>40</v>
      </c>
      <c r="E284" s="1" t="s">
        <v>15</v>
      </c>
      <c r="F284" s="1">
        <v>12</v>
      </c>
      <c r="G284" s="1">
        <v>68631</v>
      </c>
      <c r="H284" s="1">
        <v>6</v>
      </c>
      <c r="I284" s="1">
        <v>38</v>
      </c>
      <c r="J284" s="1">
        <v>5</v>
      </c>
      <c r="K284" s="1">
        <v>86</v>
      </c>
      <c r="L284" s="1" t="s">
        <v>51</v>
      </c>
    </row>
    <row r="285" spans="1:12" x14ac:dyDescent="0.25">
      <c r="A285" s="1" t="s">
        <v>327</v>
      </c>
      <c r="B285" s="1" t="s">
        <v>13</v>
      </c>
      <c r="C285" s="1" t="s">
        <v>25</v>
      </c>
      <c r="D285" s="1">
        <v>37</v>
      </c>
      <c r="E285" s="1" t="s">
        <v>19</v>
      </c>
      <c r="F285" s="1">
        <v>8</v>
      </c>
      <c r="G285" s="1">
        <v>29631</v>
      </c>
      <c r="H285" s="1">
        <v>6</v>
      </c>
      <c r="I285" s="1">
        <v>35</v>
      </c>
      <c r="J285" s="1">
        <v>3</v>
      </c>
      <c r="K285" s="1">
        <v>89</v>
      </c>
      <c r="L285" s="1" t="s">
        <v>16</v>
      </c>
    </row>
    <row r="286" spans="1:12" x14ac:dyDescent="0.25">
      <c r="A286" s="1" t="s">
        <v>328</v>
      </c>
      <c r="B286" s="1" t="s">
        <v>81</v>
      </c>
      <c r="C286" s="1" t="s">
        <v>29</v>
      </c>
      <c r="D286" s="1">
        <v>27</v>
      </c>
      <c r="E286" s="1" t="s">
        <v>15</v>
      </c>
      <c r="F286" s="1">
        <v>6</v>
      </c>
      <c r="G286" s="1">
        <v>25214</v>
      </c>
      <c r="H286" s="1">
        <v>5</v>
      </c>
      <c r="I286" s="1">
        <v>48</v>
      </c>
      <c r="J286" s="1">
        <v>2</v>
      </c>
      <c r="K286" s="1">
        <v>99</v>
      </c>
      <c r="L286" s="1" t="s">
        <v>51</v>
      </c>
    </row>
    <row r="287" spans="1:12" x14ac:dyDescent="0.25">
      <c r="A287" s="1" t="s">
        <v>329</v>
      </c>
      <c r="B287" s="1" t="s">
        <v>53</v>
      </c>
      <c r="C287" s="1" t="s">
        <v>29</v>
      </c>
      <c r="D287" s="1">
        <v>29</v>
      </c>
      <c r="E287" s="1" t="s">
        <v>15</v>
      </c>
      <c r="F287" s="1">
        <v>13</v>
      </c>
      <c r="G287" s="1">
        <v>42399</v>
      </c>
      <c r="H287" s="1">
        <v>11</v>
      </c>
      <c r="I287" s="1">
        <v>42</v>
      </c>
      <c r="J287" s="1">
        <v>3</v>
      </c>
      <c r="K287" s="1">
        <v>100</v>
      </c>
      <c r="L287" s="1" t="s">
        <v>32</v>
      </c>
    </row>
    <row r="288" spans="1:12" x14ac:dyDescent="0.25">
      <c r="A288" s="1" t="s">
        <v>330</v>
      </c>
      <c r="B288" s="1" t="s">
        <v>13</v>
      </c>
      <c r="C288" s="1" t="s">
        <v>29</v>
      </c>
      <c r="D288" s="1">
        <v>22</v>
      </c>
      <c r="E288" s="1" t="s">
        <v>19</v>
      </c>
      <c r="F288" s="1">
        <v>15</v>
      </c>
      <c r="G288" s="1">
        <v>52695</v>
      </c>
      <c r="H288" s="1">
        <v>14</v>
      </c>
      <c r="I288" s="1">
        <v>37</v>
      </c>
      <c r="J288" s="1">
        <v>1</v>
      </c>
      <c r="K288" s="1">
        <v>96</v>
      </c>
      <c r="L288" s="1" t="s">
        <v>23</v>
      </c>
    </row>
    <row r="289" spans="1:12" x14ac:dyDescent="0.25">
      <c r="A289" s="1" t="s">
        <v>331</v>
      </c>
      <c r="B289" s="1" t="s">
        <v>31</v>
      </c>
      <c r="C289" s="1" t="s">
        <v>22</v>
      </c>
      <c r="D289" s="1">
        <v>26</v>
      </c>
      <c r="E289" s="1" t="s">
        <v>15</v>
      </c>
      <c r="F289" s="1">
        <v>13</v>
      </c>
      <c r="G289" s="1">
        <v>56603</v>
      </c>
      <c r="H289" s="1">
        <v>5</v>
      </c>
      <c r="I289" s="1">
        <v>38</v>
      </c>
      <c r="J289" s="1">
        <v>3</v>
      </c>
      <c r="K289" s="1">
        <v>91</v>
      </c>
      <c r="L289" s="1" t="s">
        <v>23</v>
      </c>
    </row>
    <row r="290" spans="1:12" x14ac:dyDescent="0.25">
      <c r="A290" s="1" t="s">
        <v>332</v>
      </c>
      <c r="B290" s="1" t="s">
        <v>21</v>
      </c>
      <c r="C290" s="1" t="s">
        <v>25</v>
      </c>
      <c r="D290" s="1">
        <v>31</v>
      </c>
      <c r="E290" s="1" t="s">
        <v>15</v>
      </c>
      <c r="F290" s="1">
        <v>9</v>
      </c>
      <c r="G290" s="1">
        <v>41282</v>
      </c>
      <c r="H290" s="1">
        <v>15</v>
      </c>
      <c r="I290" s="1">
        <v>41</v>
      </c>
      <c r="J290" s="1">
        <v>4</v>
      </c>
      <c r="K290" s="1">
        <v>99</v>
      </c>
      <c r="L290" s="1" t="s">
        <v>37</v>
      </c>
    </row>
    <row r="291" spans="1:12" x14ac:dyDescent="0.25">
      <c r="A291" s="1" t="s">
        <v>333</v>
      </c>
      <c r="B291" s="1" t="s">
        <v>83</v>
      </c>
      <c r="C291" s="1" t="s">
        <v>29</v>
      </c>
      <c r="D291" s="1">
        <v>38</v>
      </c>
      <c r="E291" s="1" t="s">
        <v>19</v>
      </c>
      <c r="F291" s="1">
        <v>3</v>
      </c>
      <c r="G291" s="1">
        <v>43288</v>
      </c>
      <c r="H291" s="1">
        <v>3</v>
      </c>
      <c r="I291" s="1">
        <v>48</v>
      </c>
      <c r="J291" s="1">
        <v>1</v>
      </c>
      <c r="K291" s="1">
        <v>95</v>
      </c>
      <c r="L291" s="1" t="s">
        <v>16</v>
      </c>
    </row>
    <row r="292" spans="1:12" x14ac:dyDescent="0.25">
      <c r="A292" s="1" t="s">
        <v>334</v>
      </c>
      <c r="B292" s="1" t="s">
        <v>89</v>
      </c>
      <c r="C292" s="1" t="s">
        <v>25</v>
      </c>
      <c r="D292" s="1">
        <v>35</v>
      </c>
      <c r="E292" s="1" t="s">
        <v>15</v>
      </c>
      <c r="F292" s="1">
        <v>9</v>
      </c>
      <c r="G292" s="1">
        <v>52185</v>
      </c>
      <c r="H292" s="1">
        <v>10</v>
      </c>
      <c r="I292" s="1">
        <v>46</v>
      </c>
      <c r="J292" s="1">
        <v>4</v>
      </c>
      <c r="K292" s="1">
        <v>92</v>
      </c>
      <c r="L292" s="1" t="s">
        <v>32</v>
      </c>
    </row>
    <row r="293" spans="1:12" x14ac:dyDescent="0.25">
      <c r="A293" s="1" t="s">
        <v>335</v>
      </c>
      <c r="B293" s="1" t="s">
        <v>31</v>
      </c>
      <c r="C293" s="1" t="s">
        <v>29</v>
      </c>
      <c r="D293" s="1">
        <v>24</v>
      </c>
      <c r="E293" s="1" t="s">
        <v>15</v>
      </c>
      <c r="F293" s="1">
        <v>10</v>
      </c>
      <c r="G293" s="1">
        <v>64625</v>
      </c>
      <c r="H293" s="1">
        <v>14</v>
      </c>
      <c r="I293" s="1">
        <v>46</v>
      </c>
      <c r="J293" s="1">
        <v>2</v>
      </c>
      <c r="K293" s="1">
        <v>87</v>
      </c>
      <c r="L293" s="1" t="s">
        <v>23</v>
      </c>
    </row>
    <row r="294" spans="1:12" x14ac:dyDescent="0.25">
      <c r="A294" s="1" t="s">
        <v>336</v>
      </c>
      <c r="B294" s="1" t="s">
        <v>40</v>
      </c>
      <c r="C294" s="1" t="s">
        <v>25</v>
      </c>
      <c r="D294" s="1">
        <v>31</v>
      </c>
      <c r="E294" s="1" t="s">
        <v>15</v>
      </c>
      <c r="F294" s="1">
        <v>15</v>
      </c>
      <c r="G294" s="1">
        <v>76389</v>
      </c>
      <c r="H294" s="1">
        <v>6</v>
      </c>
      <c r="I294" s="1">
        <v>36</v>
      </c>
      <c r="J294" s="1">
        <v>2</v>
      </c>
      <c r="K294" s="1">
        <v>95</v>
      </c>
      <c r="L294" s="1" t="s">
        <v>23</v>
      </c>
    </row>
    <row r="295" spans="1:12" x14ac:dyDescent="0.25">
      <c r="A295" s="1" t="s">
        <v>337</v>
      </c>
      <c r="B295" s="1" t="s">
        <v>31</v>
      </c>
      <c r="C295" s="1" t="s">
        <v>14</v>
      </c>
      <c r="D295" s="1">
        <v>39</v>
      </c>
      <c r="E295" s="1" t="s">
        <v>19</v>
      </c>
      <c r="F295" s="1">
        <v>8</v>
      </c>
      <c r="G295" s="1">
        <v>37060</v>
      </c>
      <c r="H295" s="1">
        <v>8</v>
      </c>
      <c r="I295" s="1">
        <v>36</v>
      </c>
      <c r="J295" s="1">
        <v>1</v>
      </c>
      <c r="K295" s="1">
        <v>89</v>
      </c>
      <c r="L295" s="1" t="s">
        <v>37</v>
      </c>
    </row>
    <row r="296" spans="1:12" x14ac:dyDescent="0.25">
      <c r="A296" s="1" t="s">
        <v>338</v>
      </c>
      <c r="B296" s="1" t="s">
        <v>83</v>
      </c>
      <c r="C296" s="1" t="s">
        <v>25</v>
      </c>
      <c r="D296" s="1">
        <v>31</v>
      </c>
      <c r="E296" s="1" t="s">
        <v>19</v>
      </c>
      <c r="F296" s="1">
        <v>6</v>
      </c>
      <c r="G296" s="1">
        <v>50711</v>
      </c>
      <c r="H296" s="1">
        <v>3</v>
      </c>
      <c r="I296" s="1">
        <v>37</v>
      </c>
      <c r="J296" s="1">
        <v>2</v>
      </c>
      <c r="K296" s="1">
        <v>95</v>
      </c>
      <c r="L296" s="1" t="s">
        <v>26</v>
      </c>
    </row>
    <row r="297" spans="1:12" x14ac:dyDescent="0.25">
      <c r="A297" s="1" t="s">
        <v>339</v>
      </c>
      <c r="B297" s="1" t="s">
        <v>77</v>
      </c>
      <c r="C297" s="1" t="s">
        <v>29</v>
      </c>
      <c r="D297" s="1">
        <v>36</v>
      </c>
      <c r="E297" s="1" t="s">
        <v>19</v>
      </c>
      <c r="F297" s="1">
        <v>3</v>
      </c>
      <c r="G297" s="1">
        <v>47028</v>
      </c>
      <c r="H297" s="1">
        <v>5</v>
      </c>
      <c r="I297" s="1">
        <v>50</v>
      </c>
      <c r="J297" s="1">
        <v>3</v>
      </c>
      <c r="K297" s="1">
        <v>89</v>
      </c>
      <c r="L297" s="1" t="s">
        <v>37</v>
      </c>
    </row>
    <row r="298" spans="1:12" x14ac:dyDescent="0.25">
      <c r="A298" s="1" t="s">
        <v>340</v>
      </c>
      <c r="B298" s="1" t="s">
        <v>89</v>
      </c>
      <c r="C298" s="1" t="s">
        <v>22</v>
      </c>
      <c r="D298" s="1">
        <v>31</v>
      </c>
      <c r="E298" s="1" t="s">
        <v>15</v>
      </c>
      <c r="F298" s="1">
        <v>4</v>
      </c>
      <c r="G298" s="1">
        <v>59236</v>
      </c>
      <c r="H298" s="1">
        <v>3</v>
      </c>
      <c r="I298" s="1">
        <v>50</v>
      </c>
      <c r="J298" s="1">
        <v>4</v>
      </c>
      <c r="K298" s="1">
        <v>85</v>
      </c>
      <c r="L298" s="1" t="s">
        <v>26</v>
      </c>
    </row>
    <row r="299" spans="1:12" x14ac:dyDescent="0.25">
      <c r="A299" s="1" t="s">
        <v>341</v>
      </c>
      <c r="B299" s="1" t="s">
        <v>75</v>
      </c>
      <c r="C299" s="1" t="s">
        <v>14</v>
      </c>
      <c r="D299" s="1">
        <v>25</v>
      </c>
      <c r="E299" s="1" t="s">
        <v>19</v>
      </c>
      <c r="F299" s="1">
        <v>5</v>
      </c>
      <c r="G299" s="1">
        <v>69679</v>
      </c>
      <c r="H299" s="1">
        <v>8</v>
      </c>
      <c r="I299" s="1">
        <v>44</v>
      </c>
      <c r="J299" s="1">
        <v>5</v>
      </c>
      <c r="K299" s="1">
        <v>92</v>
      </c>
      <c r="L299" s="1" t="s">
        <v>32</v>
      </c>
    </row>
    <row r="300" spans="1:12" x14ac:dyDescent="0.25">
      <c r="A300" s="1" t="s">
        <v>342</v>
      </c>
      <c r="B300" s="1" t="s">
        <v>31</v>
      </c>
      <c r="C300" s="1" t="s">
        <v>29</v>
      </c>
      <c r="D300" s="1">
        <v>37</v>
      </c>
      <c r="E300" s="1" t="s">
        <v>15</v>
      </c>
      <c r="F300" s="1">
        <v>12</v>
      </c>
      <c r="G300" s="1">
        <v>55382</v>
      </c>
      <c r="H300" s="1">
        <v>4</v>
      </c>
      <c r="I300" s="1">
        <v>35</v>
      </c>
      <c r="J300" s="1">
        <v>2</v>
      </c>
      <c r="K300" s="1">
        <v>91</v>
      </c>
      <c r="L300" s="1" t="s">
        <v>23</v>
      </c>
    </row>
    <row r="301" spans="1:12" x14ac:dyDescent="0.25">
      <c r="A301" s="1" t="s">
        <v>343</v>
      </c>
      <c r="B301" s="1" t="s">
        <v>83</v>
      </c>
      <c r="C301" s="1" t="s">
        <v>25</v>
      </c>
      <c r="D301" s="1">
        <v>33</v>
      </c>
      <c r="E301" s="1" t="s">
        <v>15</v>
      </c>
      <c r="F301" s="1">
        <v>9</v>
      </c>
      <c r="G301" s="1">
        <v>31007</v>
      </c>
      <c r="H301" s="1">
        <v>4</v>
      </c>
      <c r="I301" s="1">
        <v>40</v>
      </c>
      <c r="J301" s="1">
        <v>4</v>
      </c>
      <c r="K301" s="1">
        <v>88</v>
      </c>
      <c r="L301" s="1" t="s">
        <v>37</v>
      </c>
    </row>
    <row r="302" spans="1:12" x14ac:dyDescent="0.25">
      <c r="A302" s="1" t="s">
        <v>344</v>
      </c>
      <c r="B302" s="1" t="s">
        <v>18</v>
      </c>
      <c r="C302" s="1" t="s">
        <v>22</v>
      </c>
      <c r="D302" s="1">
        <v>39</v>
      </c>
      <c r="E302" s="1" t="s">
        <v>15</v>
      </c>
      <c r="F302" s="1">
        <v>6</v>
      </c>
      <c r="G302" s="1">
        <v>38424</v>
      </c>
      <c r="H302" s="1">
        <v>10</v>
      </c>
      <c r="I302" s="1">
        <v>35</v>
      </c>
      <c r="J302" s="1">
        <v>2</v>
      </c>
      <c r="K302" s="1">
        <v>89</v>
      </c>
      <c r="L302" s="1" t="s">
        <v>32</v>
      </c>
    </row>
    <row r="303" spans="1:12" x14ac:dyDescent="0.25">
      <c r="A303" s="1" t="s">
        <v>345</v>
      </c>
      <c r="B303" s="1" t="s">
        <v>34</v>
      </c>
      <c r="C303" s="1" t="s">
        <v>29</v>
      </c>
      <c r="D303" s="1">
        <v>31</v>
      </c>
      <c r="E303" s="1" t="s">
        <v>15</v>
      </c>
      <c r="F303" s="1">
        <v>12</v>
      </c>
      <c r="G303" s="1">
        <v>48510</v>
      </c>
      <c r="H303" s="1">
        <v>6</v>
      </c>
      <c r="I303" s="1">
        <v>48</v>
      </c>
      <c r="J303" s="1">
        <v>5</v>
      </c>
      <c r="K303" s="1">
        <v>86</v>
      </c>
      <c r="L303" s="1" t="s">
        <v>26</v>
      </c>
    </row>
    <row r="304" spans="1:12" x14ac:dyDescent="0.25">
      <c r="A304" s="1" t="s">
        <v>346</v>
      </c>
      <c r="B304" s="1" t="s">
        <v>18</v>
      </c>
      <c r="C304" s="1" t="s">
        <v>14</v>
      </c>
      <c r="D304" s="1">
        <v>35</v>
      </c>
      <c r="E304" s="1" t="s">
        <v>15</v>
      </c>
      <c r="F304" s="1">
        <v>7</v>
      </c>
      <c r="G304" s="1">
        <v>51309</v>
      </c>
      <c r="H304" s="1">
        <v>11</v>
      </c>
      <c r="I304" s="1">
        <v>49</v>
      </c>
      <c r="J304" s="1">
        <v>2</v>
      </c>
      <c r="K304" s="1">
        <v>85</v>
      </c>
      <c r="L304" s="1" t="s">
        <v>16</v>
      </c>
    </row>
    <row r="305" spans="1:12" x14ac:dyDescent="0.25">
      <c r="A305" s="1" t="s">
        <v>347</v>
      </c>
      <c r="B305" s="1" t="s">
        <v>43</v>
      </c>
      <c r="C305" s="1" t="s">
        <v>29</v>
      </c>
      <c r="D305" s="1">
        <v>35</v>
      </c>
      <c r="E305" s="1" t="s">
        <v>15</v>
      </c>
      <c r="F305" s="1">
        <v>12</v>
      </c>
      <c r="G305" s="1">
        <v>55540</v>
      </c>
      <c r="H305" s="1">
        <v>7</v>
      </c>
      <c r="I305" s="1">
        <v>49</v>
      </c>
      <c r="J305" s="1">
        <v>2</v>
      </c>
      <c r="K305" s="1">
        <v>88</v>
      </c>
      <c r="L305" s="1" t="s">
        <v>51</v>
      </c>
    </row>
    <row r="306" spans="1:12" x14ac:dyDescent="0.25">
      <c r="A306" s="1" t="s">
        <v>348</v>
      </c>
      <c r="B306" s="1" t="s">
        <v>28</v>
      </c>
      <c r="C306" s="1" t="s">
        <v>22</v>
      </c>
      <c r="D306" s="1">
        <v>40</v>
      </c>
      <c r="E306" s="1" t="s">
        <v>19</v>
      </c>
      <c r="F306" s="1">
        <v>4</v>
      </c>
      <c r="G306" s="1">
        <v>34140</v>
      </c>
      <c r="H306" s="1">
        <v>9</v>
      </c>
      <c r="I306" s="1">
        <v>47</v>
      </c>
      <c r="J306" s="1">
        <v>4</v>
      </c>
      <c r="K306" s="1">
        <v>92</v>
      </c>
      <c r="L306" s="1" t="s">
        <v>16</v>
      </c>
    </row>
    <row r="307" spans="1:12" x14ac:dyDescent="0.25">
      <c r="A307" s="1" t="s">
        <v>349</v>
      </c>
      <c r="B307" s="1" t="s">
        <v>63</v>
      </c>
      <c r="C307" s="1" t="s">
        <v>25</v>
      </c>
      <c r="D307" s="1">
        <v>25</v>
      </c>
      <c r="E307" s="1" t="s">
        <v>15</v>
      </c>
      <c r="F307" s="1">
        <v>13</v>
      </c>
      <c r="G307" s="1">
        <v>43901</v>
      </c>
      <c r="H307" s="1">
        <v>7</v>
      </c>
      <c r="I307" s="1">
        <v>35</v>
      </c>
      <c r="J307" s="1">
        <v>5</v>
      </c>
      <c r="K307" s="1">
        <v>86</v>
      </c>
      <c r="L307" s="1" t="s">
        <v>26</v>
      </c>
    </row>
    <row r="308" spans="1:12" x14ac:dyDescent="0.25">
      <c r="A308" s="1" t="s">
        <v>350</v>
      </c>
      <c r="B308" s="1" t="s">
        <v>28</v>
      </c>
      <c r="C308" s="1" t="s">
        <v>14</v>
      </c>
      <c r="D308" s="1">
        <v>26</v>
      </c>
      <c r="E308" s="1" t="s">
        <v>19</v>
      </c>
      <c r="F308" s="1">
        <v>4</v>
      </c>
      <c r="G308" s="1">
        <v>65485</v>
      </c>
      <c r="H308" s="1">
        <v>13</v>
      </c>
      <c r="I308" s="1">
        <v>44</v>
      </c>
      <c r="J308" s="1">
        <v>5</v>
      </c>
      <c r="K308" s="1">
        <v>93</v>
      </c>
      <c r="L308" s="1" t="s">
        <v>51</v>
      </c>
    </row>
    <row r="309" spans="1:12" x14ac:dyDescent="0.25">
      <c r="A309" s="1" t="s">
        <v>351</v>
      </c>
      <c r="B309" s="1" t="s">
        <v>18</v>
      </c>
      <c r="C309" s="1" t="s">
        <v>29</v>
      </c>
      <c r="D309" s="1">
        <v>29</v>
      </c>
      <c r="E309" s="1" t="s">
        <v>15</v>
      </c>
      <c r="F309" s="1">
        <v>3</v>
      </c>
      <c r="G309" s="1">
        <v>52732</v>
      </c>
      <c r="H309" s="1">
        <v>5</v>
      </c>
      <c r="I309" s="1">
        <v>43</v>
      </c>
      <c r="J309" s="1">
        <v>4</v>
      </c>
      <c r="K309" s="1">
        <v>91</v>
      </c>
      <c r="L309" s="1" t="s">
        <v>16</v>
      </c>
    </row>
    <row r="310" spans="1:12" x14ac:dyDescent="0.25">
      <c r="A310" s="1" t="s">
        <v>352</v>
      </c>
      <c r="B310" s="1" t="s">
        <v>40</v>
      </c>
      <c r="C310" s="1" t="s">
        <v>25</v>
      </c>
      <c r="D310" s="1">
        <v>32</v>
      </c>
      <c r="E310" s="1" t="s">
        <v>19</v>
      </c>
      <c r="F310" s="1">
        <v>7</v>
      </c>
      <c r="G310" s="1">
        <v>57164</v>
      </c>
      <c r="H310" s="1">
        <v>5</v>
      </c>
      <c r="I310" s="1">
        <v>45</v>
      </c>
      <c r="J310" s="1">
        <v>1</v>
      </c>
      <c r="K310" s="1">
        <v>94</v>
      </c>
      <c r="L310" s="1" t="s">
        <v>23</v>
      </c>
    </row>
    <row r="311" spans="1:12" x14ac:dyDescent="0.25">
      <c r="A311" s="1" t="s">
        <v>353</v>
      </c>
      <c r="B311" s="1" t="s">
        <v>81</v>
      </c>
      <c r="C311" s="1" t="s">
        <v>25</v>
      </c>
      <c r="D311" s="1">
        <v>35</v>
      </c>
      <c r="E311" s="1" t="s">
        <v>19</v>
      </c>
      <c r="F311" s="1">
        <v>3</v>
      </c>
      <c r="G311" s="1">
        <v>77950</v>
      </c>
      <c r="H311" s="1">
        <v>10</v>
      </c>
      <c r="I311" s="1">
        <v>46</v>
      </c>
      <c r="J311" s="1">
        <v>4</v>
      </c>
      <c r="K311" s="1">
        <v>92</v>
      </c>
      <c r="L311" s="1" t="s">
        <v>23</v>
      </c>
    </row>
    <row r="312" spans="1:12" x14ac:dyDescent="0.25">
      <c r="A312" s="1" t="s">
        <v>354</v>
      </c>
      <c r="B312" s="1" t="s">
        <v>21</v>
      </c>
      <c r="C312" s="1" t="s">
        <v>25</v>
      </c>
      <c r="D312" s="1">
        <v>40</v>
      </c>
      <c r="E312" s="1" t="s">
        <v>15</v>
      </c>
      <c r="F312" s="1">
        <v>13</v>
      </c>
      <c r="G312" s="1">
        <v>78385</v>
      </c>
      <c r="H312" s="1">
        <v>10</v>
      </c>
      <c r="I312" s="1">
        <v>44</v>
      </c>
      <c r="J312" s="1">
        <v>4</v>
      </c>
      <c r="K312" s="1">
        <v>85</v>
      </c>
      <c r="L312" s="1" t="s">
        <v>37</v>
      </c>
    </row>
    <row r="313" spans="1:12" x14ac:dyDescent="0.25">
      <c r="A313" s="1" t="s">
        <v>355</v>
      </c>
      <c r="B313" s="1" t="s">
        <v>65</v>
      </c>
      <c r="C313" s="1" t="s">
        <v>25</v>
      </c>
      <c r="D313" s="1">
        <v>37</v>
      </c>
      <c r="E313" s="1" t="s">
        <v>19</v>
      </c>
      <c r="F313" s="1">
        <v>4</v>
      </c>
      <c r="G313" s="1">
        <v>79602</v>
      </c>
      <c r="H313" s="1">
        <v>10</v>
      </c>
      <c r="I313" s="1">
        <v>47</v>
      </c>
      <c r="J313" s="1">
        <v>1</v>
      </c>
      <c r="K313" s="1">
        <v>85</v>
      </c>
      <c r="L313" s="1" t="s">
        <v>37</v>
      </c>
    </row>
    <row r="314" spans="1:12" x14ac:dyDescent="0.25">
      <c r="A314" s="1" t="s">
        <v>356</v>
      </c>
      <c r="B314" s="1" t="s">
        <v>83</v>
      </c>
      <c r="C314" s="1" t="s">
        <v>29</v>
      </c>
      <c r="D314" s="1">
        <v>37</v>
      </c>
      <c r="E314" s="1" t="s">
        <v>15</v>
      </c>
      <c r="F314" s="1">
        <v>1</v>
      </c>
      <c r="G314" s="1">
        <v>71074</v>
      </c>
      <c r="H314" s="1">
        <v>11</v>
      </c>
      <c r="I314" s="1">
        <v>50</v>
      </c>
      <c r="J314" s="1">
        <v>4</v>
      </c>
      <c r="K314" s="1">
        <v>97</v>
      </c>
      <c r="L314" s="1" t="s">
        <v>26</v>
      </c>
    </row>
    <row r="315" spans="1:12" x14ac:dyDescent="0.25">
      <c r="A315" s="1" t="s">
        <v>357</v>
      </c>
      <c r="B315" s="1" t="s">
        <v>65</v>
      </c>
      <c r="C315" s="1" t="s">
        <v>25</v>
      </c>
      <c r="D315" s="1">
        <v>25</v>
      </c>
      <c r="E315" s="1" t="s">
        <v>19</v>
      </c>
      <c r="F315" s="1">
        <v>13</v>
      </c>
      <c r="G315" s="1">
        <v>70293</v>
      </c>
      <c r="H315" s="1">
        <v>9</v>
      </c>
      <c r="I315" s="1">
        <v>48</v>
      </c>
      <c r="J315" s="1">
        <v>4</v>
      </c>
      <c r="K315" s="1">
        <v>100</v>
      </c>
      <c r="L315" s="1" t="s">
        <v>51</v>
      </c>
    </row>
    <row r="316" spans="1:12" x14ac:dyDescent="0.25">
      <c r="A316" s="1" t="s">
        <v>358</v>
      </c>
      <c r="B316" s="1" t="s">
        <v>45</v>
      </c>
      <c r="C316" s="1" t="s">
        <v>29</v>
      </c>
      <c r="D316" s="1">
        <v>26</v>
      </c>
      <c r="E316" s="1" t="s">
        <v>19</v>
      </c>
      <c r="F316" s="1">
        <v>4</v>
      </c>
      <c r="G316" s="1">
        <v>75412</v>
      </c>
      <c r="H316" s="1">
        <v>6</v>
      </c>
      <c r="I316" s="1">
        <v>42</v>
      </c>
      <c r="J316" s="1">
        <v>2</v>
      </c>
      <c r="K316" s="1">
        <v>92</v>
      </c>
      <c r="L316" s="1" t="s">
        <v>51</v>
      </c>
    </row>
    <row r="317" spans="1:12" x14ac:dyDescent="0.25">
      <c r="A317" s="1" t="s">
        <v>359</v>
      </c>
      <c r="B317" s="1" t="s">
        <v>83</v>
      </c>
      <c r="C317" s="1" t="s">
        <v>14</v>
      </c>
      <c r="D317" s="1">
        <v>26</v>
      </c>
      <c r="E317" s="1" t="s">
        <v>15</v>
      </c>
      <c r="F317" s="1">
        <v>3</v>
      </c>
      <c r="G317" s="1">
        <v>38375</v>
      </c>
      <c r="H317" s="1">
        <v>9</v>
      </c>
      <c r="I317" s="1">
        <v>41</v>
      </c>
      <c r="J317" s="1">
        <v>2</v>
      </c>
      <c r="K317" s="1">
        <v>91</v>
      </c>
      <c r="L317" s="1" t="s">
        <v>23</v>
      </c>
    </row>
    <row r="318" spans="1:12" x14ac:dyDescent="0.25">
      <c r="A318" s="1" t="s">
        <v>360</v>
      </c>
      <c r="B318" s="1" t="s">
        <v>81</v>
      </c>
      <c r="C318" s="1" t="s">
        <v>22</v>
      </c>
      <c r="D318" s="1">
        <v>24</v>
      </c>
      <c r="E318" s="1" t="s">
        <v>19</v>
      </c>
      <c r="F318" s="1">
        <v>1</v>
      </c>
      <c r="G318" s="1">
        <v>44230</v>
      </c>
      <c r="H318" s="1">
        <v>10</v>
      </c>
      <c r="I318" s="1">
        <v>35</v>
      </c>
      <c r="J318" s="1">
        <v>3</v>
      </c>
      <c r="K318" s="1">
        <v>96</v>
      </c>
      <c r="L318" s="1" t="s">
        <v>51</v>
      </c>
    </row>
    <row r="319" spans="1:12" x14ac:dyDescent="0.25">
      <c r="A319" s="1" t="s">
        <v>361</v>
      </c>
      <c r="B319" s="1" t="s">
        <v>65</v>
      </c>
      <c r="C319" s="1" t="s">
        <v>22</v>
      </c>
      <c r="D319" s="1">
        <v>27</v>
      </c>
      <c r="E319" s="1" t="s">
        <v>19</v>
      </c>
      <c r="F319" s="1">
        <v>13</v>
      </c>
      <c r="G319" s="1">
        <v>42308</v>
      </c>
      <c r="H319" s="1">
        <v>3</v>
      </c>
      <c r="I319" s="1">
        <v>48</v>
      </c>
      <c r="J319" s="1">
        <v>5</v>
      </c>
      <c r="K319" s="1">
        <v>92</v>
      </c>
      <c r="L319" s="1" t="s">
        <v>23</v>
      </c>
    </row>
    <row r="320" spans="1:12" x14ac:dyDescent="0.25">
      <c r="A320" s="1" t="s">
        <v>362</v>
      </c>
      <c r="B320" s="1" t="s">
        <v>45</v>
      </c>
      <c r="C320" s="1" t="s">
        <v>29</v>
      </c>
      <c r="D320" s="1">
        <v>26</v>
      </c>
      <c r="E320" s="1" t="s">
        <v>19</v>
      </c>
      <c r="F320" s="1">
        <v>1</v>
      </c>
      <c r="G320" s="1">
        <v>37330</v>
      </c>
      <c r="H320" s="1">
        <v>5</v>
      </c>
      <c r="I320" s="1">
        <v>35</v>
      </c>
      <c r="J320" s="1">
        <v>2</v>
      </c>
      <c r="K320" s="1">
        <v>93</v>
      </c>
      <c r="L320" s="1" t="s">
        <v>23</v>
      </c>
    </row>
    <row r="321" spans="1:12" x14ac:dyDescent="0.25">
      <c r="A321" s="1" t="s">
        <v>363</v>
      </c>
      <c r="B321" s="1" t="s">
        <v>89</v>
      </c>
      <c r="C321" s="1" t="s">
        <v>25</v>
      </c>
      <c r="D321" s="1">
        <v>23</v>
      </c>
      <c r="E321" s="1" t="s">
        <v>19</v>
      </c>
      <c r="F321" s="1">
        <v>15</v>
      </c>
      <c r="G321" s="1">
        <v>37337</v>
      </c>
      <c r="H321" s="1">
        <v>9</v>
      </c>
      <c r="I321" s="1">
        <v>48</v>
      </c>
      <c r="J321" s="1">
        <v>1</v>
      </c>
      <c r="K321" s="1">
        <v>93</v>
      </c>
      <c r="L321" s="1" t="s">
        <v>51</v>
      </c>
    </row>
    <row r="322" spans="1:12" x14ac:dyDescent="0.25">
      <c r="A322" s="1" t="s">
        <v>364</v>
      </c>
      <c r="B322" s="1" t="s">
        <v>36</v>
      </c>
      <c r="C322" s="1" t="s">
        <v>25</v>
      </c>
      <c r="D322" s="1">
        <v>24</v>
      </c>
      <c r="E322" s="1" t="s">
        <v>15</v>
      </c>
      <c r="F322" s="1">
        <v>7</v>
      </c>
      <c r="G322" s="1">
        <v>55142</v>
      </c>
      <c r="H322" s="1">
        <v>9</v>
      </c>
      <c r="I322" s="1">
        <v>35</v>
      </c>
      <c r="J322" s="1">
        <v>2</v>
      </c>
      <c r="K322" s="1">
        <v>97</v>
      </c>
      <c r="L322" s="1" t="s">
        <v>23</v>
      </c>
    </row>
    <row r="323" spans="1:12" x14ac:dyDescent="0.25">
      <c r="A323" s="1" t="s">
        <v>365</v>
      </c>
      <c r="B323" s="1" t="s">
        <v>45</v>
      </c>
      <c r="C323" s="1" t="s">
        <v>22</v>
      </c>
      <c r="D323" s="1">
        <v>22</v>
      </c>
      <c r="E323" s="1" t="s">
        <v>15</v>
      </c>
      <c r="F323" s="1">
        <v>5</v>
      </c>
      <c r="G323" s="1">
        <v>28942</v>
      </c>
      <c r="H323" s="1">
        <v>15</v>
      </c>
      <c r="I323" s="1">
        <v>49</v>
      </c>
      <c r="J323" s="1">
        <v>5</v>
      </c>
      <c r="K323" s="1">
        <v>100</v>
      </c>
      <c r="L323" s="1" t="s">
        <v>26</v>
      </c>
    </row>
    <row r="324" spans="1:12" x14ac:dyDescent="0.25">
      <c r="A324" s="1" t="s">
        <v>366</v>
      </c>
      <c r="B324" s="1" t="s">
        <v>34</v>
      </c>
      <c r="C324" s="1" t="s">
        <v>22</v>
      </c>
      <c r="D324" s="1">
        <v>35</v>
      </c>
      <c r="E324" s="1" t="s">
        <v>15</v>
      </c>
      <c r="F324" s="1">
        <v>1</v>
      </c>
      <c r="G324" s="1">
        <v>60357</v>
      </c>
      <c r="H324" s="1">
        <v>14</v>
      </c>
      <c r="I324" s="1">
        <v>39</v>
      </c>
      <c r="J324" s="1">
        <v>5</v>
      </c>
      <c r="K324" s="1">
        <v>100</v>
      </c>
      <c r="L324" s="1" t="s">
        <v>37</v>
      </c>
    </row>
    <row r="325" spans="1:12" x14ac:dyDescent="0.25">
      <c r="A325" s="1" t="s">
        <v>367</v>
      </c>
      <c r="B325" s="1" t="s">
        <v>13</v>
      </c>
      <c r="C325" s="1" t="s">
        <v>29</v>
      </c>
      <c r="D325" s="1">
        <v>37</v>
      </c>
      <c r="E325" s="1" t="s">
        <v>15</v>
      </c>
      <c r="F325" s="1">
        <v>10</v>
      </c>
      <c r="G325" s="1">
        <v>54611</v>
      </c>
      <c r="H325" s="1">
        <v>7</v>
      </c>
      <c r="I325" s="1">
        <v>39</v>
      </c>
      <c r="J325" s="1">
        <v>5</v>
      </c>
      <c r="K325" s="1">
        <v>95</v>
      </c>
      <c r="L325" s="1" t="s">
        <v>26</v>
      </c>
    </row>
    <row r="326" spans="1:12" x14ac:dyDescent="0.25">
      <c r="A326" s="1" t="s">
        <v>368</v>
      </c>
      <c r="B326" s="1" t="s">
        <v>77</v>
      </c>
      <c r="C326" s="1" t="s">
        <v>14</v>
      </c>
      <c r="D326" s="1">
        <v>27</v>
      </c>
      <c r="E326" s="1" t="s">
        <v>19</v>
      </c>
      <c r="F326" s="1">
        <v>11</v>
      </c>
      <c r="G326" s="1">
        <v>57960</v>
      </c>
      <c r="H326" s="1">
        <v>13</v>
      </c>
      <c r="I326" s="1">
        <v>39</v>
      </c>
      <c r="J326" s="1">
        <v>1</v>
      </c>
      <c r="K326" s="1">
        <v>95</v>
      </c>
      <c r="L326" s="1" t="s">
        <v>26</v>
      </c>
    </row>
    <row r="327" spans="1:12" x14ac:dyDescent="0.25">
      <c r="A327" s="1" t="s">
        <v>369</v>
      </c>
      <c r="B327" s="1" t="s">
        <v>28</v>
      </c>
      <c r="C327" s="1" t="s">
        <v>14</v>
      </c>
      <c r="D327" s="1">
        <v>32</v>
      </c>
      <c r="E327" s="1" t="s">
        <v>19</v>
      </c>
      <c r="F327" s="1">
        <v>4</v>
      </c>
      <c r="G327" s="1">
        <v>65350</v>
      </c>
      <c r="H327" s="1">
        <v>11</v>
      </c>
      <c r="I327" s="1">
        <v>40</v>
      </c>
      <c r="J327" s="1">
        <v>5</v>
      </c>
      <c r="K327" s="1">
        <v>96</v>
      </c>
      <c r="L327" s="1" t="s">
        <v>23</v>
      </c>
    </row>
    <row r="328" spans="1:12" x14ac:dyDescent="0.25">
      <c r="A328" s="1" t="s">
        <v>370</v>
      </c>
      <c r="B328" s="1" t="s">
        <v>65</v>
      </c>
      <c r="C328" s="1" t="s">
        <v>22</v>
      </c>
      <c r="D328" s="1">
        <v>40</v>
      </c>
      <c r="E328" s="1" t="s">
        <v>15</v>
      </c>
      <c r="F328" s="1">
        <v>12</v>
      </c>
      <c r="G328" s="1">
        <v>30640</v>
      </c>
      <c r="H328" s="1">
        <v>5</v>
      </c>
      <c r="I328" s="1">
        <v>44</v>
      </c>
      <c r="J328" s="1">
        <v>4</v>
      </c>
      <c r="K328" s="1">
        <v>92</v>
      </c>
      <c r="L328" s="1" t="s">
        <v>37</v>
      </c>
    </row>
    <row r="329" spans="1:12" x14ac:dyDescent="0.25">
      <c r="A329" s="1" t="s">
        <v>371</v>
      </c>
      <c r="B329" s="1" t="s">
        <v>45</v>
      </c>
      <c r="C329" s="1" t="s">
        <v>25</v>
      </c>
      <c r="D329" s="1">
        <v>25</v>
      </c>
      <c r="E329" s="1" t="s">
        <v>15</v>
      </c>
      <c r="F329" s="1">
        <v>10</v>
      </c>
      <c r="G329" s="1">
        <v>53098</v>
      </c>
      <c r="H329" s="1">
        <v>15</v>
      </c>
      <c r="I329" s="1">
        <v>45</v>
      </c>
      <c r="J329" s="1">
        <v>4</v>
      </c>
      <c r="K329" s="1">
        <v>85</v>
      </c>
      <c r="L329" s="1" t="s">
        <v>51</v>
      </c>
    </row>
    <row r="330" spans="1:12" x14ac:dyDescent="0.25">
      <c r="A330" s="1" t="s">
        <v>372</v>
      </c>
      <c r="B330" s="1" t="s">
        <v>45</v>
      </c>
      <c r="C330" s="1" t="s">
        <v>29</v>
      </c>
      <c r="D330" s="1">
        <v>29</v>
      </c>
      <c r="E330" s="1" t="s">
        <v>19</v>
      </c>
      <c r="F330" s="1">
        <v>10</v>
      </c>
      <c r="G330" s="1">
        <v>77522</v>
      </c>
      <c r="H330" s="1">
        <v>4</v>
      </c>
      <c r="I330" s="1">
        <v>48</v>
      </c>
      <c r="J330" s="1">
        <v>5</v>
      </c>
      <c r="K330" s="1">
        <v>99</v>
      </c>
      <c r="L330" s="1" t="s">
        <v>26</v>
      </c>
    </row>
    <row r="331" spans="1:12" x14ac:dyDescent="0.25">
      <c r="A331" s="1" t="s">
        <v>373</v>
      </c>
      <c r="B331" s="1" t="s">
        <v>83</v>
      </c>
      <c r="C331" s="1" t="s">
        <v>14</v>
      </c>
      <c r="D331" s="1">
        <v>24</v>
      </c>
      <c r="E331" s="1" t="s">
        <v>15</v>
      </c>
      <c r="F331" s="1">
        <v>10</v>
      </c>
      <c r="G331" s="1">
        <v>51438</v>
      </c>
      <c r="H331" s="1">
        <v>13</v>
      </c>
      <c r="I331" s="1">
        <v>38</v>
      </c>
      <c r="J331" s="1">
        <v>5</v>
      </c>
      <c r="K331" s="1">
        <v>89</v>
      </c>
      <c r="L331" s="1" t="s">
        <v>32</v>
      </c>
    </row>
    <row r="332" spans="1:12" x14ac:dyDescent="0.25">
      <c r="A332" s="1" t="s">
        <v>374</v>
      </c>
      <c r="B332" s="1" t="s">
        <v>21</v>
      </c>
      <c r="C332" s="1" t="s">
        <v>22</v>
      </c>
      <c r="D332" s="1">
        <v>30</v>
      </c>
      <c r="E332" s="1" t="s">
        <v>19</v>
      </c>
      <c r="F332" s="1">
        <v>1</v>
      </c>
      <c r="G332" s="1">
        <v>63521</v>
      </c>
      <c r="H332" s="1">
        <v>15</v>
      </c>
      <c r="I332" s="1">
        <v>39</v>
      </c>
      <c r="J332" s="1">
        <v>4</v>
      </c>
      <c r="K332" s="1">
        <v>91</v>
      </c>
      <c r="L332" s="1" t="s">
        <v>23</v>
      </c>
    </row>
    <row r="333" spans="1:12" x14ac:dyDescent="0.25">
      <c r="A333" s="1" t="s">
        <v>375</v>
      </c>
      <c r="B333" s="1" t="s">
        <v>89</v>
      </c>
      <c r="C333" s="1" t="s">
        <v>14</v>
      </c>
      <c r="D333" s="1">
        <v>36</v>
      </c>
      <c r="E333" s="1" t="s">
        <v>19</v>
      </c>
      <c r="F333" s="1">
        <v>4</v>
      </c>
      <c r="G333" s="1">
        <v>78873</v>
      </c>
      <c r="H333" s="1">
        <v>13</v>
      </c>
      <c r="I333" s="1">
        <v>35</v>
      </c>
      <c r="J333" s="1">
        <v>4</v>
      </c>
      <c r="K333" s="1">
        <v>99</v>
      </c>
      <c r="L333" s="1" t="s">
        <v>37</v>
      </c>
    </row>
    <row r="334" spans="1:12" x14ac:dyDescent="0.25">
      <c r="A334" s="1" t="s">
        <v>376</v>
      </c>
      <c r="B334" s="1" t="s">
        <v>34</v>
      </c>
      <c r="C334" s="1" t="s">
        <v>29</v>
      </c>
      <c r="D334" s="1">
        <v>30</v>
      </c>
      <c r="E334" s="1" t="s">
        <v>15</v>
      </c>
      <c r="F334" s="1">
        <v>1</v>
      </c>
      <c r="G334" s="1">
        <v>66651</v>
      </c>
      <c r="H334" s="1">
        <v>14</v>
      </c>
      <c r="I334" s="1">
        <v>35</v>
      </c>
      <c r="J334" s="1">
        <v>2</v>
      </c>
      <c r="K334" s="1">
        <v>89</v>
      </c>
      <c r="L334" s="1" t="s">
        <v>37</v>
      </c>
    </row>
    <row r="335" spans="1:12" x14ac:dyDescent="0.25">
      <c r="A335" s="1" t="s">
        <v>377</v>
      </c>
      <c r="B335" s="1" t="s">
        <v>65</v>
      </c>
      <c r="C335" s="1" t="s">
        <v>14</v>
      </c>
      <c r="D335" s="1">
        <v>22</v>
      </c>
      <c r="E335" s="1" t="s">
        <v>19</v>
      </c>
      <c r="F335" s="1">
        <v>1</v>
      </c>
      <c r="G335" s="1">
        <v>33510</v>
      </c>
      <c r="H335" s="1">
        <v>12</v>
      </c>
      <c r="I335" s="1">
        <v>43</v>
      </c>
      <c r="J335" s="1">
        <v>2</v>
      </c>
      <c r="K335" s="1">
        <v>88</v>
      </c>
      <c r="L335" s="1" t="s">
        <v>51</v>
      </c>
    </row>
    <row r="336" spans="1:12" x14ac:dyDescent="0.25">
      <c r="A336" s="1" t="s">
        <v>378</v>
      </c>
      <c r="B336" s="1" t="s">
        <v>34</v>
      </c>
      <c r="C336" s="1" t="s">
        <v>29</v>
      </c>
      <c r="D336" s="1">
        <v>23</v>
      </c>
      <c r="E336" s="1" t="s">
        <v>15</v>
      </c>
      <c r="F336" s="1">
        <v>8</v>
      </c>
      <c r="G336" s="1">
        <v>32651</v>
      </c>
      <c r="H336" s="1">
        <v>3</v>
      </c>
      <c r="I336" s="1">
        <v>37</v>
      </c>
      <c r="J336" s="1">
        <v>2</v>
      </c>
      <c r="K336" s="1">
        <v>100</v>
      </c>
      <c r="L336" s="1" t="s">
        <v>23</v>
      </c>
    </row>
    <row r="337" spans="1:12" x14ac:dyDescent="0.25">
      <c r="A337" s="1" t="s">
        <v>379</v>
      </c>
      <c r="B337" s="1" t="s">
        <v>81</v>
      </c>
      <c r="C337" s="1" t="s">
        <v>14</v>
      </c>
      <c r="D337" s="1">
        <v>26</v>
      </c>
      <c r="E337" s="1" t="s">
        <v>19</v>
      </c>
      <c r="F337" s="1">
        <v>1</v>
      </c>
      <c r="G337" s="1">
        <v>34503</v>
      </c>
      <c r="H337" s="1">
        <v>3</v>
      </c>
      <c r="I337" s="1">
        <v>48</v>
      </c>
      <c r="J337" s="1">
        <v>2</v>
      </c>
      <c r="K337" s="1">
        <v>94</v>
      </c>
      <c r="L337" s="1" t="s">
        <v>37</v>
      </c>
    </row>
    <row r="338" spans="1:12" x14ac:dyDescent="0.25">
      <c r="A338" s="1" t="s">
        <v>380</v>
      </c>
      <c r="B338" s="1" t="s">
        <v>70</v>
      </c>
      <c r="C338" s="1" t="s">
        <v>29</v>
      </c>
      <c r="D338" s="1">
        <v>32</v>
      </c>
      <c r="E338" s="1" t="s">
        <v>15</v>
      </c>
      <c r="F338" s="1">
        <v>5</v>
      </c>
      <c r="G338" s="1">
        <v>33493</v>
      </c>
      <c r="H338" s="1">
        <v>9</v>
      </c>
      <c r="I338" s="1">
        <v>40</v>
      </c>
      <c r="J338" s="1">
        <v>3</v>
      </c>
      <c r="K338" s="1">
        <v>88</v>
      </c>
      <c r="L338" s="1" t="s">
        <v>16</v>
      </c>
    </row>
    <row r="339" spans="1:12" x14ac:dyDescent="0.25">
      <c r="A339" s="1" t="s">
        <v>381</v>
      </c>
      <c r="B339" s="1" t="s">
        <v>18</v>
      </c>
      <c r="C339" s="1" t="s">
        <v>29</v>
      </c>
      <c r="D339" s="1">
        <v>29</v>
      </c>
      <c r="E339" s="1" t="s">
        <v>19</v>
      </c>
      <c r="F339" s="1">
        <v>10</v>
      </c>
      <c r="G339" s="1">
        <v>64660</v>
      </c>
      <c r="H339" s="1">
        <v>12</v>
      </c>
      <c r="I339" s="1">
        <v>48</v>
      </c>
      <c r="J339" s="1">
        <v>5</v>
      </c>
      <c r="K339" s="1">
        <v>95</v>
      </c>
      <c r="L339" s="1" t="s">
        <v>32</v>
      </c>
    </row>
    <row r="340" spans="1:12" x14ac:dyDescent="0.25">
      <c r="A340" s="1" t="s">
        <v>382</v>
      </c>
      <c r="B340" s="1" t="s">
        <v>77</v>
      </c>
      <c r="C340" s="1" t="s">
        <v>22</v>
      </c>
      <c r="D340" s="1">
        <v>29</v>
      </c>
      <c r="E340" s="1" t="s">
        <v>15</v>
      </c>
      <c r="F340" s="1">
        <v>8</v>
      </c>
      <c r="G340" s="1">
        <v>72387</v>
      </c>
      <c r="H340" s="1">
        <v>5</v>
      </c>
      <c r="I340" s="1">
        <v>41</v>
      </c>
      <c r="J340" s="1">
        <v>3</v>
      </c>
      <c r="K340" s="1">
        <v>92</v>
      </c>
      <c r="L340" s="1" t="s">
        <v>23</v>
      </c>
    </row>
    <row r="341" spans="1:12" x14ac:dyDescent="0.25">
      <c r="A341" s="1" t="s">
        <v>383</v>
      </c>
      <c r="B341" s="1" t="s">
        <v>65</v>
      </c>
      <c r="C341" s="1" t="s">
        <v>22</v>
      </c>
      <c r="D341" s="1">
        <v>22</v>
      </c>
      <c r="E341" s="1" t="s">
        <v>19</v>
      </c>
      <c r="F341" s="1">
        <v>1</v>
      </c>
      <c r="G341" s="1">
        <v>70765</v>
      </c>
      <c r="H341" s="1">
        <v>11</v>
      </c>
      <c r="I341" s="1">
        <v>39</v>
      </c>
      <c r="J341" s="1">
        <v>5</v>
      </c>
      <c r="K341" s="1">
        <v>92</v>
      </c>
      <c r="L341" s="1" t="s">
        <v>51</v>
      </c>
    </row>
    <row r="342" spans="1:12" x14ac:dyDescent="0.25">
      <c r="A342" s="1" t="s">
        <v>384</v>
      </c>
      <c r="B342" s="1" t="s">
        <v>34</v>
      </c>
      <c r="C342" s="1" t="s">
        <v>29</v>
      </c>
      <c r="D342" s="1">
        <v>34</v>
      </c>
      <c r="E342" s="1" t="s">
        <v>19</v>
      </c>
      <c r="F342" s="1">
        <v>8</v>
      </c>
      <c r="G342" s="1">
        <v>62224</v>
      </c>
      <c r="H342" s="1">
        <v>6</v>
      </c>
      <c r="I342" s="1">
        <v>44</v>
      </c>
      <c r="J342" s="1">
        <v>1</v>
      </c>
      <c r="K342" s="1">
        <v>87</v>
      </c>
      <c r="L342" s="1" t="s">
        <v>32</v>
      </c>
    </row>
    <row r="343" spans="1:12" x14ac:dyDescent="0.25">
      <c r="A343" s="1" t="s">
        <v>385</v>
      </c>
      <c r="B343" s="1" t="s">
        <v>83</v>
      </c>
      <c r="C343" s="1" t="s">
        <v>14</v>
      </c>
      <c r="D343" s="1">
        <v>32</v>
      </c>
      <c r="E343" s="1" t="s">
        <v>15</v>
      </c>
      <c r="F343" s="1">
        <v>13</v>
      </c>
      <c r="G343" s="1">
        <v>58740</v>
      </c>
      <c r="H343" s="1">
        <v>7</v>
      </c>
      <c r="I343" s="1">
        <v>44</v>
      </c>
      <c r="J343" s="1">
        <v>2</v>
      </c>
      <c r="K343" s="1">
        <v>95</v>
      </c>
      <c r="L343" s="1" t="s">
        <v>51</v>
      </c>
    </row>
    <row r="344" spans="1:12" x14ac:dyDescent="0.25">
      <c r="A344" s="1" t="s">
        <v>386</v>
      </c>
      <c r="B344" s="1" t="s">
        <v>89</v>
      </c>
      <c r="C344" s="1" t="s">
        <v>29</v>
      </c>
      <c r="D344" s="1">
        <v>22</v>
      </c>
      <c r="E344" s="1" t="s">
        <v>15</v>
      </c>
      <c r="F344" s="1">
        <v>13</v>
      </c>
      <c r="G344" s="1">
        <v>40391</v>
      </c>
      <c r="H344" s="1">
        <v>4</v>
      </c>
      <c r="I344" s="1">
        <v>43</v>
      </c>
      <c r="J344" s="1">
        <v>2</v>
      </c>
      <c r="K344" s="1">
        <v>100</v>
      </c>
      <c r="L344" s="1" t="s">
        <v>23</v>
      </c>
    </row>
    <row r="345" spans="1:12" x14ac:dyDescent="0.25">
      <c r="A345" s="1" t="s">
        <v>387</v>
      </c>
      <c r="B345" s="1" t="s">
        <v>81</v>
      </c>
      <c r="C345" s="1" t="s">
        <v>22</v>
      </c>
      <c r="D345" s="1">
        <v>39</v>
      </c>
      <c r="E345" s="1" t="s">
        <v>19</v>
      </c>
      <c r="F345" s="1">
        <v>11</v>
      </c>
      <c r="G345" s="1">
        <v>30914</v>
      </c>
      <c r="H345" s="1">
        <v>15</v>
      </c>
      <c r="I345" s="1">
        <v>44</v>
      </c>
      <c r="J345" s="1">
        <v>4</v>
      </c>
      <c r="K345" s="1">
        <v>96</v>
      </c>
      <c r="L345" s="1" t="s">
        <v>16</v>
      </c>
    </row>
    <row r="346" spans="1:12" x14ac:dyDescent="0.25">
      <c r="A346" s="1" t="s">
        <v>388</v>
      </c>
      <c r="B346" s="1" t="s">
        <v>81</v>
      </c>
      <c r="C346" s="1" t="s">
        <v>25</v>
      </c>
      <c r="D346" s="1">
        <v>27</v>
      </c>
      <c r="E346" s="1" t="s">
        <v>19</v>
      </c>
      <c r="F346" s="1">
        <v>9</v>
      </c>
      <c r="G346" s="1">
        <v>45524</v>
      </c>
      <c r="H346" s="1">
        <v>9</v>
      </c>
      <c r="I346" s="1">
        <v>36</v>
      </c>
      <c r="J346" s="1">
        <v>2</v>
      </c>
      <c r="K346" s="1">
        <v>89</v>
      </c>
      <c r="L346" s="1" t="s">
        <v>32</v>
      </c>
    </row>
    <row r="347" spans="1:12" x14ac:dyDescent="0.25">
      <c r="A347" s="1" t="s">
        <v>389</v>
      </c>
      <c r="B347" s="1" t="s">
        <v>45</v>
      </c>
      <c r="C347" s="1" t="s">
        <v>29</v>
      </c>
      <c r="D347" s="1">
        <v>23</v>
      </c>
      <c r="E347" s="1" t="s">
        <v>19</v>
      </c>
      <c r="F347" s="1">
        <v>14</v>
      </c>
      <c r="G347" s="1">
        <v>61777</v>
      </c>
      <c r="H347" s="1">
        <v>13</v>
      </c>
      <c r="I347" s="1">
        <v>44</v>
      </c>
      <c r="J347" s="1">
        <v>4</v>
      </c>
      <c r="K347" s="1">
        <v>86</v>
      </c>
      <c r="L347" s="1" t="s">
        <v>26</v>
      </c>
    </row>
    <row r="348" spans="1:12" x14ac:dyDescent="0.25">
      <c r="A348" s="1" t="s">
        <v>390</v>
      </c>
      <c r="B348" s="1" t="s">
        <v>53</v>
      </c>
      <c r="C348" s="1" t="s">
        <v>14</v>
      </c>
      <c r="D348" s="1">
        <v>28</v>
      </c>
      <c r="E348" s="1" t="s">
        <v>15</v>
      </c>
      <c r="F348" s="1">
        <v>6</v>
      </c>
      <c r="G348" s="1">
        <v>40744</v>
      </c>
      <c r="H348" s="1">
        <v>8</v>
      </c>
      <c r="I348" s="1">
        <v>43</v>
      </c>
      <c r="J348" s="1">
        <v>4</v>
      </c>
      <c r="K348" s="1">
        <v>87</v>
      </c>
      <c r="L348" s="1" t="s">
        <v>51</v>
      </c>
    </row>
    <row r="349" spans="1:12" x14ac:dyDescent="0.25">
      <c r="A349" s="1" t="s">
        <v>391</v>
      </c>
      <c r="B349" s="1" t="s">
        <v>83</v>
      </c>
      <c r="C349" s="1" t="s">
        <v>22</v>
      </c>
      <c r="D349" s="1">
        <v>27</v>
      </c>
      <c r="E349" s="1" t="s">
        <v>15</v>
      </c>
      <c r="F349" s="1">
        <v>8</v>
      </c>
      <c r="G349" s="1">
        <v>43018</v>
      </c>
      <c r="H349" s="1">
        <v>6</v>
      </c>
      <c r="I349" s="1">
        <v>45</v>
      </c>
      <c r="J349" s="1">
        <v>3</v>
      </c>
      <c r="K349" s="1">
        <v>95</v>
      </c>
      <c r="L349" s="1" t="s">
        <v>26</v>
      </c>
    </row>
    <row r="350" spans="1:12" x14ac:dyDescent="0.25">
      <c r="A350" s="1" t="s">
        <v>392</v>
      </c>
      <c r="B350" s="1" t="s">
        <v>21</v>
      </c>
      <c r="C350" s="1" t="s">
        <v>22</v>
      </c>
      <c r="D350" s="1">
        <v>34</v>
      </c>
      <c r="E350" s="1" t="s">
        <v>19</v>
      </c>
      <c r="F350" s="1">
        <v>3</v>
      </c>
      <c r="G350" s="1">
        <v>48030</v>
      </c>
      <c r="H350" s="1">
        <v>13</v>
      </c>
      <c r="I350" s="1">
        <v>44</v>
      </c>
      <c r="J350" s="1">
        <v>2</v>
      </c>
      <c r="K350" s="1">
        <v>89</v>
      </c>
      <c r="L350" s="1" t="s">
        <v>32</v>
      </c>
    </row>
    <row r="351" spans="1:12" x14ac:dyDescent="0.25">
      <c r="A351" s="1" t="s">
        <v>393</v>
      </c>
      <c r="B351" s="1" t="s">
        <v>21</v>
      </c>
      <c r="C351" s="1" t="s">
        <v>14</v>
      </c>
      <c r="D351" s="1">
        <v>34</v>
      </c>
      <c r="E351" s="1" t="s">
        <v>15</v>
      </c>
      <c r="F351" s="1">
        <v>11</v>
      </c>
      <c r="G351" s="1">
        <v>67715</v>
      </c>
      <c r="H351" s="1">
        <v>13</v>
      </c>
      <c r="I351" s="1">
        <v>48</v>
      </c>
      <c r="J351" s="1">
        <v>5</v>
      </c>
      <c r="K351" s="1">
        <v>88</v>
      </c>
      <c r="L351" s="1" t="s">
        <v>32</v>
      </c>
    </row>
    <row r="352" spans="1:12" x14ac:dyDescent="0.25">
      <c r="A352" s="1" t="s">
        <v>394</v>
      </c>
      <c r="B352" s="1" t="s">
        <v>89</v>
      </c>
      <c r="C352" s="1" t="s">
        <v>25</v>
      </c>
      <c r="D352" s="1">
        <v>40</v>
      </c>
      <c r="E352" s="1" t="s">
        <v>15</v>
      </c>
      <c r="F352" s="1">
        <v>10</v>
      </c>
      <c r="G352" s="1">
        <v>57993</v>
      </c>
      <c r="H352" s="1">
        <v>13</v>
      </c>
      <c r="I352" s="1">
        <v>50</v>
      </c>
      <c r="J352" s="1">
        <v>4</v>
      </c>
      <c r="K352" s="1">
        <v>96</v>
      </c>
      <c r="L352" s="1" t="s">
        <v>37</v>
      </c>
    </row>
    <row r="353" spans="1:12" x14ac:dyDescent="0.25">
      <c r="A353" s="1" t="s">
        <v>395</v>
      </c>
      <c r="B353" s="1" t="s">
        <v>81</v>
      </c>
      <c r="C353" s="1" t="s">
        <v>14</v>
      </c>
      <c r="D353" s="1">
        <v>30</v>
      </c>
      <c r="E353" s="1" t="s">
        <v>19</v>
      </c>
      <c r="F353" s="1">
        <v>9</v>
      </c>
      <c r="G353" s="1">
        <v>40382</v>
      </c>
      <c r="H353" s="1">
        <v>9</v>
      </c>
      <c r="I353" s="1">
        <v>40</v>
      </c>
      <c r="J353" s="1">
        <v>5</v>
      </c>
      <c r="K353" s="1">
        <v>86</v>
      </c>
      <c r="L353" s="1" t="s">
        <v>23</v>
      </c>
    </row>
    <row r="354" spans="1:12" x14ac:dyDescent="0.25">
      <c r="A354" s="1" t="s">
        <v>396</v>
      </c>
      <c r="B354" s="1" t="s">
        <v>13</v>
      </c>
      <c r="C354" s="1" t="s">
        <v>25</v>
      </c>
      <c r="D354" s="1">
        <v>28</v>
      </c>
      <c r="E354" s="1" t="s">
        <v>19</v>
      </c>
      <c r="F354" s="1">
        <v>5</v>
      </c>
      <c r="G354" s="1">
        <v>38114</v>
      </c>
      <c r="H354" s="1">
        <v>4</v>
      </c>
      <c r="I354" s="1">
        <v>39</v>
      </c>
      <c r="J354" s="1">
        <v>1</v>
      </c>
      <c r="K354" s="1">
        <v>92</v>
      </c>
      <c r="L354" s="1" t="s">
        <v>16</v>
      </c>
    </row>
    <row r="355" spans="1:12" x14ac:dyDescent="0.25">
      <c r="A355" s="1" t="s">
        <v>397</v>
      </c>
      <c r="B355" s="1" t="s">
        <v>63</v>
      </c>
      <c r="C355" s="1" t="s">
        <v>22</v>
      </c>
      <c r="D355" s="1">
        <v>37</v>
      </c>
      <c r="E355" s="1" t="s">
        <v>15</v>
      </c>
      <c r="F355" s="1">
        <v>3</v>
      </c>
      <c r="G355" s="1">
        <v>51542</v>
      </c>
      <c r="H355" s="1">
        <v>8</v>
      </c>
      <c r="I355" s="1">
        <v>36</v>
      </c>
      <c r="J355" s="1">
        <v>3</v>
      </c>
      <c r="K355" s="1">
        <v>90</v>
      </c>
      <c r="L355" s="1" t="s">
        <v>16</v>
      </c>
    </row>
    <row r="356" spans="1:12" x14ac:dyDescent="0.25">
      <c r="A356" s="1" t="s">
        <v>398</v>
      </c>
      <c r="B356" s="1" t="s">
        <v>43</v>
      </c>
      <c r="C356" s="1" t="s">
        <v>29</v>
      </c>
      <c r="D356" s="1">
        <v>37</v>
      </c>
      <c r="E356" s="1" t="s">
        <v>15</v>
      </c>
      <c r="F356" s="1">
        <v>11</v>
      </c>
      <c r="G356" s="1">
        <v>34744</v>
      </c>
      <c r="H356" s="1">
        <v>7</v>
      </c>
      <c r="I356" s="1">
        <v>45</v>
      </c>
      <c r="J356" s="1">
        <v>4</v>
      </c>
      <c r="K356" s="1">
        <v>89</v>
      </c>
      <c r="L356" s="1" t="s">
        <v>32</v>
      </c>
    </row>
    <row r="357" spans="1:12" x14ac:dyDescent="0.25">
      <c r="A357" s="1" t="s">
        <v>399</v>
      </c>
      <c r="B357" s="1" t="s">
        <v>53</v>
      </c>
      <c r="C357" s="1" t="s">
        <v>25</v>
      </c>
      <c r="D357" s="1">
        <v>28</v>
      </c>
      <c r="E357" s="1" t="s">
        <v>19</v>
      </c>
      <c r="F357" s="1">
        <v>7</v>
      </c>
      <c r="G357" s="1">
        <v>66771</v>
      </c>
      <c r="H357" s="1">
        <v>5</v>
      </c>
      <c r="I357" s="1">
        <v>35</v>
      </c>
      <c r="J357" s="1">
        <v>2</v>
      </c>
      <c r="K357" s="1">
        <v>93</v>
      </c>
      <c r="L357" s="1" t="s">
        <v>51</v>
      </c>
    </row>
    <row r="358" spans="1:12" x14ac:dyDescent="0.25">
      <c r="A358" s="1" t="s">
        <v>400</v>
      </c>
      <c r="B358" s="1" t="s">
        <v>40</v>
      </c>
      <c r="C358" s="1" t="s">
        <v>29</v>
      </c>
      <c r="D358" s="1">
        <v>39</v>
      </c>
      <c r="E358" s="1" t="s">
        <v>15</v>
      </c>
      <c r="F358" s="1">
        <v>1</v>
      </c>
      <c r="G358" s="1">
        <v>34985</v>
      </c>
      <c r="H358" s="1">
        <v>7</v>
      </c>
      <c r="I358" s="1">
        <v>42</v>
      </c>
      <c r="J358" s="1">
        <v>1</v>
      </c>
      <c r="K358" s="1">
        <v>94</v>
      </c>
      <c r="L358" s="1" t="s">
        <v>51</v>
      </c>
    </row>
    <row r="359" spans="1:12" x14ac:dyDescent="0.25">
      <c r="A359" s="1" t="s">
        <v>401</v>
      </c>
      <c r="B359" s="1" t="s">
        <v>34</v>
      </c>
      <c r="C359" s="1" t="s">
        <v>22</v>
      </c>
      <c r="D359" s="1">
        <v>33</v>
      </c>
      <c r="E359" s="1" t="s">
        <v>15</v>
      </c>
      <c r="F359" s="1">
        <v>10</v>
      </c>
      <c r="G359" s="1">
        <v>55647</v>
      </c>
      <c r="H359" s="1">
        <v>15</v>
      </c>
      <c r="I359" s="1">
        <v>45</v>
      </c>
      <c r="J359" s="1">
        <v>2</v>
      </c>
      <c r="K359" s="1">
        <v>100</v>
      </c>
      <c r="L359" s="1" t="s">
        <v>26</v>
      </c>
    </row>
    <row r="360" spans="1:12" x14ac:dyDescent="0.25">
      <c r="A360" s="1" t="s">
        <v>402</v>
      </c>
      <c r="B360" s="1" t="s">
        <v>31</v>
      </c>
      <c r="C360" s="1" t="s">
        <v>29</v>
      </c>
      <c r="D360" s="1">
        <v>30</v>
      </c>
      <c r="E360" s="1" t="s">
        <v>19</v>
      </c>
      <c r="F360" s="1">
        <v>3</v>
      </c>
      <c r="G360" s="1">
        <v>58120</v>
      </c>
      <c r="H360" s="1">
        <v>14</v>
      </c>
      <c r="I360" s="1">
        <v>49</v>
      </c>
      <c r="J360" s="1">
        <v>1</v>
      </c>
      <c r="K360" s="1">
        <v>92</v>
      </c>
      <c r="L360" s="1" t="s">
        <v>23</v>
      </c>
    </row>
    <row r="361" spans="1:12" x14ac:dyDescent="0.25">
      <c r="A361" s="1" t="s">
        <v>403</v>
      </c>
      <c r="B361" s="1" t="s">
        <v>75</v>
      </c>
      <c r="C361" s="1" t="s">
        <v>25</v>
      </c>
      <c r="D361" s="1">
        <v>22</v>
      </c>
      <c r="E361" s="1" t="s">
        <v>19</v>
      </c>
      <c r="F361" s="1">
        <v>3</v>
      </c>
      <c r="G361" s="1">
        <v>70112</v>
      </c>
      <c r="H361" s="1">
        <v>15</v>
      </c>
      <c r="I361" s="1">
        <v>42</v>
      </c>
      <c r="J361" s="1">
        <v>1</v>
      </c>
      <c r="K361" s="1">
        <v>98</v>
      </c>
      <c r="L361" s="1" t="s">
        <v>51</v>
      </c>
    </row>
    <row r="362" spans="1:12" x14ac:dyDescent="0.25">
      <c r="A362" s="1" t="s">
        <v>404</v>
      </c>
      <c r="B362" s="1" t="s">
        <v>75</v>
      </c>
      <c r="C362" s="1" t="s">
        <v>25</v>
      </c>
      <c r="D362" s="1">
        <v>39</v>
      </c>
      <c r="E362" s="1" t="s">
        <v>19</v>
      </c>
      <c r="F362" s="1">
        <v>15</v>
      </c>
      <c r="G362" s="1">
        <v>55974</v>
      </c>
      <c r="H362" s="1">
        <v>6</v>
      </c>
      <c r="I362" s="1">
        <v>41</v>
      </c>
      <c r="J362" s="1">
        <v>3</v>
      </c>
      <c r="K362" s="1">
        <v>89</v>
      </c>
      <c r="L362" s="1" t="s">
        <v>37</v>
      </c>
    </row>
    <row r="363" spans="1:12" x14ac:dyDescent="0.25">
      <c r="A363" s="1" t="s">
        <v>405</v>
      </c>
      <c r="B363" s="1" t="s">
        <v>34</v>
      </c>
      <c r="C363" s="1" t="s">
        <v>29</v>
      </c>
      <c r="D363" s="1">
        <v>37</v>
      </c>
      <c r="E363" s="1" t="s">
        <v>15</v>
      </c>
      <c r="F363" s="1">
        <v>2</v>
      </c>
      <c r="G363" s="1">
        <v>33005</v>
      </c>
      <c r="H363" s="1">
        <v>7</v>
      </c>
      <c r="I363" s="1">
        <v>50</v>
      </c>
      <c r="J363" s="1">
        <v>3</v>
      </c>
      <c r="K363" s="1">
        <v>100</v>
      </c>
      <c r="L363" s="1" t="s">
        <v>37</v>
      </c>
    </row>
    <row r="364" spans="1:12" x14ac:dyDescent="0.25">
      <c r="A364" s="1" t="s">
        <v>406</v>
      </c>
      <c r="B364" s="1" t="s">
        <v>34</v>
      </c>
      <c r="C364" s="1" t="s">
        <v>22</v>
      </c>
      <c r="D364" s="1">
        <v>26</v>
      </c>
      <c r="E364" s="1" t="s">
        <v>15</v>
      </c>
      <c r="F364" s="1">
        <v>6</v>
      </c>
      <c r="G364" s="1">
        <v>76256</v>
      </c>
      <c r="H364" s="1">
        <v>7</v>
      </c>
      <c r="I364" s="1">
        <v>35</v>
      </c>
      <c r="J364" s="1">
        <v>1</v>
      </c>
      <c r="K364" s="1">
        <v>96</v>
      </c>
      <c r="L364" s="1" t="s">
        <v>32</v>
      </c>
    </row>
    <row r="365" spans="1:12" x14ac:dyDescent="0.25">
      <c r="A365" s="1" t="s">
        <v>407</v>
      </c>
      <c r="B365" s="1" t="s">
        <v>65</v>
      </c>
      <c r="C365" s="1" t="s">
        <v>29</v>
      </c>
      <c r="D365" s="1">
        <v>38</v>
      </c>
      <c r="E365" s="1" t="s">
        <v>19</v>
      </c>
      <c r="F365" s="1">
        <v>8</v>
      </c>
      <c r="G365" s="1">
        <v>50527</v>
      </c>
      <c r="H365" s="1">
        <v>14</v>
      </c>
      <c r="I365" s="1">
        <v>43</v>
      </c>
      <c r="J365" s="1">
        <v>3</v>
      </c>
      <c r="K365" s="1">
        <v>94</v>
      </c>
      <c r="L365" s="1" t="s">
        <v>37</v>
      </c>
    </row>
    <row r="366" spans="1:12" x14ac:dyDescent="0.25">
      <c r="A366" s="1" t="s">
        <v>408</v>
      </c>
      <c r="B366" s="1" t="s">
        <v>94</v>
      </c>
      <c r="C366" s="1" t="s">
        <v>14</v>
      </c>
      <c r="D366" s="1">
        <v>27</v>
      </c>
      <c r="E366" s="1" t="s">
        <v>15</v>
      </c>
      <c r="F366" s="1">
        <v>2</v>
      </c>
      <c r="G366" s="1">
        <v>43594</v>
      </c>
      <c r="H366" s="1">
        <v>8</v>
      </c>
      <c r="I366" s="1">
        <v>44</v>
      </c>
      <c r="J366" s="1">
        <v>5</v>
      </c>
      <c r="K366" s="1">
        <v>97</v>
      </c>
      <c r="L366" s="1" t="s">
        <v>32</v>
      </c>
    </row>
    <row r="367" spans="1:12" x14ac:dyDescent="0.25">
      <c r="A367" s="1" t="s">
        <v>409</v>
      </c>
      <c r="B367" s="1" t="s">
        <v>77</v>
      </c>
      <c r="C367" s="1" t="s">
        <v>25</v>
      </c>
      <c r="D367" s="1">
        <v>28</v>
      </c>
      <c r="E367" s="1" t="s">
        <v>15</v>
      </c>
      <c r="F367" s="1">
        <v>10</v>
      </c>
      <c r="G367" s="1">
        <v>28948</v>
      </c>
      <c r="H367" s="1">
        <v>3</v>
      </c>
      <c r="I367" s="1">
        <v>37</v>
      </c>
      <c r="J367" s="1">
        <v>1</v>
      </c>
      <c r="K367" s="1">
        <v>97</v>
      </c>
      <c r="L367" s="1" t="s">
        <v>23</v>
      </c>
    </row>
    <row r="368" spans="1:12" x14ac:dyDescent="0.25">
      <c r="A368" s="1" t="s">
        <v>410</v>
      </c>
      <c r="B368" s="1" t="s">
        <v>31</v>
      </c>
      <c r="C368" s="1" t="s">
        <v>29</v>
      </c>
      <c r="D368" s="1">
        <v>24</v>
      </c>
      <c r="E368" s="1" t="s">
        <v>19</v>
      </c>
      <c r="F368" s="1">
        <v>6</v>
      </c>
      <c r="G368" s="1">
        <v>39049</v>
      </c>
      <c r="H368" s="1">
        <v>3</v>
      </c>
      <c r="I368" s="1">
        <v>43</v>
      </c>
      <c r="J368" s="1">
        <v>3</v>
      </c>
      <c r="K368" s="1">
        <v>91</v>
      </c>
      <c r="L368" s="1" t="s">
        <v>23</v>
      </c>
    </row>
    <row r="369" spans="1:12" x14ac:dyDescent="0.25">
      <c r="A369" s="1" t="s">
        <v>411</v>
      </c>
      <c r="B369" s="1" t="s">
        <v>36</v>
      </c>
      <c r="C369" s="1" t="s">
        <v>25</v>
      </c>
      <c r="D369" s="1">
        <v>30</v>
      </c>
      <c r="E369" s="1" t="s">
        <v>15</v>
      </c>
      <c r="F369" s="1">
        <v>12</v>
      </c>
      <c r="G369" s="1">
        <v>28049</v>
      </c>
      <c r="H369" s="1">
        <v>14</v>
      </c>
      <c r="I369" s="1">
        <v>43</v>
      </c>
      <c r="J369" s="1">
        <v>1</v>
      </c>
      <c r="K369" s="1">
        <v>92</v>
      </c>
      <c r="L369" s="1" t="s">
        <v>37</v>
      </c>
    </row>
    <row r="370" spans="1:12" x14ac:dyDescent="0.25">
      <c r="A370" s="1" t="s">
        <v>412</v>
      </c>
      <c r="B370" s="1" t="s">
        <v>45</v>
      </c>
      <c r="C370" s="1" t="s">
        <v>29</v>
      </c>
      <c r="D370" s="1">
        <v>30</v>
      </c>
      <c r="E370" s="1" t="s">
        <v>15</v>
      </c>
      <c r="F370" s="1">
        <v>2</v>
      </c>
      <c r="G370" s="1">
        <v>65525</v>
      </c>
      <c r="H370" s="1">
        <v>5</v>
      </c>
      <c r="I370" s="1">
        <v>46</v>
      </c>
      <c r="J370" s="1">
        <v>1</v>
      </c>
      <c r="K370" s="1">
        <v>92</v>
      </c>
      <c r="L370" s="1" t="s">
        <v>26</v>
      </c>
    </row>
    <row r="371" spans="1:12" x14ac:dyDescent="0.25">
      <c r="A371" s="1" t="s">
        <v>413</v>
      </c>
      <c r="B371" s="1" t="s">
        <v>53</v>
      </c>
      <c r="C371" s="1" t="s">
        <v>14</v>
      </c>
      <c r="D371" s="1">
        <v>38</v>
      </c>
      <c r="E371" s="1" t="s">
        <v>15</v>
      </c>
      <c r="F371" s="1">
        <v>4</v>
      </c>
      <c r="G371" s="1">
        <v>37773</v>
      </c>
      <c r="H371" s="1">
        <v>10</v>
      </c>
      <c r="I371" s="1">
        <v>43</v>
      </c>
      <c r="J371" s="1">
        <v>1</v>
      </c>
      <c r="K371" s="1">
        <v>92</v>
      </c>
      <c r="L371" s="1" t="s">
        <v>23</v>
      </c>
    </row>
    <row r="372" spans="1:12" x14ac:dyDescent="0.25">
      <c r="A372" s="1" t="s">
        <v>414</v>
      </c>
      <c r="B372" s="1" t="s">
        <v>43</v>
      </c>
      <c r="C372" s="1" t="s">
        <v>29</v>
      </c>
      <c r="D372" s="1">
        <v>38</v>
      </c>
      <c r="E372" s="1" t="s">
        <v>15</v>
      </c>
      <c r="F372" s="1">
        <v>14</v>
      </c>
      <c r="G372" s="1">
        <v>45664</v>
      </c>
      <c r="H372" s="1">
        <v>3</v>
      </c>
      <c r="I372" s="1">
        <v>40</v>
      </c>
      <c r="J372" s="1">
        <v>1</v>
      </c>
      <c r="K372" s="1">
        <v>95</v>
      </c>
      <c r="L372" s="1" t="s">
        <v>51</v>
      </c>
    </row>
    <row r="373" spans="1:12" x14ac:dyDescent="0.25">
      <c r="A373" s="1" t="s">
        <v>415</v>
      </c>
      <c r="B373" s="1" t="s">
        <v>18</v>
      </c>
      <c r="C373" s="1" t="s">
        <v>14</v>
      </c>
      <c r="D373" s="1">
        <v>23</v>
      </c>
      <c r="E373" s="1" t="s">
        <v>19</v>
      </c>
      <c r="F373" s="1">
        <v>13</v>
      </c>
      <c r="G373" s="1">
        <v>72046</v>
      </c>
      <c r="H373" s="1">
        <v>6</v>
      </c>
      <c r="I373" s="1">
        <v>36</v>
      </c>
      <c r="J373" s="1">
        <v>2</v>
      </c>
      <c r="K373" s="1">
        <v>97</v>
      </c>
      <c r="L373" s="1" t="s">
        <v>23</v>
      </c>
    </row>
    <row r="374" spans="1:12" x14ac:dyDescent="0.25">
      <c r="A374" s="1" t="s">
        <v>416</v>
      </c>
      <c r="B374" s="1" t="s">
        <v>21</v>
      </c>
      <c r="C374" s="1" t="s">
        <v>14</v>
      </c>
      <c r="D374" s="1">
        <v>22</v>
      </c>
      <c r="E374" s="1" t="s">
        <v>15</v>
      </c>
      <c r="F374" s="1">
        <v>8</v>
      </c>
      <c r="G374" s="1">
        <v>34615</v>
      </c>
      <c r="H374" s="1">
        <v>6</v>
      </c>
      <c r="I374" s="1">
        <v>50</v>
      </c>
      <c r="J374" s="1">
        <v>2</v>
      </c>
      <c r="K374" s="1">
        <v>91</v>
      </c>
      <c r="L374" s="1" t="s">
        <v>32</v>
      </c>
    </row>
    <row r="375" spans="1:12" x14ac:dyDescent="0.25">
      <c r="A375" s="1" t="s">
        <v>417</v>
      </c>
      <c r="B375" s="1" t="s">
        <v>53</v>
      </c>
      <c r="C375" s="1" t="s">
        <v>25</v>
      </c>
      <c r="D375" s="1">
        <v>30</v>
      </c>
      <c r="E375" s="1" t="s">
        <v>19</v>
      </c>
      <c r="F375" s="1">
        <v>15</v>
      </c>
      <c r="G375" s="1">
        <v>60197</v>
      </c>
      <c r="H375" s="1">
        <v>9</v>
      </c>
      <c r="I375" s="1">
        <v>42</v>
      </c>
      <c r="J375" s="1">
        <v>5</v>
      </c>
      <c r="K375" s="1">
        <v>96</v>
      </c>
      <c r="L375" s="1" t="s">
        <v>16</v>
      </c>
    </row>
    <row r="376" spans="1:12" x14ac:dyDescent="0.25">
      <c r="A376" s="1" t="s">
        <v>418</v>
      </c>
      <c r="B376" s="1" t="s">
        <v>70</v>
      </c>
      <c r="C376" s="1" t="s">
        <v>22</v>
      </c>
      <c r="D376" s="1">
        <v>33</v>
      </c>
      <c r="E376" s="1" t="s">
        <v>19</v>
      </c>
      <c r="F376" s="1">
        <v>12</v>
      </c>
      <c r="G376" s="1">
        <v>49385</v>
      </c>
      <c r="H376" s="1">
        <v>11</v>
      </c>
      <c r="I376" s="1">
        <v>40</v>
      </c>
      <c r="J376" s="1">
        <v>5</v>
      </c>
      <c r="K376" s="1">
        <v>91</v>
      </c>
      <c r="L376" s="1" t="s">
        <v>51</v>
      </c>
    </row>
    <row r="377" spans="1:12" x14ac:dyDescent="0.25">
      <c r="A377" s="1" t="s">
        <v>419</v>
      </c>
      <c r="B377" s="1" t="s">
        <v>13</v>
      </c>
      <c r="C377" s="1" t="s">
        <v>14</v>
      </c>
      <c r="D377" s="1">
        <v>24</v>
      </c>
      <c r="E377" s="1" t="s">
        <v>19</v>
      </c>
      <c r="F377" s="1">
        <v>10</v>
      </c>
      <c r="G377" s="1">
        <v>31355</v>
      </c>
      <c r="H377" s="1">
        <v>15</v>
      </c>
      <c r="I377" s="1">
        <v>50</v>
      </c>
      <c r="J377" s="1">
        <v>5</v>
      </c>
      <c r="K377" s="1">
        <v>87</v>
      </c>
      <c r="L377" s="1" t="s">
        <v>16</v>
      </c>
    </row>
    <row r="378" spans="1:12" x14ac:dyDescent="0.25">
      <c r="A378" s="1" t="s">
        <v>420</v>
      </c>
      <c r="B378" s="1" t="s">
        <v>13</v>
      </c>
      <c r="C378" s="1" t="s">
        <v>14</v>
      </c>
      <c r="D378" s="1">
        <v>36</v>
      </c>
      <c r="E378" s="1" t="s">
        <v>15</v>
      </c>
      <c r="F378" s="1">
        <v>5</v>
      </c>
      <c r="G378" s="1">
        <v>26410</v>
      </c>
      <c r="H378" s="1">
        <v>4</v>
      </c>
      <c r="I378" s="1">
        <v>41</v>
      </c>
      <c r="J378" s="1">
        <v>3</v>
      </c>
      <c r="K378" s="1">
        <v>92</v>
      </c>
      <c r="L378" s="1" t="s">
        <v>23</v>
      </c>
    </row>
    <row r="379" spans="1:12" x14ac:dyDescent="0.25">
      <c r="A379" s="1" t="s">
        <v>421</v>
      </c>
      <c r="B379" s="1" t="s">
        <v>75</v>
      </c>
      <c r="C379" s="1" t="s">
        <v>22</v>
      </c>
      <c r="D379" s="1">
        <v>40</v>
      </c>
      <c r="E379" s="1" t="s">
        <v>19</v>
      </c>
      <c r="F379" s="1">
        <v>6</v>
      </c>
      <c r="G379" s="1">
        <v>79076</v>
      </c>
      <c r="H379" s="1">
        <v>5</v>
      </c>
      <c r="I379" s="1">
        <v>46</v>
      </c>
      <c r="J379" s="1">
        <v>2</v>
      </c>
      <c r="K379" s="1">
        <v>100</v>
      </c>
      <c r="L379" s="1" t="s">
        <v>26</v>
      </c>
    </row>
    <row r="380" spans="1:12" x14ac:dyDescent="0.25">
      <c r="A380" s="1" t="s">
        <v>422</v>
      </c>
      <c r="B380" s="1" t="s">
        <v>13</v>
      </c>
      <c r="C380" s="1" t="s">
        <v>25</v>
      </c>
      <c r="D380" s="1">
        <v>37</v>
      </c>
      <c r="E380" s="1" t="s">
        <v>15</v>
      </c>
      <c r="F380" s="1">
        <v>2</v>
      </c>
      <c r="G380" s="1">
        <v>69879</v>
      </c>
      <c r="H380" s="1">
        <v>4</v>
      </c>
      <c r="I380" s="1">
        <v>36</v>
      </c>
      <c r="J380" s="1">
        <v>1</v>
      </c>
      <c r="K380" s="1">
        <v>96</v>
      </c>
      <c r="L380" s="1" t="s">
        <v>26</v>
      </c>
    </row>
    <row r="381" spans="1:12" x14ac:dyDescent="0.25">
      <c r="A381" s="1" t="s">
        <v>423</v>
      </c>
      <c r="B381" s="1" t="s">
        <v>34</v>
      </c>
      <c r="C381" s="1" t="s">
        <v>14</v>
      </c>
      <c r="D381" s="1">
        <v>37</v>
      </c>
      <c r="E381" s="1" t="s">
        <v>19</v>
      </c>
      <c r="F381" s="1">
        <v>3</v>
      </c>
      <c r="G381" s="1">
        <v>39087</v>
      </c>
      <c r="H381" s="1">
        <v>10</v>
      </c>
      <c r="I381" s="1">
        <v>44</v>
      </c>
      <c r="J381" s="1">
        <v>5</v>
      </c>
      <c r="K381" s="1">
        <v>89</v>
      </c>
      <c r="L381" s="1" t="s">
        <v>37</v>
      </c>
    </row>
    <row r="382" spans="1:12" x14ac:dyDescent="0.25">
      <c r="A382" s="1" t="s">
        <v>424</v>
      </c>
      <c r="B382" s="1" t="s">
        <v>89</v>
      </c>
      <c r="C382" s="1" t="s">
        <v>22</v>
      </c>
      <c r="D382" s="1">
        <v>28</v>
      </c>
      <c r="E382" s="1" t="s">
        <v>15</v>
      </c>
      <c r="F382" s="1">
        <v>8</v>
      </c>
      <c r="G382" s="1">
        <v>39471</v>
      </c>
      <c r="H382" s="1">
        <v>15</v>
      </c>
      <c r="I382" s="1">
        <v>40</v>
      </c>
      <c r="J382" s="1">
        <v>5</v>
      </c>
      <c r="K382" s="1">
        <v>90</v>
      </c>
      <c r="L382" s="1" t="s">
        <v>37</v>
      </c>
    </row>
    <row r="383" spans="1:12" x14ac:dyDescent="0.25">
      <c r="A383" s="1" t="s">
        <v>425</v>
      </c>
      <c r="B383" s="1" t="s">
        <v>53</v>
      </c>
      <c r="C383" s="1" t="s">
        <v>29</v>
      </c>
      <c r="D383" s="1">
        <v>35</v>
      </c>
      <c r="E383" s="1" t="s">
        <v>19</v>
      </c>
      <c r="F383" s="1">
        <v>12</v>
      </c>
      <c r="G383" s="1">
        <v>50779</v>
      </c>
      <c r="H383" s="1">
        <v>4</v>
      </c>
      <c r="I383" s="1">
        <v>50</v>
      </c>
      <c r="J383" s="1">
        <v>4</v>
      </c>
      <c r="K383" s="1">
        <v>99</v>
      </c>
      <c r="L383" s="1" t="s">
        <v>23</v>
      </c>
    </row>
    <row r="384" spans="1:12" x14ac:dyDescent="0.25">
      <c r="A384" s="1" t="s">
        <v>426</v>
      </c>
      <c r="B384" s="1" t="s">
        <v>70</v>
      </c>
      <c r="C384" s="1" t="s">
        <v>25</v>
      </c>
      <c r="D384" s="1">
        <v>35</v>
      </c>
      <c r="E384" s="1" t="s">
        <v>19</v>
      </c>
      <c r="F384" s="1">
        <v>14</v>
      </c>
      <c r="G384" s="1">
        <v>79906</v>
      </c>
      <c r="H384" s="1">
        <v>9</v>
      </c>
      <c r="I384" s="1">
        <v>49</v>
      </c>
      <c r="J384" s="1">
        <v>2</v>
      </c>
      <c r="K384" s="1">
        <v>85</v>
      </c>
      <c r="L384" s="1" t="s">
        <v>32</v>
      </c>
    </row>
    <row r="385" spans="1:12" x14ac:dyDescent="0.25">
      <c r="A385" s="1" t="s">
        <v>427</v>
      </c>
      <c r="B385" s="1" t="s">
        <v>75</v>
      </c>
      <c r="C385" s="1" t="s">
        <v>29</v>
      </c>
      <c r="D385" s="1">
        <v>32</v>
      </c>
      <c r="E385" s="1" t="s">
        <v>19</v>
      </c>
      <c r="F385" s="1">
        <v>9</v>
      </c>
      <c r="G385" s="1">
        <v>42136</v>
      </c>
      <c r="H385" s="1">
        <v>5</v>
      </c>
      <c r="I385" s="1">
        <v>38</v>
      </c>
      <c r="J385" s="1">
        <v>3</v>
      </c>
      <c r="K385" s="1">
        <v>95</v>
      </c>
      <c r="L385" s="1" t="s">
        <v>51</v>
      </c>
    </row>
    <row r="386" spans="1:12" x14ac:dyDescent="0.25">
      <c r="A386" s="1" t="s">
        <v>428</v>
      </c>
      <c r="B386" s="1" t="s">
        <v>53</v>
      </c>
      <c r="C386" s="1" t="s">
        <v>29</v>
      </c>
      <c r="D386" s="1">
        <v>33</v>
      </c>
      <c r="E386" s="1" t="s">
        <v>15</v>
      </c>
      <c r="F386" s="1">
        <v>6</v>
      </c>
      <c r="G386" s="1">
        <v>26608</v>
      </c>
      <c r="H386" s="1">
        <v>14</v>
      </c>
      <c r="I386" s="1">
        <v>47</v>
      </c>
      <c r="J386" s="1">
        <v>4</v>
      </c>
      <c r="K386" s="1">
        <v>91</v>
      </c>
      <c r="L386" s="1" t="s">
        <v>32</v>
      </c>
    </row>
    <row r="387" spans="1:12" x14ac:dyDescent="0.25">
      <c r="A387" s="1" t="s">
        <v>429</v>
      </c>
      <c r="B387" s="1" t="s">
        <v>36</v>
      </c>
      <c r="C387" s="1" t="s">
        <v>25</v>
      </c>
      <c r="D387" s="1">
        <v>40</v>
      </c>
      <c r="E387" s="1" t="s">
        <v>15</v>
      </c>
      <c r="F387" s="1">
        <v>13</v>
      </c>
      <c r="G387" s="1">
        <v>50507</v>
      </c>
      <c r="H387" s="1">
        <v>13</v>
      </c>
      <c r="I387" s="1">
        <v>44</v>
      </c>
      <c r="J387" s="1">
        <v>4</v>
      </c>
      <c r="K387" s="1">
        <v>85</v>
      </c>
      <c r="L387" s="1" t="s">
        <v>37</v>
      </c>
    </row>
    <row r="388" spans="1:12" x14ac:dyDescent="0.25">
      <c r="A388" s="1" t="s">
        <v>430</v>
      </c>
      <c r="B388" s="1" t="s">
        <v>63</v>
      </c>
      <c r="C388" s="1" t="s">
        <v>25</v>
      </c>
      <c r="D388" s="1">
        <v>30</v>
      </c>
      <c r="E388" s="1" t="s">
        <v>19</v>
      </c>
      <c r="F388" s="1">
        <v>12</v>
      </c>
      <c r="G388" s="1">
        <v>50030</v>
      </c>
      <c r="H388" s="1">
        <v>9</v>
      </c>
      <c r="I388" s="1">
        <v>39</v>
      </c>
      <c r="J388" s="1">
        <v>1</v>
      </c>
      <c r="K388" s="1">
        <v>94</v>
      </c>
      <c r="L388" s="1" t="s">
        <v>26</v>
      </c>
    </row>
    <row r="389" spans="1:12" x14ac:dyDescent="0.25">
      <c r="A389" s="1" t="s">
        <v>431</v>
      </c>
      <c r="B389" s="1" t="s">
        <v>89</v>
      </c>
      <c r="C389" s="1" t="s">
        <v>14</v>
      </c>
      <c r="D389" s="1">
        <v>33</v>
      </c>
      <c r="E389" s="1" t="s">
        <v>15</v>
      </c>
      <c r="F389" s="1">
        <v>5</v>
      </c>
      <c r="G389" s="1">
        <v>53985</v>
      </c>
      <c r="H389" s="1">
        <v>15</v>
      </c>
      <c r="I389" s="1">
        <v>48</v>
      </c>
      <c r="J389" s="1">
        <v>2</v>
      </c>
      <c r="K389" s="1">
        <v>85</v>
      </c>
      <c r="L389" s="1" t="s">
        <v>23</v>
      </c>
    </row>
    <row r="390" spans="1:12" x14ac:dyDescent="0.25">
      <c r="A390" s="1" t="s">
        <v>432</v>
      </c>
      <c r="B390" s="1" t="s">
        <v>94</v>
      </c>
      <c r="C390" s="1" t="s">
        <v>25</v>
      </c>
      <c r="D390" s="1">
        <v>28</v>
      </c>
      <c r="E390" s="1" t="s">
        <v>15</v>
      </c>
      <c r="F390" s="1">
        <v>15</v>
      </c>
      <c r="G390" s="1">
        <v>34788</v>
      </c>
      <c r="H390" s="1">
        <v>4</v>
      </c>
      <c r="I390" s="1">
        <v>42</v>
      </c>
      <c r="J390" s="1">
        <v>3</v>
      </c>
      <c r="K390" s="1">
        <v>97</v>
      </c>
      <c r="L390" s="1" t="s">
        <v>32</v>
      </c>
    </row>
    <row r="391" spans="1:12" x14ac:dyDescent="0.25">
      <c r="A391" s="1" t="s">
        <v>433</v>
      </c>
      <c r="B391" s="1" t="s">
        <v>31</v>
      </c>
      <c r="C391" s="1" t="s">
        <v>22</v>
      </c>
      <c r="D391" s="1">
        <v>29</v>
      </c>
      <c r="E391" s="1" t="s">
        <v>19</v>
      </c>
      <c r="F391" s="1">
        <v>10</v>
      </c>
      <c r="G391" s="1">
        <v>79102</v>
      </c>
      <c r="H391" s="1">
        <v>13</v>
      </c>
      <c r="I391" s="1">
        <v>43</v>
      </c>
      <c r="J391" s="1">
        <v>1</v>
      </c>
      <c r="K391" s="1">
        <v>88</v>
      </c>
      <c r="L391" s="1" t="s">
        <v>37</v>
      </c>
    </row>
    <row r="392" spans="1:12" x14ac:dyDescent="0.25">
      <c r="A392" s="1" t="s">
        <v>434</v>
      </c>
      <c r="B392" s="1" t="s">
        <v>45</v>
      </c>
      <c r="C392" s="1" t="s">
        <v>25</v>
      </c>
      <c r="D392" s="1">
        <v>39</v>
      </c>
      <c r="E392" s="1" t="s">
        <v>15</v>
      </c>
      <c r="F392" s="1">
        <v>2</v>
      </c>
      <c r="G392" s="1">
        <v>72928</v>
      </c>
      <c r="H392" s="1">
        <v>9</v>
      </c>
      <c r="I392" s="1">
        <v>44</v>
      </c>
      <c r="J392" s="1">
        <v>5</v>
      </c>
      <c r="K392" s="1">
        <v>99</v>
      </c>
      <c r="L392" s="1" t="s">
        <v>51</v>
      </c>
    </row>
    <row r="393" spans="1:12" x14ac:dyDescent="0.25">
      <c r="A393" s="1" t="s">
        <v>435</v>
      </c>
      <c r="B393" s="1" t="s">
        <v>83</v>
      </c>
      <c r="C393" s="1" t="s">
        <v>25</v>
      </c>
      <c r="D393" s="1">
        <v>39</v>
      </c>
      <c r="E393" s="1" t="s">
        <v>15</v>
      </c>
      <c r="F393" s="1">
        <v>2</v>
      </c>
      <c r="G393" s="1">
        <v>66607</v>
      </c>
      <c r="H393" s="1">
        <v>11</v>
      </c>
      <c r="I393" s="1">
        <v>48</v>
      </c>
      <c r="J393" s="1">
        <v>1</v>
      </c>
      <c r="K393" s="1">
        <v>96</v>
      </c>
      <c r="L393" s="1" t="s">
        <v>16</v>
      </c>
    </row>
    <row r="394" spans="1:12" x14ac:dyDescent="0.25">
      <c r="A394" s="1" t="s">
        <v>436</v>
      </c>
      <c r="B394" s="1" t="s">
        <v>21</v>
      </c>
      <c r="C394" s="1" t="s">
        <v>14</v>
      </c>
      <c r="D394" s="1">
        <v>23</v>
      </c>
      <c r="E394" s="1" t="s">
        <v>19</v>
      </c>
      <c r="F394" s="1">
        <v>15</v>
      </c>
      <c r="G394" s="1">
        <v>67166</v>
      </c>
      <c r="H394" s="1">
        <v>15</v>
      </c>
      <c r="I394" s="1">
        <v>48</v>
      </c>
      <c r="J394" s="1">
        <v>4</v>
      </c>
      <c r="K394" s="1">
        <v>87</v>
      </c>
      <c r="L394" s="1" t="s">
        <v>51</v>
      </c>
    </row>
    <row r="395" spans="1:12" x14ac:dyDescent="0.25">
      <c r="A395" s="1" t="s">
        <v>437</v>
      </c>
      <c r="B395" s="1" t="s">
        <v>36</v>
      </c>
      <c r="C395" s="1" t="s">
        <v>14</v>
      </c>
      <c r="D395" s="1">
        <v>26</v>
      </c>
      <c r="E395" s="1" t="s">
        <v>15</v>
      </c>
      <c r="F395" s="1">
        <v>4</v>
      </c>
      <c r="G395" s="1">
        <v>76658</v>
      </c>
      <c r="H395" s="1">
        <v>8</v>
      </c>
      <c r="I395" s="1">
        <v>47</v>
      </c>
      <c r="J395" s="1">
        <v>4</v>
      </c>
      <c r="K395" s="1">
        <v>93</v>
      </c>
      <c r="L395" s="1" t="s">
        <v>23</v>
      </c>
    </row>
    <row r="396" spans="1:12" x14ac:dyDescent="0.25">
      <c r="A396" s="1" t="s">
        <v>438</v>
      </c>
      <c r="B396" s="1" t="s">
        <v>70</v>
      </c>
      <c r="C396" s="1" t="s">
        <v>14</v>
      </c>
      <c r="D396" s="1">
        <v>22</v>
      </c>
      <c r="E396" s="1" t="s">
        <v>15</v>
      </c>
      <c r="F396" s="1">
        <v>2</v>
      </c>
      <c r="G396" s="1">
        <v>31673</v>
      </c>
      <c r="H396" s="1">
        <v>8</v>
      </c>
      <c r="I396" s="1">
        <v>35</v>
      </c>
      <c r="J396" s="1">
        <v>3</v>
      </c>
      <c r="K396" s="1">
        <v>94</v>
      </c>
      <c r="L396" s="1" t="s">
        <v>32</v>
      </c>
    </row>
    <row r="397" spans="1:12" x14ac:dyDescent="0.25">
      <c r="A397" s="1" t="s">
        <v>439</v>
      </c>
      <c r="B397" s="1" t="s">
        <v>70</v>
      </c>
      <c r="C397" s="1" t="s">
        <v>22</v>
      </c>
      <c r="D397" s="1">
        <v>34</v>
      </c>
      <c r="E397" s="1" t="s">
        <v>19</v>
      </c>
      <c r="F397" s="1">
        <v>10</v>
      </c>
      <c r="G397" s="1">
        <v>39641</v>
      </c>
      <c r="H397" s="1">
        <v>4</v>
      </c>
      <c r="I397" s="1">
        <v>40</v>
      </c>
      <c r="J397" s="1">
        <v>3</v>
      </c>
      <c r="K397" s="1">
        <v>93</v>
      </c>
      <c r="L397" s="1" t="s">
        <v>16</v>
      </c>
    </row>
    <row r="398" spans="1:12" x14ac:dyDescent="0.25">
      <c r="A398" s="1" t="s">
        <v>440</v>
      </c>
      <c r="B398" s="1" t="s">
        <v>43</v>
      </c>
      <c r="C398" s="1" t="s">
        <v>25</v>
      </c>
      <c r="D398" s="1">
        <v>24</v>
      </c>
      <c r="E398" s="1" t="s">
        <v>15</v>
      </c>
      <c r="F398" s="1">
        <v>9</v>
      </c>
      <c r="G398" s="1">
        <v>49186</v>
      </c>
      <c r="H398" s="1">
        <v>3</v>
      </c>
      <c r="I398" s="1">
        <v>35</v>
      </c>
      <c r="J398" s="1">
        <v>3</v>
      </c>
      <c r="K398" s="1">
        <v>89</v>
      </c>
      <c r="L398" s="1" t="s">
        <v>23</v>
      </c>
    </row>
    <row r="399" spans="1:12" x14ac:dyDescent="0.25">
      <c r="A399" s="1" t="s">
        <v>441</v>
      </c>
      <c r="B399" s="1" t="s">
        <v>28</v>
      </c>
      <c r="C399" s="1" t="s">
        <v>25</v>
      </c>
      <c r="D399" s="1">
        <v>33</v>
      </c>
      <c r="E399" s="1" t="s">
        <v>19</v>
      </c>
      <c r="F399" s="1">
        <v>6</v>
      </c>
      <c r="G399" s="1">
        <v>28023</v>
      </c>
      <c r="H399" s="1">
        <v>7</v>
      </c>
      <c r="I399" s="1">
        <v>49</v>
      </c>
      <c r="J399" s="1">
        <v>5</v>
      </c>
      <c r="K399" s="1">
        <v>93</v>
      </c>
      <c r="L399" s="1" t="s">
        <v>26</v>
      </c>
    </row>
    <row r="400" spans="1:12" x14ac:dyDescent="0.25">
      <c r="A400" s="1" t="s">
        <v>442</v>
      </c>
      <c r="B400" s="1" t="s">
        <v>21</v>
      </c>
      <c r="C400" s="1" t="s">
        <v>14</v>
      </c>
      <c r="D400" s="1">
        <v>30</v>
      </c>
      <c r="E400" s="1" t="s">
        <v>19</v>
      </c>
      <c r="F400" s="1">
        <v>9</v>
      </c>
      <c r="G400" s="1">
        <v>34403</v>
      </c>
      <c r="H400" s="1">
        <v>15</v>
      </c>
      <c r="I400" s="1">
        <v>47</v>
      </c>
      <c r="J400" s="1">
        <v>1</v>
      </c>
      <c r="K400" s="1">
        <v>95</v>
      </c>
      <c r="L400" s="1" t="s">
        <v>51</v>
      </c>
    </row>
    <row r="401" spans="1:12" x14ac:dyDescent="0.25">
      <c r="A401" s="1" t="s">
        <v>443</v>
      </c>
      <c r="B401" s="1" t="s">
        <v>18</v>
      </c>
      <c r="C401" s="1" t="s">
        <v>22</v>
      </c>
      <c r="D401" s="1">
        <v>31</v>
      </c>
      <c r="E401" s="1" t="s">
        <v>19</v>
      </c>
      <c r="F401" s="1">
        <v>2</v>
      </c>
      <c r="G401" s="1">
        <v>78092</v>
      </c>
      <c r="H401" s="1">
        <v>15</v>
      </c>
      <c r="I401" s="1">
        <v>48</v>
      </c>
      <c r="J401" s="1">
        <v>2</v>
      </c>
      <c r="K401" s="1">
        <v>86</v>
      </c>
      <c r="L401" s="1" t="s">
        <v>37</v>
      </c>
    </row>
    <row r="402" spans="1:12" x14ac:dyDescent="0.25">
      <c r="A402" s="1" t="s">
        <v>444</v>
      </c>
      <c r="B402" s="1" t="s">
        <v>31</v>
      </c>
      <c r="C402" s="1" t="s">
        <v>25</v>
      </c>
      <c r="D402" s="1">
        <v>33</v>
      </c>
      <c r="E402" s="1" t="s">
        <v>19</v>
      </c>
      <c r="F402" s="1">
        <v>13</v>
      </c>
      <c r="G402" s="1">
        <v>58452</v>
      </c>
      <c r="H402" s="1">
        <v>5</v>
      </c>
      <c r="I402" s="1">
        <v>49</v>
      </c>
      <c r="J402" s="1">
        <v>1</v>
      </c>
      <c r="K402" s="1">
        <v>90</v>
      </c>
      <c r="L402" s="1" t="s">
        <v>37</v>
      </c>
    </row>
    <row r="403" spans="1:12" x14ac:dyDescent="0.25">
      <c r="A403" s="1" t="s">
        <v>445</v>
      </c>
      <c r="B403" s="1" t="s">
        <v>31</v>
      </c>
      <c r="C403" s="1" t="s">
        <v>25</v>
      </c>
      <c r="D403" s="1">
        <v>27</v>
      </c>
      <c r="E403" s="1" t="s">
        <v>19</v>
      </c>
      <c r="F403" s="1">
        <v>9</v>
      </c>
      <c r="G403" s="1">
        <v>55207</v>
      </c>
      <c r="H403" s="1">
        <v>3</v>
      </c>
      <c r="I403" s="1">
        <v>47</v>
      </c>
      <c r="J403" s="1">
        <v>2</v>
      </c>
      <c r="K403" s="1">
        <v>99</v>
      </c>
      <c r="L403" s="1" t="s">
        <v>16</v>
      </c>
    </row>
    <row r="404" spans="1:12" x14ac:dyDescent="0.25">
      <c r="A404" s="1" t="s">
        <v>446</v>
      </c>
      <c r="B404" s="1" t="s">
        <v>81</v>
      </c>
      <c r="C404" s="1" t="s">
        <v>14</v>
      </c>
      <c r="D404" s="1">
        <v>25</v>
      </c>
      <c r="E404" s="1" t="s">
        <v>15</v>
      </c>
      <c r="F404" s="1">
        <v>1</v>
      </c>
      <c r="G404" s="1">
        <v>62920</v>
      </c>
      <c r="H404" s="1">
        <v>3</v>
      </c>
      <c r="I404" s="1">
        <v>49</v>
      </c>
      <c r="J404" s="1">
        <v>4</v>
      </c>
      <c r="K404" s="1">
        <v>85</v>
      </c>
      <c r="L404" s="1" t="s">
        <v>16</v>
      </c>
    </row>
    <row r="405" spans="1:12" x14ac:dyDescent="0.25">
      <c r="A405" s="1" t="s">
        <v>447</v>
      </c>
      <c r="B405" s="1" t="s">
        <v>94</v>
      </c>
      <c r="C405" s="1" t="s">
        <v>25</v>
      </c>
      <c r="D405" s="1">
        <v>32</v>
      </c>
      <c r="E405" s="1" t="s">
        <v>19</v>
      </c>
      <c r="F405" s="1">
        <v>2</v>
      </c>
      <c r="G405" s="1">
        <v>45317</v>
      </c>
      <c r="H405" s="1">
        <v>6</v>
      </c>
      <c r="I405" s="1">
        <v>37</v>
      </c>
      <c r="J405" s="1">
        <v>1</v>
      </c>
      <c r="K405" s="1">
        <v>96</v>
      </c>
      <c r="L405" s="1" t="s">
        <v>16</v>
      </c>
    </row>
    <row r="406" spans="1:12" x14ac:dyDescent="0.25">
      <c r="A406" s="1" t="s">
        <v>448</v>
      </c>
      <c r="B406" s="1" t="s">
        <v>45</v>
      </c>
      <c r="C406" s="1" t="s">
        <v>29</v>
      </c>
      <c r="D406" s="1">
        <v>25</v>
      </c>
      <c r="E406" s="1" t="s">
        <v>19</v>
      </c>
      <c r="F406" s="1">
        <v>14</v>
      </c>
      <c r="G406" s="1">
        <v>59355</v>
      </c>
      <c r="H406" s="1">
        <v>12</v>
      </c>
      <c r="I406" s="1">
        <v>36</v>
      </c>
      <c r="J406" s="1">
        <v>1</v>
      </c>
      <c r="K406" s="1">
        <v>97</v>
      </c>
      <c r="L406" s="1" t="s">
        <v>26</v>
      </c>
    </row>
    <row r="407" spans="1:12" x14ac:dyDescent="0.25">
      <c r="A407" s="1" t="s">
        <v>449</v>
      </c>
      <c r="B407" s="1" t="s">
        <v>13</v>
      </c>
      <c r="C407" s="1" t="s">
        <v>14</v>
      </c>
      <c r="D407" s="1">
        <v>25</v>
      </c>
      <c r="E407" s="1" t="s">
        <v>19</v>
      </c>
      <c r="F407" s="1">
        <v>7</v>
      </c>
      <c r="G407" s="1">
        <v>35049</v>
      </c>
      <c r="H407" s="1">
        <v>6</v>
      </c>
      <c r="I407" s="1">
        <v>50</v>
      </c>
      <c r="J407" s="1">
        <v>1</v>
      </c>
      <c r="K407" s="1">
        <v>89</v>
      </c>
      <c r="L407" s="1" t="s">
        <v>37</v>
      </c>
    </row>
    <row r="408" spans="1:12" x14ac:dyDescent="0.25">
      <c r="A408" s="1" t="s">
        <v>450</v>
      </c>
      <c r="B408" s="1" t="s">
        <v>18</v>
      </c>
      <c r="C408" s="1" t="s">
        <v>14</v>
      </c>
      <c r="D408" s="1">
        <v>29</v>
      </c>
      <c r="E408" s="1" t="s">
        <v>19</v>
      </c>
      <c r="F408" s="1">
        <v>9</v>
      </c>
      <c r="G408" s="1">
        <v>66813</v>
      </c>
      <c r="H408" s="1">
        <v>12</v>
      </c>
      <c r="I408" s="1">
        <v>48</v>
      </c>
      <c r="J408" s="1">
        <v>3</v>
      </c>
      <c r="K408" s="1">
        <v>95</v>
      </c>
      <c r="L408" s="1" t="s">
        <v>51</v>
      </c>
    </row>
    <row r="409" spans="1:12" x14ac:dyDescent="0.25">
      <c r="A409" s="1" t="s">
        <v>451</v>
      </c>
      <c r="B409" s="1" t="s">
        <v>40</v>
      </c>
      <c r="C409" s="1" t="s">
        <v>25</v>
      </c>
      <c r="D409" s="1">
        <v>35</v>
      </c>
      <c r="E409" s="1" t="s">
        <v>15</v>
      </c>
      <c r="F409" s="1">
        <v>13</v>
      </c>
      <c r="G409" s="1">
        <v>36776</v>
      </c>
      <c r="H409" s="1">
        <v>13</v>
      </c>
      <c r="I409" s="1">
        <v>41</v>
      </c>
      <c r="J409" s="1">
        <v>2</v>
      </c>
      <c r="K409" s="1">
        <v>99</v>
      </c>
      <c r="L409" s="1" t="s">
        <v>32</v>
      </c>
    </row>
    <row r="410" spans="1:12" x14ac:dyDescent="0.25">
      <c r="A410" s="1" t="s">
        <v>452</v>
      </c>
      <c r="B410" s="1" t="s">
        <v>45</v>
      </c>
      <c r="C410" s="1" t="s">
        <v>14</v>
      </c>
      <c r="D410" s="1">
        <v>26</v>
      </c>
      <c r="E410" s="1" t="s">
        <v>19</v>
      </c>
      <c r="F410" s="1">
        <v>12</v>
      </c>
      <c r="G410" s="1">
        <v>55889</v>
      </c>
      <c r="H410" s="1">
        <v>12</v>
      </c>
      <c r="I410" s="1">
        <v>35</v>
      </c>
      <c r="J410" s="1">
        <v>3</v>
      </c>
      <c r="K410" s="1">
        <v>95</v>
      </c>
      <c r="L410" s="1" t="s">
        <v>37</v>
      </c>
    </row>
    <row r="411" spans="1:12" x14ac:dyDescent="0.25">
      <c r="A411" s="1" t="s">
        <v>453</v>
      </c>
      <c r="B411" s="1" t="s">
        <v>83</v>
      </c>
      <c r="C411" s="1" t="s">
        <v>14</v>
      </c>
      <c r="D411" s="1">
        <v>23</v>
      </c>
      <c r="E411" s="1" t="s">
        <v>19</v>
      </c>
      <c r="F411" s="1">
        <v>3</v>
      </c>
      <c r="G411" s="1">
        <v>30226</v>
      </c>
      <c r="H411" s="1">
        <v>4</v>
      </c>
      <c r="I411" s="1">
        <v>47</v>
      </c>
      <c r="J411" s="1">
        <v>2</v>
      </c>
      <c r="K411" s="1">
        <v>96</v>
      </c>
      <c r="L411" s="1" t="s">
        <v>23</v>
      </c>
    </row>
    <row r="412" spans="1:12" x14ac:dyDescent="0.25">
      <c r="A412" s="1" t="s">
        <v>454</v>
      </c>
      <c r="B412" s="1" t="s">
        <v>45</v>
      </c>
      <c r="C412" s="1" t="s">
        <v>29</v>
      </c>
      <c r="D412" s="1">
        <v>34</v>
      </c>
      <c r="E412" s="1" t="s">
        <v>19</v>
      </c>
      <c r="F412" s="1">
        <v>15</v>
      </c>
      <c r="G412" s="1">
        <v>46601</v>
      </c>
      <c r="H412" s="1">
        <v>13</v>
      </c>
      <c r="I412" s="1">
        <v>37</v>
      </c>
      <c r="J412" s="1">
        <v>2</v>
      </c>
      <c r="K412" s="1">
        <v>96</v>
      </c>
      <c r="L412" s="1" t="s">
        <v>26</v>
      </c>
    </row>
    <row r="413" spans="1:12" x14ac:dyDescent="0.25">
      <c r="A413" s="1" t="s">
        <v>455</v>
      </c>
      <c r="B413" s="1" t="s">
        <v>43</v>
      </c>
      <c r="C413" s="1" t="s">
        <v>14</v>
      </c>
      <c r="D413" s="1">
        <v>31</v>
      </c>
      <c r="E413" s="1" t="s">
        <v>19</v>
      </c>
      <c r="F413" s="1">
        <v>10</v>
      </c>
      <c r="G413" s="1">
        <v>43860</v>
      </c>
      <c r="H413" s="1">
        <v>5</v>
      </c>
      <c r="I413" s="1">
        <v>42</v>
      </c>
      <c r="J413" s="1">
        <v>5</v>
      </c>
      <c r="K413" s="1">
        <v>86</v>
      </c>
      <c r="L413" s="1" t="s">
        <v>32</v>
      </c>
    </row>
    <row r="414" spans="1:12" x14ac:dyDescent="0.25">
      <c r="A414" s="1" t="s">
        <v>456</v>
      </c>
      <c r="B414" s="1" t="s">
        <v>21</v>
      </c>
      <c r="C414" s="1" t="s">
        <v>22</v>
      </c>
      <c r="D414" s="1">
        <v>24</v>
      </c>
      <c r="E414" s="1" t="s">
        <v>15</v>
      </c>
      <c r="F414" s="1">
        <v>8</v>
      </c>
      <c r="G414" s="1">
        <v>68682</v>
      </c>
      <c r="H414" s="1">
        <v>12</v>
      </c>
      <c r="I414" s="1">
        <v>46</v>
      </c>
      <c r="J414" s="1">
        <v>3</v>
      </c>
      <c r="K414" s="1">
        <v>87</v>
      </c>
      <c r="L414" s="1" t="s">
        <v>16</v>
      </c>
    </row>
    <row r="415" spans="1:12" x14ac:dyDescent="0.25">
      <c r="A415" s="1" t="s">
        <v>457</v>
      </c>
      <c r="B415" s="1" t="s">
        <v>34</v>
      </c>
      <c r="C415" s="1" t="s">
        <v>29</v>
      </c>
      <c r="D415" s="1">
        <v>38</v>
      </c>
      <c r="E415" s="1" t="s">
        <v>19</v>
      </c>
      <c r="F415" s="1">
        <v>1</v>
      </c>
      <c r="G415" s="1">
        <v>69349</v>
      </c>
      <c r="H415" s="1">
        <v>10</v>
      </c>
      <c r="I415" s="1">
        <v>38</v>
      </c>
      <c r="J415" s="1">
        <v>2</v>
      </c>
      <c r="K415" s="1">
        <v>91</v>
      </c>
      <c r="L415" s="1" t="s">
        <v>32</v>
      </c>
    </row>
    <row r="416" spans="1:12" x14ac:dyDescent="0.25">
      <c r="A416" s="1" t="s">
        <v>458</v>
      </c>
      <c r="B416" s="1" t="s">
        <v>21</v>
      </c>
      <c r="C416" s="1" t="s">
        <v>29</v>
      </c>
      <c r="D416" s="1">
        <v>40</v>
      </c>
      <c r="E416" s="1" t="s">
        <v>19</v>
      </c>
      <c r="F416" s="1">
        <v>14</v>
      </c>
      <c r="G416" s="1">
        <v>26602</v>
      </c>
      <c r="H416" s="1">
        <v>15</v>
      </c>
      <c r="I416" s="1">
        <v>37</v>
      </c>
      <c r="J416" s="1">
        <v>1</v>
      </c>
      <c r="K416" s="1">
        <v>86</v>
      </c>
      <c r="L416" s="1" t="s">
        <v>32</v>
      </c>
    </row>
    <row r="417" spans="1:12" x14ac:dyDescent="0.25">
      <c r="A417" s="1" t="s">
        <v>459</v>
      </c>
      <c r="B417" s="1" t="s">
        <v>77</v>
      </c>
      <c r="C417" s="1" t="s">
        <v>14</v>
      </c>
      <c r="D417" s="1">
        <v>23</v>
      </c>
      <c r="E417" s="1" t="s">
        <v>15</v>
      </c>
      <c r="F417" s="1">
        <v>12</v>
      </c>
      <c r="G417" s="1">
        <v>54057</v>
      </c>
      <c r="H417" s="1">
        <v>10</v>
      </c>
      <c r="I417" s="1">
        <v>47</v>
      </c>
      <c r="J417" s="1">
        <v>2</v>
      </c>
      <c r="K417" s="1">
        <v>85</v>
      </c>
      <c r="L417" s="1" t="s">
        <v>16</v>
      </c>
    </row>
    <row r="418" spans="1:12" x14ac:dyDescent="0.25">
      <c r="A418" s="1" t="s">
        <v>460</v>
      </c>
      <c r="B418" s="1" t="s">
        <v>89</v>
      </c>
      <c r="C418" s="1" t="s">
        <v>22</v>
      </c>
      <c r="D418" s="1">
        <v>28</v>
      </c>
      <c r="E418" s="1" t="s">
        <v>15</v>
      </c>
      <c r="F418" s="1">
        <v>13</v>
      </c>
      <c r="G418" s="1">
        <v>64041</v>
      </c>
      <c r="H418" s="1">
        <v>12</v>
      </c>
      <c r="I418" s="1">
        <v>48</v>
      </c>
      <c r="J418" s="1">
        <v>3</v>
      </c>
      <c r="K418" s="1">
        <v>96</v>
      </c>
      <c r="L418" s="1" t="s">
        <v>23</v>
      </c>
    </row>
    <row r="419" spans="1:12" x14ac:dyDescent="0.25">
      <c r="A419" s="1" t="s">
        <v>461</v>
      </c>
      <c r="B419" s="1" t="s">
        <v>63</v>
      </c>
      <c r="C419" s="1" t="s">
        <v>22</v>
      </c>
      <c r="D419" s="1">
        <v>40</v>
      </c>
      <c r="E419" s="1" t="s">
        <v>19</v>
      </c>
      <c r="F419" s="1">
        <v>4</v>
      </c>
      <c r="G419" s="1">
        <v>64630</v>
      </c>
      <c r="H419" s="1">
        <v>4</v>
      </c>
      <c r="I419" s="1">
        <v>48</v>
      </c>
      <c r="J419" s="1">
        <v>1</v>
      </c>
      <c r="K419" s="1">
        <v>97</v>
      </c>
      <c r="L419" s="1" t="s">
        <v>37</v>
      </c>
    </row>
    <row r="420" spans="1:12" x14ac:dyDescent="0.25">
      <c r="A420" s="1" t="s">
        <v>462</v>
      </c>
      <c r="B420" s="1" t="s">
        <v>75</v>
      </c>
      <c r="C420" s="1" t="s">
        <v>22</v>
      </c>
      <c r="D420" s="1">
        <v>28</v>
      </c>
      <c r="E420" s="1" t="s">
        <v>15</v>
      </c>
      <c r="F420" s="1">
        <v>10</v>
      </c>
      <c r="G420" s="1">
        <v>26780</v>
      </c>
      <c r="H420" s="1">
        <v>8</v>
      </c>
      <c r="I420" s="1">
        <v>47</v>
      </c>
      <c r="J420" s="1">
        <v>4</v>
      </c>
      <c r="K420" s="1">
        <v>85</v>
      </c>
      <c r="L420" s="1" t="s">
        <v>23</v>
      </c>
    </row>
    <row r="421" spans="1:12" x14ac:dyDescent="0.25">
      <c r="A421" s="1" t="s">
        <v>463</v>
      </c>
      <c r="B421" s="1" t="s">
        <v>43</v>
      </c>
      <c r="C421" s="1" t="s">
        <v>14</v>
      </c>
      <c r="D421" s="1">
        <v>40</v>
      </c>
      <c r="E421" s="1" t="s">
        <v>19</v>
      </c>
      <c r="F421" s="1">
        <v>7</v>
      </c>
      <c r="G421" s="1">
        <v>32647</v>
      </c>
      <c r="H421" s="1">
        <v>6</v>
      </c>
      <c r="I421" s="1">
        <v>37</v>
      </c>
      <c r="J421" s="1">
        <v>2</v>
      </c>
      <c r="K421" s="1">
        <v>97</v>
      </c>
      <c r="L421" s="1" t="s">
        <v>23</v>
      </c>
    </row>
    <row r="422" spans="1:12" x14ac:dyDescent="0.25">
      <c r="A422" s="1" t="s">
        <v>464</v>
      </c>
      <c r="B422" s="1" t="s">
        <v>83</v>
      </c>
      <c r="C422" s="1" t="s">
        <v>29</v>
      </c>
      <c r="D422" s="1">
        <v>24</v>
      </c>
      <c r="E422" s="1" t="s">
        <v>19</v>
      </c>
      <c r="F422" s="1">
        <v>4</v>
      </c>
      <c r="G422" s="1">
        <v>26664</v>
      </c>
      <c r="H422" s="1">
        <v>14</v>
      </c>
      <c r="I422" s="1">
        <v>40</v>
      </c>
      <c r="J422" s="1">
        <v>2</v>
      </c>
      <c r="K422" s="1">
        <v>86</v>
      </c>
      <c r="L422" s="1" t="s">
        <v>16</v>
      </c>
    </row>
    <row r="423" spans="1:12" x14ac:dyDescent="0.25">
      <c r="A423" s="1" t="s">
        <v>465</v>
      </c>
      <c r="B423" s="1" t="s">
        <v>13</v>
      </c>
      <c r="C423" s="1" t="s">
        <v>25</v>
      </c>
      <c r="D423" s="1">
        <v>40</v>
      </c>
      <c r="E423" s="1" t="s">
        <v>15</v>
      </c>
      <c r="F423" s="1">
        <v>12</v>
      </c>
      <c r="G423" s="1">
        <v>38087</v>
      </c>
      <c r="H423" s="1">
        <v>6</v>
      </c>
      <c r="I423" s="1">
        <v>35</v>
      </c>
      <c r="J423" s="1">
        <v>4</v>
      </c>
      <c r="K423" s="1">
        <v>88</v>
      </c>
      <c r="L423" s="1" t="s">
        <v>26</v>
      </c>
    </row>
    <row r="424" spans="1:12" x14ac:dyDescent="0.25">
      <c r="A424" s="1" t="s">
        <v>466</v>
      </c>
      <c r="B424" s="1" t="s">
        <v>31</v>
      </c>
      <c r="C424" s="1" t="s">
        <v>22</v>
      </c>
      <c r="D424" s="1">
        <v>29</v>
      </c>
      <c r="E424" s="1" t="s">
        <v>19</v>
      </c>
      <c r="F424" s="1">
        <v>3</v>
      </c>
      <c r="G424" s="1">
        <v>57668</v>
      </c>
      <c r="H424" s="1">
        <v>4</v>
      </c>
      <c r="I424" s="1">
        <v>48</v>
      </c>
      <c r="J424" s="1">
        <v>4</v>
      </c>
      <c r="K424" s="1">
        <v>100</v>
      </c>
      <c r="L424" s="1" t="s">
        <v>16</v>
      </c>
    </row>
    <row r="425" spans="1:12" x14ac:dyDescent="0.25">
      <c r="A425" s="1" t="s">
        <v>467</v>
      </c>
      <c r="B425" s="1" t="s">
        <v>89</v>
      </c>
      <c r="C425" s="1" t="s">
        <v>14</v>
      </c>
      <c r="D425" s="1">
        <v>38</v>
      </c>
      <c r="E425" s="1" t="s">
        <v>15</v>
      </c>
      <c r="F425" s="1">
        <v>8</v>
      </c>
      <c r="G425" s="1">
        <v>25435</v>
      </c>
      <c r="H425" s="1">
        <v>15</v>
      </c>
      <c r="I425" s="1">
        <v>48</v>
      </c>
      <c r="J425" s="1">
        <v>3</v>
      </c>
      <c r="K425" s="1">
        <v>95</v>
      </c>
      <c r="L425" s="1" t="s">
        <v>26</v>
      </c>
    </row>
    <row r="426" spans="1:12" x14ac:dyDescent="0.25">
      <c r="A426" s="1" t="s">
        <v>468</v>
      </c>
      <c r="B426" s="1" t="s">
        <v>63</v>
      </c>
      <c r="C426" s="1" t="s">
        <v>29</v>
      </c>
      <c r="D426" s="1">
        <v>29</v>
      </c>
      <c r="E426" s="1" t="s">
        <v>15</v>
      </c>
      <c r="F426" s="1">
        <v>6</v>
      </c>
      <c r="G426" s="1">
        <v>36149</v>
      </c>
      <c r="H426" s="1">
        <v>6</v>
      </c>
      <c r="I426" s="1">
        <v>45</v>
      </c>
      <c r="J426" s="1">
        <v>2</v>
      </c>
      <c r="K426" s="1">
        <v>93</v>
      </c>
      <c r="L426" s="1" t="s">
        <v>37</v>
      </c>
    </row>
    <row r="427" spans="1:12" x14ac:dyDescent="0.25">
      <c r="A427" s="1" t="s">
        <v>469</v>
      </c>
      <c r="B427" s="1" t="s">
        <v>21</v>
      </c>
      <c r="C427" s="1" t="s">
        <v>14</v>
      </c>
      <c r="D427" s="1">
        <v>38</v>
      </c>
      <c r="E427" s="1" t="s">
        <v>19</v>
      </c>
      <c r="F427" s="1">
        <v>8</v>
      </c>
      <c r="G427" s="1">
        <v>71490</v>
      </c>
      <c r="H427" s="1">
        <v>11</v>
      </c>
      <c r="I427" s="1">
        <v>46</v>
      </c>
      <c r="J427" s="1">
        <v>1</v>
      </c>
      <c r="K427" s="1">
        <v>94</v>
      </c>
      <c r="L427" s="1" t="s">
        <v>32</v>
      </c>
    </row>
    <row r="428" spans="1:12" x14ac:dyDescent="0.25">
      <c r="A428" s="1" t="s">
        <v>470</v>
      </c>
      <c r="B428" s="1" t="s">
        <v>63</v>
      </c>
      <c r="C428" s="1" t="s">
        <v>25</v>
      </c>
      <c r="D428" s="1">
        <v>32</v>
      </c>
      <c r="E428" s="1" t="s">
        <v>15</v>
      </c>
      <c r="F428" s="1">
        <v>6</v>
      </c>
      <c r="G428" s="1">
        <v>55647</v>
      </c>
      <c r="H428" s="1">
        <v>13</v>
      </c>
      <c r="I428" s="1">
        <v>47</v>
      </c>
      <c r="J428" s="1">
        <v>5</v>
      </c>
      <c r="K428" s="1">
        <v>94</v>
      </c>
      <c r="L428" s="1" t="s">
        <v>16</v>
      </c>
    </row>
    <row r="429" spans="1:12" x14ac:dyDescent="0.25">
      <c r="A429" s="1" t="s">
        <v>471</v>
      </c>
      <c r="B429" s="1" t="s">
        <v>31</v>
      </c>
      <c r="C429" s="1" t="s">
        <v>22</v>
      </c>
      <c r="D429" s="1">
        <v>33</v>
      </c>
      <c r="E429" s="1" t="s">
        <v>15</v>
      </c>
      <c r="F429" s="1">
        <v>9</v>
      </c>
      <c r="G429" s="1">
        <v>74134</v>
      </c>
      <c r="H429" s="1">
        <v>4</v>
      </c>
      <c r="I429" s="1">
        <v>47</v>
      </c>
      <c r="J429" s="1">
        <v>5</v>
      </c>
      <c r="K429" s="1">
        <v>90</v>
      </c>
      <c r="L429" s="1" t="s">
        <v>37</v>
      </c>
    </row>
    <row r="430" spans="1:12" x14ac:dyDescent="0.25">
      <c r="A430" s="1" t="s">
        <v>472</v>
      </c>
      <c r="B430" s="1" t="s">
        <v>13</v>
      </c>
      <c r="C430" s="1" t="s">
        <v>22</v>
      </c>
      <c r="D430" s="1">
        <v>36</v>
      </c>
      <c r="E430" s="1" t="s">
        <v>15</v>
      </c>
      <c r="F430" s="1">
        <v>4</v>
      </c>
      <c r="G430" s="1">
        <v>71194</v>
      </c>
      <c r="H430" s="1">
        <v>5</v>
      </c>
      <c r="I430" s="1">
        <v>50</v>
      </c>
      <c r="J430" s="1">
        <v>3</v>
      </c>
      <c r="K430" s="1">
        <v>92</v>
      </c>
      <c r="L430" s="1" t="s">
        <v>16</v>
      </c>
    </row>
    <row r="431" spans="1:12" x14ac:dyDescent="0.25">
      <c r="A431" s="1" t="s">
        <v>473</v>
      </c>
      <c r="B431" s="1" t="s">
        <v>63</v>
      </c>
      <c r="C431" s="1" t="s">
        <v>22</v>
      </c>
      <c r="D431" s="1">
        <v>38</v>
      </c>
      <c r="E431" s="1" t="s">
        <v>19</v>
      </c>
      <c r="F431" s="1">
        <v>3</v>
      </c>
      <c r="G431" s="1">
        <v>54123</v>
      </c>
      <c r="H431" s="1">
        <v>6</v>
      </c>
      <c r="I431" s="1">
        <v>50</v>
      </c>
      <c r="J431" s="1">
        <v>4</v>
      </c>
      <c r="K431" s="1">
        <v>97</v>
      </c>
      <c r="L431" s="1" t="s">
        <v>16</v>
      </c>
    </row>
    <row r="432" spans="1:12" x14ac:dyDescent="0.25">
      <c r="A432" s="1" t="s">
        <v>474</v>
      </c>
      <c r="B432" s="1" t="s">
        <v>70</v>
      </c>
      <c r="C432" s="1" t="s">
        <v>25</v>
      </c>
      <c r="D432" s="1">
        <v>39</v>
      </c>
      <c r="E432" s="1" t="s">
        <v>15</v>
      </c>
      <c r="F432" s="1">
        <v>1</v>
      </c>
      <c r="G432" s="1">
        <v>31389</v>
      </c>
      <c r="H432" s="1">
        <v>12</v>
      </c>
      <c r="I432" s="1">
        <v>50</v>
      </c>
      <c r="J432" s="1">
        <v>4</v>
      </c>
      <c r="K432" s="1">
        <v>99</v>
      </c>
      <c r="L432" s="1" t="s">
        <v>32</v>
      </c>
    </row>
    <row r="433" spans="1:12" x14ac:dyDescent="0.25">
      <c r="A433" s="1" t="s">
        <v>475</v>
      </c>
      <c r="B433" s="1" t="s">
        <v>21</v>
      </c>
      <c r="C433" s="1" t="s">
        <v>29</v>
      </c>
      <c r="D433" s="1">
        <v>35</v>
      </c>
      <c r="E433" s="1" t="s">
        <v>19</v>
      </c>
      <c r="F433" s="1">
        <v>6</v>
      </c>
      <c r="G433" s="1">
        <v>38949</v>
      </c>
      <c r="H433" s="1">
        <v>8</v>
      </c>
      <c r="I433" s="1">
        <v>39</v>
      </c>
      <c r="J433" s="1">
        <v>5</v>
      </c>
      <c r="K433" s="1">
        <v>99</v>
      </c>
      <c r="L433" s="1" t="s">
        <v>16</v>
      </c>
    </row>
    <row r="434" spans="1:12" x14ac:dyDescent="0.25">
      <c r="A434" s="1" t="s">
        <v>476</v>
      </c>
      <c r="B434" s="1" t="s">
        <v>13</v>
      </c>
      <c r="C434" s="1" t="s">
        <v>22</v>
      </c>
      <c r="D434" s="1">
        <v>35</v>
      </c>
      <c r="E434" s="1" t="s">
        <v>15</v>
      </c>
      <c r="F434" s="1">
        <v>12</v>
      </c>
      <c r="G434" s="1">
        <v>48783</v>
      </c>
      <c r="H434" s="1">
        <v>14</v>
      </c>
      <c r="I434" s="1">
        <v>40</v>
      </c>
      <c r="J434" s="1">
        <v>4</v>
      </c>
      <c r="K434" s="1">
        <v>88</v>
      </c>
      <c r="L434" s="1" t="s">
        <v>26</v>
      </c>
    </row>
    <row r="435" spans="1:12" x14ac:dyDescent="0.25">
      <c r="A435" s="1" t="s">
        <v>477</v>
      </c>
      <c r="B435" s="1" t="s">
        <v>36</v>
      </c>
      <c r="C435" s="1" t="s">
        <v>22</v>
      </c>
      <c r="D435" s="1">
        <v>24</v>
      </c>
      <c r="E435" s="1" t="s">
        <v>19</v>
      </c>
      <c r="F435" s="1">
        <v>11</v>
      </c>
      <c r="G435" s="1">
        <v>25991</v>
      </c>
      <c r="H435" s="1">
        <v>14</v>
      </c>
      <c r="I435" s="1">
        <v>49</v>
      </c>
      <c r="J435" s="1">
        <v>1</v>
      </c>
      <c r="K435" s="1">
        <v>86</v>
      </c>
      <c r="L435" s="1" t="s">
        <v>26</v>
      </c>
    </row>
    <row r="436" spans="1:12" x14ac:dyDescent="0.25">
      <c r="A436" s="1" t="s">
        <v>478</v>
      </c>
      <c r="B436" s="1" t="s">
        <v>28</v>
      </c>
      <c r="C436" s="1" t="s">
        <v>29</v>
      </c>
      <c r="D436" s="1">
        <v>25</v>
      </c>
      <c r="E436" s="1" t="s">
        <v>15</v>
      </c>
      <c r="F436" s="1">
        <v>7</v>
      </c>
      <c r="G436" s="1">
        <v>32586</v>
      </c>
      <c r="H436" s="1">
        <v>13</v>
      </c>
      <c r="I436" s="1">
        <v>48</v>
      </c>
      <c r="J436" s="1">
        <v>5</v>
      </c>
      <c r="K436" s="1">
        <v>96</v>
      </c>
      <c r="L436" s="1" t="s">
        <v>23</v>
      </c>
    </row>
    <row r="437" spans="1:12" x14ac:dyDescent="0.25">
      <c r="A437" s="1" t="s">
        <v>479</v>
      </c>
      <c r="B437" s="1" t="s">
        <v>13</v>
      </c>
      <c r="C437" s="1" t="s">
        <v>25</v>
      </c>
      <c r="D437" s="1">
        <v>38</v>
      </c>
      <c r="E437" s="1" t="s">
        <v>15</v>
      </c>
      <c r="F437" s="1">
        <v>2</v>
      </c>
      <c r="G437" s="1">
        <v>52688</v>
      </c>
      <c r="H437" s="1">
        <v>9</v>
      </c>
      <c r="I437" s="1">
        <v>44</v>
      </c>
      <c r="J437" s="1">
        <v>2</v>
      </c>
      <c r="K437" s="1">
        <v>89</v>
      </c>
      <c r="L437" s="1" t="s">
        <v>23</v>
      </c>
    </row>
    <row r="438" spans="1:12" x14ac:dyDescent="0.25">
      <c r="A438" s="1" t="s">
        <v>480</v>
      </c>
      <c r="B438" s="1" t="s">
        <v>63</v>
      </c>
      <c r="C438" s="1" t="s">
        <v>29</v>
      </c>
      <c r="D438" s="1">
        <v>33</v>
      </c>
      <c r="E438" s="1" t="s">
        <v>15</v>
      </c>
      <c r="F438" s="1">
        <v>13</v>
      </c>
      <c r="G438" s="1">
        <v>40258</v>
      </c>
      <c r="H438" s="1">
        <v>8</v>
      </c>
      <c r="I438" s="1">
        <v>47</v>
      </c>
      <c r="J438" s="1">
        <v>2</v>
      </c>
      <c r="K438" s="1">
        <v>86</v>
      </c>
      <c r="L438" s="1" t="s">
        <v>26</v>
      </c>
    </row>
    <row r="439" spans="1:12" x14ac:dyDescent="0.25">
      <c r="A439" s="1" t="s">
        <v>481</v>
      </c>
      <c r="B439" s="1" t="s">
        <v>89</v>
      </c>
      <c r="C439" s="1" t="s">
        <v>22</v>
      </c>
      <c r="D439" s="1">
        <v>22</v>
      </c>
      <c r="E439" s="1" t="s">
        <v>19</v>
      </c>
      <c r="F439" s="1">
        <v>15</v>
      </c>
      <c r="G439" s="1">
        <v>72494</v>
      </c>
      <c r="H439" s="1">
        <v>5</v>
      </c>
      <c r="I439" s="1">
        <v>45</v>
      </c>
      <c r="J439" s="1">
        <v>2</v>
      </c>
      <c r="K439" s="1">
        <v>96</v>
      </c>
      <c r="L439" s="1" t="s">
        <v>32</v>
      </c>
    </row>
    <row r="440" spans="1:12" x14ac:dyDescent="0.25">
      <c r="A440" s="1" t="s">
        <v>482</v>
      </c>
      <c r="B440" s="1" t="s">
        <v>53</v>
      </c>
      <c r="C440" s="1" t="s">
        <v>22</v>
      </c>
      <c r="D440" s="1">
        <v>25</v>
      </c>
      <c r="E440" s="1" t="s">
        <v>15</v>
      </c>
      <c r="F440" s="1">
        <v>7</v>
      </c>
      <c r="G440" s="1">
        <v>79600</v>
      </c>
      <c r="H440" s="1">
        <v>12</v>
      </c>
      <c r="I440" s="1">
        <v>42</v>
      </c>
      <c r="J440" s="1">
        <v>5</v>
      </c>
      <c r="K440" s="1">
        <v>91</v>
      </c>
      <c r="L440" s="1" t="s">
        <v>32</v>
      </c>
    </row>
    <row r="441" spans="1:12" x14ac:dyDescent="0.25">
      <c r="A441" s="1" t="s">
        <v>483</v>
      </c>
      <c r="B441" s="1" t="s">
        <v>18</v>
      </c>
      <c r="C441" s="1" t="s">
        <v>14</v>
      </c>
      <c r="D441" s="1">
        <v>32</v>
      </c>
      <c r="E441" s="1" t="s">
        <v>19</v>
      </c>
      <c r="F441" s="1">
        <v>6</v>
      </c>
      <c r="G441" s="1">
        <v>58694</v>
      </c>
      <c r="H441" s="1">
        <v>13</v>
      </c>
      <c r="I441" s="1">
        <v>48</v>
      </c>
      <c r="J441" s="1">
        <v>3</v>
      </c>
      <c r="K441" s="1">
        <v>98</v>
      </c>
      <c r="L441" s="1" t="s">
        <v>23</v>
      </c>
    </row>
    <row r="442" spans="1:12" x14ac:dyDescent="0.25">
      <c r="A442" s="1" t="s">
        <v>484</v>
      </c>
      <c r="B442" s="1" t="s">
        <v>18</v>
      </c>
      <c r="C442" s="1" t="s">
        <v>29</v>
      </c>
      <c r="D442" s="1">
        <v>38</v>
      </c>
      <c r="E442" s="1" t="s">
        <v>19</v>
      </c>
      <c r="F442" s="1">
        <v>9</v>
      </c>
      <c r="G442" s="1">
        <v>32912</v>
      </c>
      <c r="H442" s="1">
        <v>13</v>
      </c>
      <c r="I442" s="1">
        <v>44</v>
      </c>
      <c r="J442" s="1">
        <v>5</v>
      </c>
      <c r="K442" s="1">
        <v>90</v>
      </c>
      <c r="L442" s="1" t="s">
        <v>51</v>
      </c>
    </row>
    <row r="443" spans="1:12" x14ac:dyDescent="0.25">
      <c r="A443" s="1" t="s">
        <v>485</v>
      </c>
      <c r="B443" s="1" t="s">
        <v>43</v>
      </c>
      <c r="C443" s="1" t="s">
        <v>25</v>
      </c>
      <c r="D443" s="1">
        <v>39</v>
      </c>
      <c r="E443" s="1" t="s">
        <v>19</v>
      </c>
      <c r="F443" s="1">
        <v>7</v>
      </c>
      <c r="G443" s="1">
        <v>50193</v>
      </c>
      <c r="H443" s="1">
        <v>9</v>
      </c>
      <c r="I443" s="1">
        <v>43</v>
      </c>
      <c r="J443" s="1">
        <v>1</v>
      </c>
      <c r="K443" s="1">
        <v>96</v>
      </c>
      <c r="L443" s="1" t="s">
        <v>51</v>
      </c>
    </row>
    <row r="444" spans="1:12" x14ac:dyDescent="0.25">
      <c r="A444" s="1" t="s">
        <v>486</v>
      </c>
      <c r="B444" s="1" t="s">
        <v>43</v>
      </c>
      <c r="C444" s="1" t="s">
        <v>22</v>
      </c>
      <c r="D444" s="1">
        <v>30</v>
      </c>
      <c r="E444" s="1" t="s">
        <v>15</v>
      </c>
      <c r="F444" s="1">
        <v>11</v>
      </c>
      <c r="G444" s="1">
        <v>65189</v>
      </c>
      <c r="H444" s="1">
        <v>15</v>
      </c>
      <c r="I444" s="1">
        <v>50</v>
      </c>
      <c r="J444" s="1">
        <v>2</v>
      </c>
      <c r="K444" s="1">
        <v>86</v>
      </c>
      <c r="L444" s="1" t="s">
        <v>16</v>
      </c>
    </row>
    <row r="445" spans="1:12" x14ac:dyDescent="0.25">
      <c r="A445" s="1" t="s">
        <v>487</v>
      </c>
      <c r="B445" s="1" t="s">
        <v>70</v>
      </c>
      <c r="C445" s="1" t="s">
        <v>22</v>
      </c>
      <c r="D445" s="1">
        <v>34</v>
      </c>
      <c r="E445" s="1" t="s">
        <v>19</v>
      </c>
      <c r="F445" s="1">
        <v>14</v>
      </c>
      <c r="G445" s="1">
        <v>75484</v>
      </c>
      <c r="H445" s="1">
        <v>12</v>
      </c>
      <c r="I445" s="1">
        <v>40</v>
      </c>
      <c r="J445" s="1">
        <v>1</v>
      </c>
      <c r="K445" s="1">
        <v>86</v>
      </c>
      <c r="L445" s="1" t="s">
        <v>32</v>
      </c>
    </row>
    <row r="446" spans="1:12" x14ac:dyDescent="0.25">
      <c r="A446" s="1" t="s">
        <v>488</v>
      </c>
      <c r="B446" s="1" t="s">
        <v>94</v>
      </c>
      <c r="C446" s="1" t="s">
        <v>22</v>
      </c>
      <c r="D446" s="1">
        <v>25</v>
      </c>
      <c r="E446" s="1" t="s">
        <v>19</v>
      </c>
      <c r="F446" s="1">
        <v>3</v>
      </c>
      <c r="G446" s="1">
        <v>55469</v>
      </c>
      <c r="H446" s="1">
        <v>9</v>
      </c>
      <c r="I446" s="1">
        <v>37</v>
      </c>
      <c r="J446" s="1">
        <v>1</v>
      </c>
      <c r="K446" s="1">
        <v>85</v>
      </c>
      <c r="L446" s="1" t="s">
        <v>16</v>
      </c>
    </row>
    <row r="447" spans="1:12" x14ac:dyDescent="0.25">
      <c r="A447" s="1" t="s">
        <v>489</v>
      </c>
      <c r="B447" s="1" t="s">
        <v>18</v>
      </c>
      <c r="C447" s="1" t="s">
        <v>22</v>
      </c>
      <c r="D447" s="1">
        <v>36</v>
      </c>
      <c r="E447" s="1" t="s">
        <v>15</v>
      </c>
      <c r="F447" s="1">
        <v>14</v>
      </c>
      <c r="G447" s="1">
        <v>44631</v>
      </c>
      <c r="H447" s="1">
        <v>8</v>
      </c>
      <c r="I447" s="1">
        <v>35</v>
      </c>
      <c r="J447" s="1">
        <v>2</v>
      </c>
      <c r="K447" s="1">
        <v>87</v>
      </c>
      <c r="L447" s="1" t="s">
        <v>51</v>
      </c>
    </row>
    <row r="448" spans="1:12" x14ac:dyDescent="0.25">
      <c r="A448" s="1" t="s">
        <v>490</v>
      </c>
      <c r="B448" s="1" t="s">
        <v>13</v>
      </c>
      <c r="C448" s="1" t="s">
        <v>22</v>
      </c>
      <c r="D448" s="1">
        <v>34</v>
      </c>
      <c r="E448" s="1" t="s">
        <v>15</v>
      </c>
      <c r="F448" s="1">
        <v>3</v>
      </c>
      <c r="G448" s="1">
        <v>67031</v>
      </c>
      <c r="H448" s="1">
        <v>12</v>
      </c>
      <c r="I448" s="1">
        <v>38</v>
      </c>
      <c r="J448" s="1">
        <v>1</v>
      </c>
      <c r="K448" s="1">
        <v>99</v>
      </c>
      <c r="L448" s="1" t="s">
        <v>32</v>
      </c>
    </row>
    <row r="449" spans="1:12" x14ac:dyDescent="0.25">
      <c r="A449" s="1" t="s">
        <v>491</v>
      </c>
      <c r="B449" s="1" t="s">
        <v>63</v>
      </c>
      <c r="C449" s="1" t="s">
        <v>14</v>
      </c>
      <c r="D449" s="1">
        <v>30</v>
      </c>
      <c r="E449" s="1" t="s">
        <v>15</v>
      </c>
      <c r="F449" s="1">
        <v>12</v>
      </c>
      <c r="G449" s="1">
        <v>29477</v>
      </c>
      <c r="H449" s="1">
        <v>4</v>
      </c>
      <c r="I449" s="1">
        <v>43</v>
      </c>
      <c r="J449" s="1">
        <v>4</v>
      </c>
      <c r="K449" s="1">
        <v>94</v>
      </c>
      <c r="L449" s="1" t="s">
        <v>23</v>
      </c>
    </row>
    <row r="450" spans="1:12" x14ac:dyDescent="0.25">
      <c r="A450" s="1" t="s">
        <v>492</v>
      </c>
      <c r="B450" s="1" t="s">
        <v>40</v>
      </c>
      <c r="C450" s="1" t="s">
        <v>14</v>
      </c>
      <c r="D450" s="1">
        <v>26</v>
      </c>
      <c r="E450" s="1" t="s">
        <v>19</v>
      </c>
      <c r="F450" s="1">
        <v>7</v>
      </c>
      <c r="G450" s="1">
        <v>29325</v>
      </c>
      <c r="H450" s="1">
        <v>4</v>
      </c>
      <c r="I450" s="1">
        <v>48</v>
      </c>
      <c r="J450" s="1">
        <v>5</v>
      </c>
      <c r="K450" s="1">
        <v>85</v>
      </c>
      <c r="L450" s="1" t="s">
        <v>32</v>
      </c>
    </row>
    <row r="451" spans="1:12" x14ac:dyDescent="0.25">
      <c r="A451" s="1" t="s">
        <v>493</v>
      </c>
      <c r="B451" s="1" t="s">
        <v>65</v>
      </c>
      <c r="C451" s="1" t="s">
        <v>14</v>
      </c>
      <c r="D451" s="1">
        <v>24</v>
      </c>
      <c r="E451" s="1" t="s">
        <v>15</v>
      </c>
      <c r="F451" s="1">
        <v>5</v>
      </c>
      <c r="G451" s="1">
        <v>36879</v>
      </c>
      <c r="H451" s="1">
        <v>15</v>
      </c>
      <c r="I451" s="1">
        <v>40</v>
      </c>
      <c r="J451" s="1">
        <v>2</v>
      </c>
      <c r="K451" s="1">
        <v>87</v>
      </c>
      <c r="L451" s="1" t="s">
        <v>51</v>
      </c>
    </row>
    <row r="452" spans="1:12" x14ac:dyDescent="0.25">
      <c r="A452" s="1" t="s">
        <v>494</v>
      </c>
      <c r="B452" s="1" t="s">
        <v>31</v>
      </c>
      <c r="C452" s="1" t="s">
        <v>22</v>
      </c>
      <c r="D452" s="1">
        <v>34</v>
      </c>
      <c r="E452" s="1" t="s">
        <v>15</v>
      </c>
      <c r="F452" s="1">
        <v>13</v>
      </c>
      <c r="G452" s="1">
        <v>63016</v>
      </c>
      <c r="H452" s="1">
        <v>13</v>
      </c>
      <c r="I452" s="1">
        <v>46</v>
      </c>
      <c r="J452" s="1">
        <v>4</v>
      </c>
      <c r="K452" s="1">
        <v>93</v>
      </c>
      <c r="L452" s="1" t="s">
        <v>26</v>
      </c>
    </row>
    <row r="453" spans="1:12" x14ac:dyDescent="0.25">
      <c r="A453" s="1" t="s">
        <v>495</v>
      </c>
      <c r="B453" s="1" t="s">
        <v>53</v>
      </c>
      <c r="C453" s="1" t="s">
        <v>25</v>
      </c>
      <c r="D453" s="1">
        <v>32</v>
      </c>
      <c r="E453" s="1" t="s">
        <v>15</v>
      </c>
      <c r="F453" s="1">
        <v>3</v>
      </c>
      <c r="G453" s="1">
        <v>78971</v>
      </c>
      <c r="H453" s="1">
        <v>5</v>
      </c>
      <c r="I453" s="1">
        <v>40</v>
      </c>
      <c r="J453" s="1">
        <v>3</v>
      </c>
      <c r="K453" s="1">
        <v>96</v>
      </c>
      <c r="L453" s="1" t="s">
        <v>23</v>
      </c>
    </row>
    <row r="454" spans="1:12" x14ac:dyDescent="0.25">
      <c r="A454" s="1" t="s">
        <v>496</v>
      </c>
      <c r="B454" s="1" t="s">
        <v>77</v>
      </c>
      <c r="C454" s="1" t="s">
        <v>25</v>
      </c>
      <c r="D454" s="1">
        <v>30</v>
      </c>
      <c r="E454" s="1" t="s">
        <v>15</v>
      </c>
      <c r="F454" s="1">
        <v>4</v>
      </c>
      <c r="G454" s="1">
        <v>28161</v>
      </c>
      <c r="H454" s="1">
        <v>5</v>
      </c>
      <c r="I454" s="1">
        <v>38</v>
      </c>
      <c r="J454" s="1">
        <v>5</v>
      </c>
      <c r="K454" s="1">
        <v>89</v>
      </c>
      <c r="L454" s="1" t="s">
        <v>16</v>
      </c>
    </row>
    <row r="455" spans="1:12" x14ac:dyDescent="0.25">
      <c r="A455" s="1" t="s">
        <v>497</v>
      </c>
      <c r="B455" s="1" t="s">
        <v>34</v>
      </c>
      <c r="C455" s="1" t="s">
        <v>25</v>
      </c>
      <c r="D455" s="1">
        <v>33</v>
      </c>
      <c r="E455" s="1" t="s">
        <v>15</v>
      </c>
      <c r="F455" s="1">
        <v>9</v>
      </c>
      <c r="G455" s="1">
        <v>60842</v>
      </c>
      <c r="H455" s="1">
        <v>5</v>
      </c>
      <c r="I455" s="1">
        <v>36</v>
      </c>
      <c r="J455" s="1">
        <v>2</v>
      </c>
      <c r="K455" s="1">
        <v>87</v>
      </c>
      <c r="L455" s="1" t="s">
        <v>32</v>
      </c>
    </row>
    <row r="456" spans="1:12" x14ac:dyDescent="0.25">
      <c r="A456" s="1" t="s">
        <v>498</v>
      </c>
      <c r="B456" s="1" t="s">
        <v>94</v>
      </c>
      <c r="C456" s="1" t="s">
        <v>22</v>
      </c>
      <c r="D456" s="1">
        <v>39</v>
      </c>
      <c r="E456" s="1" t="s">
        <v>15</v>
      </c>
      <c r="F456" s="1">
        <v>3</v>
      </c>
      <c r="G456" s="1">
        <v>51327</v>
      </c>
      <c r="H456" s="1">
        <v>3</v>
      </c>
      <c r="I456" s="1">
        <v>35</v>
      </c>
      <c r="J456" s="1">
        <v>3</v>
      </c>
      <c r="K456" s="1">
        <v>97</v>
      </c>
      <c r="L456" s="1" t="s">
        <v>16</v>
      </c>
    </row>
    <row r="457" spans="1:12" x14ac:dyDescent="0.25">
      <c r="A457" s="1" t="s">
        <v>499</v>
      </c>
      <c r="B457" s="1" t="s">
        <v>63</v>
      </c>
      <c r="C457" s="1" t="s">
        <v>25</v>
      </c>
      <c r="D457" s="1">
        <v>36</v>
      </c>
      <c r="E457" s="1" t="s">
        <v>15</v>
      </c>
      <c r="F457" s="1">
        <v>6</v>
      </c>
      <c r="G457" s="1">
        <v>62694</v>
      </c>
      <c r="H457" s="1">
        <v>7</v>
      </c>
      <c r="I457" s="1">
        <v>39</v>
      </c>
      <c r="J457" s="1">
        <v>2</v>
      </c>
      <c r="K457" s="1">
        <v>93</v>
      </c>
      <c r="L457" s="1" t="s">
        <v>26</v>
      </c>
    </row>
    <row r="458" spans="1:12" x14ac:dyDescent="0.25">
      <c r="A458" s="1" t="s">
        <v>500</v>
      </c>
      <c r="B458" s="1" t="s">
        <v>65</v>
      </c>
      <c r="C458" s="1" t="s">
        <v>22</v>
      </c>
      <c r="D458" s="1">
        <v>32</v>
      </c>
      <c r="E458" s="1" t="s">
        <v>19</v>
      </c>
      <c r="F458" s="1">
        <v>8</v>
      </c>
      <c r="G458" s="1">
        <v>62704</v>
      </c>
      <c r="H458" s="1">
        <v>10</v>
      </c>
      <c r="I458" s="1">
        <v>45</v>
      </c>
      <c r="J458" s="1">
        <v>3</v>
      </c>
      <c r="K458" s="1">
        <v>85</v>
      </c>
      <c r="L458" s="1" t="s">
        <v>32</v>
      </c>
    </row>
    <row r="459" spans="1:12" x14ac:dyDescent="0.25">
      <c r="A459" s="1" t="s">
        <v>501</v>
      </c>
      <c r="B459" s="1" t="s">
        <v>31</v>
      </c>
      <c r="C459" s="1" t="s">
        <v>22</v>
      </c>
      <c r="D459" s="1">
        <v>38</v>
      </c>
      <c r="E459" s="1" t="s">
        <v>15</v>
      </c>
      <c r="F459" s="1">
        <v>13</v>
      </c>
      <c r="G459" s="1">
        <v>47053</v>
      </c>
      <c r="H459" s="1">
        <v>7</v>
      </c>
      <c r="I459" s="1">
        <v>49</v>
      </c>
      <c r="J459" s="1">
        <v>1</v>
      </c>
      <c r="K459" s="1">
        <v>96</v>
      </c>
      <c r="L459" s="1" t="s">
        <v>37</v>
      </c>
    </row>
    <row r="460" spans="1:12" x14ac:dyDescent="0.25">
      <c r="A460" s="1" t="s">
        <v>502</v>
      </c>
      <c r="B460" s="1" t="s">
        <v>18</v>
      </c>
      <c r="C460" s="1" t="s">
        <v>22</v>
      </c>
      <c r="D460" s="1">
        <v>40</v>
      </c>
      <c r="E460" s="1" t="s">
        <v>15</v>
      </c>
      <c r="F460" s="1">
        <v>3</v>
      </c>
      <c r="G460" s="1">
        <v>71868</v>
      </c>
      <c r="H460" s="1">
        <v>5</v>
      </c>
      <c r="I460" s="1">
        <v>41</v>
      </c>
      <c r="J460" s="1">
        <v>2</v>
      </c>
      <c r="K460" s="1">
        <v>88</v>
      </c>
      <c r="L460" s="1" t="s">
        <v>32</v>
      </c>
    </row>
    <row r="461" spans="1:12" x14ac:dyDescent="0.25">
      <c r="A461" s="1" t="s">
        <v>503</v>
      </c>
      <c r="B461" s="1" t="s">
        <v>75</v>
      </c>
      <c r="C461" s="1" t="s">
        <v>14</v>
      </c>
      <c r="D461" s="1">
        <v>24</v>
      </c>
      <c r="E461" s="1" t="s">
        <v>15</v>
      </c>
      <c r="F461" s="1">
        <v>11</v>
      </c>
      <c r="G461" s="1">
        <v>32583</v>
      </c>
      <c r="H461" s="1">
        <v>13</v>
      </c>
      <c r="I461" s="1">
        <v>48</v>
      </c>
      <c r="J461" s="1">
        <v>5</v>
      </c>
      <c r="K461" s="1">
        <v>85</v>
      </c>
      <c r="L461" s="1" t="s">
        <v>32</v>
      </c>
    </row>
    <row r="462" spans="1:12" x14ac:dyDescent="0.25">
      <c r="A462" s="1" t="s">
        <v>504</v>
      </c>
      <c r="B462" s="1" t="s">
        <v>53</v>
      </c>
      <c r="C462" s="1" t="s">
        <v>22</v>
      </c>
      <c r="D462" s="1">
        <v>23</v>
      </c>
      <c r="E462" s="1" t="s">
        <v>19</v>
      </c>
      <c r="F462" s="1">
        <v>8</v>
      </c>
      <c r="G462" s="1">
        <v>61982</v>
      </c>
      <c r="H462" s="1">
        <v>3</v>
      </c>
      <c r="I462" s="1">
        <v>42</v>
      </c>
      <c r="J462" s="1">
        <v>1</v>
      </c>
      <c r="K462" s="1">
        <v>85</v>
      </c>
      <c r="L462" s="1" t="s">
        <v>32</v>
      </c>
    </row>
    <row r="463" spans="1:12" x14ac:dyDescent="0.25">
      <c r="A463" s="1" t="s">
        <v>505</v>
      </c>
      <c r="B463" s="1" t="s">
        <v>43</v>
      </c>
      <c r="C463" s="1" t="s">
        <v>29</v>
      </c>
      <c r="D463" s="1">
        <v>34</v>
      </c>
      <c r="E463" s="1" t="s">
        <v>15</v>
      </c>
      <c r="F463" s="1">
        <v>3</v>
      </c>
      <c r="G463" s="1">
        <v>48449</v>
      </c>
      <c r="H463" s="1">
        <v>6</v>
      </c>
      <c r="I463" s="1">
        <v>50</v>
      </c>
      <c r="J463" s="1">
        <v>1</v>
      </c>
      <c r="K463" s="1">
        <v>95</v>
      </c>
      <c r="L463" s="1" t="s">
        <v>32</v>
      </c>
    </row>
    <row r="464" spans="1:12" x14ac:dyDescent="0.25">
      <c r="A464" s="1" t="s">
        <v>506</v>
      </c>
      <c r="B464" s="1" t="s">
        <v>21</v>
      </c>
      <c r="C464" s="1" t="s">
        <v>22</v>
      </c>
      <c r="D464" s="1">
        <v>26</v>
      </c>
      <c r="E464" s="1" t="s">
        <v>19</v>
      </c>
      <c r="F464" s="1">
        <v>5</v>
      </c>
      <c r="G464" s="1">
        <v>56972</v>
      </c>
      <c r="H464" s="1">
        <v>13</v>
      </c>
      <c r="I464" s="1">
        <v>50</v>
      </c>
      <c r="J464" s="1">
        <v>2</v>
      </c>
      <c r="K464" s="1">
        <v>89</v>
      </c>
      <c r="L464" s="1" t="s">
        <v>16</v>
      </c>
    </row>
    <row r="465" spans="1:12" x14ac:dyDescent="0.25">
      <c r="A465" s="1" t="s">
        <v>507</v>
      </c>
      <c r="B465" s="1" t="s">
        <v>75</v>
      </c>
      <c r="C465" s="1" t="s">
        <v>14</v>
      </c>
      <c r="D465" s="1">
        <v>28</v>
      </c>
      <c r="E465" s="1" t="s">
        <v>19</v>
      </c>
      <c r="F465" s="1">
        <v>15</v>
      </c>
      <c r="G465" s="1">
        <v>52074</v>
      </c>
      <c r="H465" s="1">
        <v>6</v>
      </c>
      <c r="I465" s="1">
        <v>46</v>
      </c>
      <c r="J465" s="1">
        <v>4</v>
      </c>
      <c r="K465" s="1">
        <v>87</v>
      </c>
      <c r="L465" s="1" t="s">
        <v>51</v>
      </c>
    </row>
    <row r="466" spans="1:12" x14ac:dyDescent="0.25">
      <c r="A466" s="1" t="s">
        <v>508</v>
      </c>
      <c r="B466" s="1" t="s">
        <v>43</v>
      </c>
      <c r="C466" s="1" t="s">
        <v>22</v>
      </c>
      <c r="D466" s="1">
        <v>39</v>
      </c>
      <c r="E466" s="1" t="s">
        <v>19</v>
      </c>
      <c r="F466" s="1">
        <v>15</v>
      </c>
      <c r="G466" s="1">
        <v>51488</v>
      </c>
      <c r="H466" s="1">
        <v>9</v>
      </c>
      <c r="I466" s="1">
        <v>40</v>
      </c>
      <c r="J466" s="1">
        <v>1</v>
      </c>
      <c r="K466" s="1">
        <v>88</v>
      </c>
      <c r="L466" s="1" t="s">
        <v>32</v>
      </c>
    </row>
    <row r="467" spans="1:12" x14ac:dyDescent="0.25">
      <c r="A467" s="1" t="s">
        <v>509</v>
      </c>
      <c r="B467" s="1" t="s">
        <v>13</v>
      </c>
      <c r="C467" s="1" t="s">
        <v>14</v>
      </c>
      <c r="D467" s="1">
        <v>37</v>
      </c>
      <c r="E467" s="1" t="s">
        <v>15</v>
      </c>
      <c r="F467" s="1">
        <v>10</v>
      </c>
      <c r="G467" s="1">
        <v>56540</v>
      </c>
      <c r="H467" s="1">
        <v>5</v>
      </c>
      <c r="I467" s="1">
        <v>43</v>
      </c>
      <c r="J467" s="1">
        <v>3</v>
      </c>
      <c r="K467" s="1">
        <v>86</v>
      </c>
      <c r="L467" s="1" t="s">
        <v>26</v>
      </c>
    </row>
    <row r="468" spans="1:12" x14ac:dyDescent="0.25">
      <c r="A468" s="1" t="s">
        <v>510</v>
      </c>
      <c r="B468" s="1" t="s">
        <v>31</v>
      </c>
      <c r="C468" s="1" t="s">
        <v>25</v>
      </c>
      <c r="D468" s="1">
        <v>24</v>
      </c>
      <c r="E468" s="1" t="s">
        <v>19</v>
      </c>
      <c r="F468" s="1">
        <v>14</v>
      </c>
      <c r="G468" s="1">
        <v>39097</v>
      </c>
      <c r="H468" s="1">
        <v>7</v>
      </c>
      <c r="I468" s="1">
        <v>47</v>
      </c>
      <c r="J468" s="1">
        <v>4</v>
      </c>
      <c r="K468" s="1">
        <v>87</v>
      </c>
      <c r="L468" s="1" t="s">
        <v>51</v>
      </c>
    </row>
    <row r="469" spans="1:12" x14ac:dyDescent="0.25">
      <c r="A469" s="1" t="s">
        <v>511</v>
      </c>
      <c r="B469" s="1" t="s">
        <v>89</v>
      </c>
      <c r="C469" s="1" t="s">
        <v>25</v>
      </c>
      <c r="D469" s="1">
        <v>38</v>
      </c>
      <c r="E469" s="1" t="s">
        <v>19</v>
      </c>
      <c r="F469" s="1">
        <v>6</v>
      </c>
      <c r="G469" s="1">
        <v>42305</v>
      </c>
      <c r="H469" s="1">
        <v>5</v>
      </c>
      <c r="I469" s="1">
        <v>42</v>
      </c>
      <c r="J469" s="1">
        <v>1</v>
      </c>
      <c r="K469" s="1">
        <v>96</v>
      </c>
      <c r="L469" s="1" t="s">
        <v>26</v>
      </c>
    </row>
    <row r="470" spans="1:12" x14ac:dyDescent="0.25">
      <c r="A470" s="1" t="s">
        <v>512</v>
      </c>
      <c r="B470" s="1" t="s">
        <v>13</v>
      </c>
      <c r="C470" s="1" t="s">
        <v>29</v>
      </c>
      <c r="D470" s="1">
        <v>26</v>
      </c>
      <c r="E470" s="1" t="s">
        <v>19</v>
      </c>
      <c r="F470" s="1">
        <v>6</v>
      </c>
      <c r="G470" s="1">
        <v>66767</v>
      </c>
      <c r="H470" s="1">
        <v>7</v>
      </c>
      <c r="I470" s="1">
        <v>45</v>
      </c>
      <c r="J470" s="1">
        <v>3</v>
      </c>
      <c r="K470" s="1">
        <v>85</v>
      </c>
      <c r="L470" s="1" t="s">
        <v>51</v>
      </c>
    </row>
    <row r="471" spans="1:12" x14ac:dyDescent="0.25">
      <c r="A471" s="1" t="s">
        <v>513</v>
      </c>
      <c r="B471" s="1" t="s">
        <v>45</v>
      </c>
      <c r="C471" s="1" t="s">
        <v>22</v>
      </c>
      <c r="D471" s="1">
        <v>39</v>
      </c>
      <c r="E471" s="1" t="s">
        <v>15</v>
      </c>
      <c r="F471" s="1">
        <v>7</v>
      </c>
      <c r="G471" s="1">
        <v>68953</v>
      </c>
      <c r="H471" s="1">
        <v>7</v>
      </c>
      <c r="I471" s="1">
        <v>44</v>
      </c>
      <c r="J471" s="1">
        <v>3</v>
      </c>
      <c r="K471" s="1">
        <v>97</v>
      </c>
      <c r="L471" s="1" t="s">
        <v>51</v>
      </c>
    </row>
    <row r="472" spans="1:12" x14ac:dyDescent="0.25">
      <c r="A472" s="1" t="s">
        <v>514</v>
      </c>
      <c r="B472" s="1" t="s">
        <v>65</v>
      </c>
      <c r="C472" s="1" t="s">
        <v>14</v>
      </c>
      <c r="D472" s="1">
        <v>28</v>
      </c>
      <c r="E472" s="1" t="s">
        <v>19</v>
      </c>
      <c r="F472" s="1">
        <v>3</v>
      </c>
      <c r="G472" s="1">
        <v>28485</v>
      </c>
      <c r="H472" s="1">
        <v>3</v>
      </c>
      <c r="I472" s="1">
        <v>36</v>
      </c>
      <c r="J472" s="1">
        <v>4</v>
      </c>
      <c r="K472" s="1">
        <v>91</v>
      </c>
      <c r="L472" s="1" t="s">
        <v>16</v>
      </c>
    </row>
    <row r="473" spans="1:12" x14ac:dyDescent="0.25">
      <c r="A473" s="1" t="s">
        <v>515</v>
      </c>
      <c r="B473" s="1" t="s">
        <v>89</v>
      </c>
      <c r="C473" s="1" t="s">
        <v>29</v>
      </c>
      <c r="D473" s="1">
        <v>28</v>
      </c>
      <c r="E473" s="1" t="s">
        <v>15</v>
      </c>
      <c r="F473" s="1">
        <v>11</v>
      </c>
      <c r="G473" s="1">
        <v>28417</v>
      </c>
      <c r="H473" s="1">
        <v>7</v>
      </c>
      <c r="I473" s="1">
        <v>48</v>
      </c>
      <c r="J473" s="1">
        <v>2</v>
      </c>
      <c r="K473" s="1">
        <v>91</v>
      </c>
      <c r="L473" s="1" t="s">
        <v>23</v>
      </c>
    </row>
    <row r="474" spans="1:12" x14ac:dyDescent="0.25">
      <c r="A474" s="1" t="s">
        <v>516</v>
      </c>
      <c r="B474" s="1" t="s">
        <v>89</v>
      </c>
      <c r="C474" s="1" t="s">
        <v>14</v>
      </c>
      <c r="D474" s="1">
        <v>28</v>
      </c>
      <c r="E474" s="1" t="s">
        <v>15</v>
      </c>
      <c r="F474" s="1">
        <v>3</v>
      </c>
      <c r="G474" s="1">
        <v>28307</v>
      </c>
      <c r="H474" s="1">
        <v>8</v>
      </c>
      <c r="I474" s="1">
        <v>46</v>
      </c>
      <c r="J474" s="1">
        <v>3</v>
      </c>
      <c r="K474" s="1">
        <v>91</v>
      </c>
      <c r="L474" s="1" t="s">
        <v>23</v>
      </c>
    </row>
    <row r="475" spans="1:12" x14ac:dyDescent="0.25">
      <c r="A475" s="1" t="s">
        <v>517</v>
      </c>
      <c r="B475" s="1" t="s">
        <v>77</v>
      </c>
      <c r="C475" s="1" t="s">
        <v>14</v>
      </c>
      <c r="D475" s="1">
        <v>37</v>
      </c>
      <c r="E475" s="1" t="s">
        <v>15</v>
      </c>
      <c r="F475" s="1">
        <v>4</v>
      </c>
      <c r="G475" s="1">
        <v>39334</v>
      </c>
      <c r="H475" s="1">
        <v>13</v>
      </c>
      <c r="I475" s="1">
        <v>49</v>
      </c>
      <c r="J475" s="1">
        <v>5</v>
      </c>
      <c r="K475" s="1">
        <v>93</v>
      </c>
      <c r="L475" s="1" t="s">
        <v>26</v>
      </c>
    </row>
    <row r="476" spans="1:12" x14ac:dyDescent="0.25">
      <c r="A476" s="1" t="s">
        <v>518</v>
      </c>
      <c r="B476" s="1" t="s">
        <v>34</v>
      </c>
      <c r="C476" s="1" t="s">
        <v>14</v>
      </c>
      <c r="D476" s="1">
        <v>31</v>
      </c>
      <c r="E476" s="1" t="s">
        <v>15</v>
      </c>
      <c r="F476" s="1">
        <v>15</v>
      </c>
      <c r="G476" s="1">
        <v>65275</v>
      </c>
      <c r="H476" s="1">
        <v>14</v>
      </c>
      <c r="I476" s="1">
        <v>43</v>
      </c>
      <c r="J476" s="1">
        <v>4</v>
      </c>
      <c r="K476" s="1">
        <v>97</v>
      </c>
      <c r="L476" s="1" t="s">
        <v>26</v>
      </c>
    </row>
    <row r="477" spans="1:12" x14ac:dyDescent="0.25">
      <c r="A477" s="1" t="s">
        <v>519</v>
      </c>
      <c r="B477" s="1" t="s">
        <v>63</v>
      </c>
      <c r="C477" s="1" t="s">
        <v>29</v>
      </c>
      <c r="D477" s="1">
        <v>31</v>
      </c>
      <c r="E477" s="1" t="s">
        <v>19</v>
      </c>
      <c r="F477" s="1">
        <v>10</v>
      </c>
      <c r="G477" s="1">
        <v>50363</v>
      </c>
      <c r="H477" s="1">
        <v>15</v>
      </c>
      <c r="I477" s="1">
        <v>49</v>
      </c>
      <c r="J477" s="1">
        <v>3</v>
      </c>
      <c r="K477" s="1">
        <v>99</v>
      </c>
      <c r="L477" s="1" t="s">
        <v>37</v>
      </c>
    </row>
    <row r="478" spans="1:12" x14ac:dyDescent="0.25">
      <c r="A478" s="1" t="s">
        <v>520</v>
      </c>
      <c r="B478" s="1" t="s">
        <v>36</v>
      </c>
      <c r="C478" s="1" t="s">
        <v>22</v>
      </c>
      <c r="D478" s="1">
        <v>30</v>
      </c>
      <c r="E478" s="1" t="s">
        <v>19</v>
      </c>
      <c r="F478" s="1">
        <v>6</v>
      </c>
      <c r="G478" s="1">
        <v>52334</v>
      </c>
      <c r="H478" s="1">
        <v>4</v>
      </c>
      <c r="I478" s="1">
        <v>36</v>
      </c>
      <c r="J478" s="1">
        <v>3</v>
      </c>
      <c r="K478" s="1">
        <v>88</v>
      </c>
      <c r="L478" s="1" t="s">
        <v>51</v>
      </c>
    </row>
    <row r="479" spans="1:12" x14ac:dyDescent="0.25">
      <c r="A479" s="1" t="s">
        <v>521</v>
      </c>
      <c r="B479" s="1" t="s">
        <v>36</v>
      </c>
      <c r="C479" s="1" t="s">
        <v>22</v>
      </c>
      <c r="D479" s="1">
        <v>30</v>
      </c>
      <c r="E479" s="1" t="s">
        <v>15</v>
      </c>
      <c r="F479" s="1">
        <v>8</v>
      </c>
      <c r="G479" s="1">
        <v>54721</v>
      </c>
      <c r="H479" s="1">
        <v>5</v>
      </c>
      <c r="I479" s="1">
        <v>35</v>
      </c>
      <c r="J479" s="1">
        <v>1</v>
      </c>
      <c r="K479" s="1">
        <v>89</v>
      </c>
      <c r="L479" s="1" t="s">
        <v>51</v>
      </c>
    </row>
    <row r="480" spans="1:12" x14ac:dyDescent="0.25">
      <c r="A480" s="1" t="s">
        <v>522</v>
      </c>
      <c r="B480" s="1" t="s">
        <v>89</v>
      </c>
      <c r="C480" s="1" t="s">
        <v>14</v>
      </c>
      <c r="D480" s="1">
        <v>40</v>
      </c>
      <c r="E480" s="1" t="s">
        <v>15</v>
      </c>
      <c r="F480" s="1">
        <v>5</v>
      </c>
      <c r="G480" s="1">
        <v>38462</v>
      </c>
      <c r="H480" s="1">
        <v>9</v>
      </c>
      <c r="I480" s="1">
        <v>41</v>
      </c>
      <c r="J480" s="1">
        <v>5</v>
      </c>
      <c r="K480" s="1">
        <v>98</v>
      </c>
      <c r="L480" s="1" t="s">
        <v>26</v>
      </c>
    </row>
    <row r="481" spans="1:12" x14ac:dyDescent="0.25">
      <c r="A481" s="1" t="s">
        <v>523</v>
      </c>
      <c r="B481" s="1" t="s">
        <v>94</v>
      </c>
      <c r="C481" s="1" t="s">
        <v>29</v>
      </c>
      <c r="D481" s="1">
        <v>34</v>
      </c>
      <c r="E481" s="1" t="s">
        <v>15</v>
      </c>
      <c r="F481" s="1">
        <v>11</v>
      </c>
      <c r="G481" s="1">
        <v>29748</v>
      </c>
      <c r="H481" s="1">
        <v>15</v>
      </c>
      <c r="I481" s="1">
        <v>41</v>
      </c>
      <c r="J481" s="1">
        <v>4</v>
      </c>
      <c r="K481" s="1">
        <v>98</v>
      </c>
      <c r="L481" s="1" t="s">
        <v>32</v>
      </c>
    </row>
    <row r="482" spans="1:12" x14ac:dyDescent="0.25">
      <c r="A482" s="1" t="s">
        <v>524</v>
      </c>
      <c r="B482" s="1" t="s">
        <v>36</v>
      </c>
      <c r="C482" s="1" t="s">
        <v>25</v>
      </c>
      <c r="D482" s="1">
        <v>25</v>
      </c>
      <c r="E482" s="1" t="s">
        <v>15</v>
      </c>
      <c r="F482" s="1">
        <v>5</v>
      </c>
      <c r="G482" s="1">
        <v>78987</v>
      </c>
      <c r="H482" s="1">
        <v>14</v>
      </c>
      <c r="I482" s="1">
        <v>49</v>
      </c>
      <c r="J482" s="1">
        <v>1</v>
      </c>
      <c r="K482" s="1">
        <v>99</v>
      </c>
      <c r="L482" s="1" t="s">
        <v>32</v>
      </c>
    </row>
    <row r="483" spans="1:12" x14ac:dyDescent="0.25">
      <c r="A483" s="1" t="s">
        <v>525</v>
      </c>
      <c r="B483" s="1" t="s">
        <v>28</v>
      </c>
      <c r="C483" s="1" t="s">
        <v>22</v>
      </c>
      <c r="D483" s="1">
        <v>38</v>
      </c>
      <c r="E483" s="1" t="s">
        <v>19</v>
      </c>
      <c r="F483" s="1">
        <v>12</v>
      </c>
      <c r="G483" s="1">
        <v>66323</v>
      </c>
      <c r="H483" s="1">
        <v>3</v>
      </c>
      <c r="I483" s="1">
        <v>39</v>
      </c>
      <c r="J483" s="1">
        <v>3</v>
      </c>
      <c r="K483" s="1">
        <v>98</v>
      </c>
      <c r="L483" s="1" t="s">
        <v>32</v>
      </c>
    </row>
    <row r="484" spans="1:12" x14ac:dyDescent="0.25">
      <c r="A484" s="1" t="s">
        <v>526</v>
      </c>
      <c r="B484" s="1" t="s">
        <v>53</v>
      </c>
      <c r="C484" s="1" t="s">
        <v>22</v>
      </c>
      <c r="D484" s="1">
        <v>32</v>
      </c>
      <c r="E484" s="1" t="s">
        <v>19</v>
      </c>
      <c r="F484" s="1">
        <v>9</v>
      </c>
      <c r="G484" s="1">
        <v>28455</v>
      </c>
      <c r="H484" s="1">
        <v>14</v>
      </c>
      <c r="I484" s="1">
        <v>39</v>
      </c>
      <c r="J484" s="1">
        <v>2</v>
      </c>
      <c r="K484" s="1">
        <v>95</v>
      </c>
      <c r="L484" s="1" t="s">
        <v>16</v>
      </c>
    </row>
    <row r="485" spans="1:12" x14ac:dyDescent="0.25">
      <c r="A485" s="1" t="s">
        <v>527</v>
      </c>
      <c r="B485" s="1" t="s">
        <v>89</v>
      </c>
      <c r="C485" s="1" t="s">
        <v>14</v>
      </c>
      <c r="D485" s="1">
        <v>24</v>
      </c>
      <c r="E485" s="1" t="s">
        <v>15</v>
      </c>
      <c r="F485" s="1">
        <v>14</v>
      </c>
      <c r="G485" s="1">
        <v>48017</v>
      </c>
      <c r="H485" s="1">
        <v>13</v>
      </c>
      <c r="I485" s="1">
        <v>36</v>
      </c>
      <c r="J485" s="1">
        <v>3</v>
      </c>
      <c r="K485" s="1">
        <v>87</v>
      </c>
      <c r="L485" s="1" t="s">
        <v>37</v>
      </c>
    </row>
    <row r="486" spans="1:12" x14ac:dyDescent="0.25">
      <c r="A486" s="1" t="s">
        <v>528</v>
      </c>
      <c r="B486" s="1" t="s">
        <v>65</v>
      </c>
      <c r="C486" s="1" t="s">
        <v>25</v>
      </c>
      <c r="D486" s="1">
        <v>36</v>
      </c>
      <c r="E486" s="1" t="s">
        <v>15</v>
      </c>
      <c r="F486" s="1">
        <v>11</v>
      </c>
      <c r="G486" s="1">
        <v>42023</v>
      </c>
      <c r="H486" s="1">
        <v>12</v>
      </c>
      <c r="I486" s="1">
        <v>40</v>
      </c>
      <c r="J486" s="1">
        <v>2</v>
      </c>
      <c r="K486" s="1">
        <v>98</v>
      </c>
      <c r="L486" s="1" t="s">
        <v>37</v>
      </c>
    </row>
    <row r="487" spans="1:12" x14ac:dyDescent="0.25">
      <c r="A487" s="1" t="s">
        <v>529</v>
      </c>
      <c r="B487" s="1" t="s">
        <v>40</v>
      </c>
      <c r="C487" s="1" t="s">
        <v>25</v>
      </c>
      <c r="D487" s="1">
        <v>25</v>
      </c>
      <c r="E487" s="1" t="s">
        <v>15</v>
      </c>
      <c r="F487" s="1">
        <v>1</v>
      </c>
      <c r="G487" s="1">
        <v>60500</v>
      </c>
      <c r="H487" s="1">
        <v>8</v>
      </c>
      <c r="I487" s="1">
        <v>50</v>
      </c>
      <c r="J487" s="1">
        <v>5</v>
      </c>
      <c r="K487" s="1">
        <v>92</v>
      </c>
      <c r="L487" s="1" t="s">
        <v>37</v>
      </c>
    </row>
    <row r="488" spans="1:12" x14ac:dyDescent="0.25">
      <c r="A488" s="1" t="s">
        <v>530</v>
      </c>
      <c r="B488" s="1" t="s">
        <v>63</v>
      </c>
      <c r="C488" s="1" t="s">
        <v>29</v>
      </c>
      <c r="D488" s="1">
        <v>22</v>
      </c>
      <c r="E488" s="1" t="s">
        <v>15</v>
      </c>
      <c r="F488" s="1">
        <v>2</v>
      </c>
      <c r="G488" s="1">
        <v>55104</v>
      </c>
      <c r="H488" s="1">
        <v>13</v>
      </c>
      <c r="I488" s="1">
        <v>47</v>
      </c>
      <c r="J488" s="1">
        <v>2</v>
      </c>
      <c r="K488" s="1">
        <v>91</v>
      </c>
      <c r="L488" s="1" t="s">
        <v>23</v>
      </c>
    </row>
    <row r="489" spans="1:12" x14ac:dyDescent="0.25">
      <c r="A489" s="1" t="s">
        <v>531</v>
      </c>
      <c r="B489" s="1" t="s">
        <v>18</v>
      </c>
      <c r="C489" s="1" t="s">
        <v>25</v>
      </c>
      <c r="D489" s="1">
        <v>31</v>
      </c>
      <c r="E489" s="1" t="s">
        <v>19</v>
      </c>
      <c r="F489" s="1">
        <v>5</v>
      </c>
      <c r="G489" s="1">
        <v>62380</v>
      </c>
      <c r="H489" s="1">
        <v>4</v>
      </c>
      <c r="I489" s="1">
        <v>35</v>
      </c>
      <c r="J489" s="1">
        <v>2</v>
      </c>
      <c r="K489" s="1">
        <v>89</v>
      </c>
      <c r="L489" s="1" t="s">
        <v>26</v>
      </c>
    </row>
    <row r="490" spans="1:12" x14ac:dyDescent="0.25">
      <c r="A490" s="1" t="s">
        <v>532</v>
      </c>
      <c r="B490" s="1" t="s">
        <v>21</v>
      </c>
      <c r="C490" s="1" t="s">
        <v>29</v>
      </c>
      <c r="D490" s="1">
        <v>40</v>
      </c>
      <c r="E490" s="1" t="s">
        <v>15</v>
      </c>
      <c r="F490" s="1">
        <v>2</v>
      </c>
      <c r="G490" s="1">
        <v>56295</v>
      </c>
      <c r="H490" s="1">
        <v>9</v>
      </c>
      <c r="I490" s="1">
        <v>43</v>
      </c>
      <c r="J490" s="1">
        <v>5</v>
      </c>
      <c r="K490" s="1">
        <v>97</v>
      </c>
      <c r="L490" s="1" t="s">
        <v>23</v>
      </c>
    </row>
    <row r="491" spans="1:12" x14ac:dyDescent="0.25">
      <c r="A491" s="1" t="s">
        <v>533</v>
      </c>
      <c r="B491" s="1" t="s">
        <v>21</v>
      </c>
      <c r="C491" s="1" t="s">
        <v>22</v>
      </c>
      <c r="D491" s="1">
        <v>27</v>
      </c>
      <c r="E491" s="1" t="s">
        <v>19</v>
      </c>
      <c r="F491" s="1">
        <v>2</v>
      </c>
      <c r="G491" s="1">
        <v>29743</v>
      </c>
      <c r="H491" s="1">
        <v>6</v>
      </c>
      <c r="I491" s="1">
        <v>39</v>
      </c>
      <c r="J491" s="1">
        <v>2</v>
      </c>
      <c r="K491" s="1">
        <v>92</v>
      </c>
      <c r="L491" s="1" t="s">
        <v>26</v>
      </c>
    </row>
    <row r="492" spans="1:12" x14ac:dyDescent="0.25">
      <c r="A492" s="1" t="s">
        <v>534</v>
      </c>
      <c r="B492" s="1" t="s">
        <v>18</v>
      </c>
      <c r="C492" s="1" t="s">
        <v>14</v>
      </c>
      <c r="D492" s="1">
        <v>30</v>
      </c>
      <c r="E492" s="1" t="s">
        <v>19</v>
      </c>
      <c r="F492" s="1">
        <v>10</v>
      </c>
      <c r="G492" s="1">
        <v>31977</v>
      </c>
      <c r="H492" s="1">
        <v>10</v>
      </c>
      <c r="I492" s="1">
        <v>41</v>
      </c>
      <c r="J492" s="1">
        <v>3</v>
      </c>
      <c r="K492" s="1">
        <v>89</v>
      </c>
      <c r="L492" s="1" t="s">
        <v>16</v>
      </c>
    </row>
    <row r="493" spans="1:12" x14ac:dyDescent="0.25">
      <c r="A493" s="1" t="s">
        <v>535</v>
      </c>
      <c r="B493" s="1" t="s">
        <v>75</v>
      </c>
      <c r="C493" s="1" t="s">
        <v>29</v>
      </c>
      <c r="D493" s="1">
        <v>39</v>
      </c>
      <c r="E493" s="1" t="s">
        <v>15</v>
      </c>
      <c r="F493" s="1">
        <v>10</v>
      </c>
      <c r="G493" s="1">
        <v>68105</v>
      </c>
      <c r="H493" s="1">
        <v>5</v>
      </c>
      <c r="I493" s="1">
        <v>41</v>
      </c>
      <c r="J493" s="1">
        <v>4</v>
      </c>
      <c r="K493" s="1">
        <v>87</v>
      </c>
      <c r="L493" s="1" t="s">
        <v>16</v>
      </c>
    </row>
    <row r="494" spans="1:12" x14ac:dyDescent="0.25">
      <c r="A494" s="1" t="s">
        <v>536</v>
      </c>
      <c r="B494" s="1" t="s">
        <v>18</v>
      </c>
      <c r="C494" s="1" t="s">
        <v>25</v>
      </c>
      <c r="D494" s="1">
        <v>26</v>
      </c>
      <c r="E494" s="1" t="s">
        <v>15</v>
      </c>
      <c r="F494" s="1">
        <v>2</v>
      </c>
      <c r="G494" s="1">
        <v>46424</v>
      </c>
      <c r="H494" s="1">
        <v>3</v>
      </c>
      <c r="I494" s="1">
        <v>38</v>
      </c>
      <c r="J494" s="1">
        <v>4</v>
      </c>
      <c r="K494" s="1">
        <v>89</v>
      </c>
      <c r="L494" s="1" t="s">
        <v>37</v>
      </c>
    </row>
    <row r="495" spans="1:12" x14ac:dyDescent="0.25">
      <c r="A495" s="1" t="s">
        <v>537</v>
      </c>
      <c r="B495" s="1" t="s">
        <v>43</v>
      </c>
      <c r="C495" s="1" t="s">
        <v>29</v>
      </c>
      <c r="D495" s="1">
        <v>36</v>
      </c>
      <c r="E495" s="1" t="s">
        <v>15</v>
      </c>
      <c r="F495" s="1">
        <v>2</v>
      </c>
      <c r="G495" s="1">
        <v>62610</v>
      </c>
      <c r="H495" s="1">
        <v>3</v>
      </c>
      <c r="I495" s="1">
        <v>37</v>
      </c>
      <c r="J495" s="1">
        <v>2</v>
      </c>
      <c r="K495" s="1">
        <v>88</v>
      </c>
      <c r="L495" s="1" t="s">
        <v>23</v>
      </c>
    </row>
    <row r="496" spans="1:12" x14ac:dyDescent="0.25">
      <c r="A496" s="1" t="s">
        <v>538</v>
      </c>
      <c r="B496" s="1" t="s">
        <v>45</v>
      </c>
      <c r="C496" s="1" t="s">
        <v>25</v>
      </c>
      <c r="D496" s="1">
        <v>38</v>
      </c>
      <c r="E496" s="1" t="s">
        <v>15</v>
      </c>
      <c r="F496" s="1">
        <v>14</v>
      </c>
      <c r="G496" s="1">
        <v>49731</v>
      </c>
      <c r="H496" s="1">
        <v>3</v>
      </c>
      <c r="I496" s="1">
        <v>48</v>
      </c>
      <c r="J496" s="1">
        <v>2</v>
      </c>
      <c r="K496" s="1">
        <v>89</v>
      </c>
      <c r="L496" s="1" t="s">
        <v>26</v>
      </c>
    </row>
    <row r="497" spans="1:12" x14ac:dyDescent="0.25">
      <c r="A497" s="1" t="s">
        <v>539</v>
      </c>
      <c r="B497" s="1" t="s">
        <v>89</v>
      </c>
      <c r="C497" s="1" t="s">
        <v>29</v>
      </c>
      <c r="D497" s="1">
        <v>37</v>
      </c>
      <c r="E497" s="1" t="s">
        <v>15</v>
      </c>
      <c r="F497" s="1">
        <v>6</v>
      </c>
      <c r="G497" s="1">
        <v>29437</v>
      </c>
      <c r="H497" s="1">
        <v>12</v>
      </c>
      <c r="I497" s="1">
        <v>45</v>
      </c>
      <c r="J497" s="1">
        <v>5</v>
      </c>
      <c r="K497" s="1">
        <v>100</v>
      </c>
      <c r="L497" s="1" t="s">
        <v>51</v>
      </c>
    </row>
    <row r="498" spans="1:12" x14ac:dyDescent="0.25">
      <c r="A498" s="1" t="s">
        <v>540</v>
      </c>
      <c r="B498" s="1" t="s">
        <v>63</v>
      </c>
      <c r="C498" s="1" t="s">
        <v>29</v>
      </c>
      <c r="D498" s="1">
        <v>33</v>
      </c>
      <c r="E498" s="1" t="s">
        <v>15</v>
      </c>
      <c r="F498" s="1">
        <v>15</v>
      </c>
      <c r="G498" s="1">
        <v>51226</v>
      </c>
      <c r="H498" s="1">
        <v>15</v>
      </c>
      <c r="I498" s="1">
        <v>46</v>
      </c>
      <c r="J498" s="1">
        <v>3</v>
      </c>
      <c r="K498" s="1">
        <v>99</v>
      </c>
      <c r="L498" s="1" t="s">
        <v>51</v>
      </c>
    </row>
    <row r="499" spans="1:12" x14ac:dyDescent="0.25">
      <c r="A499" s="1" t="s">
        <v>541</v>
      </c>
      <c r="B499" s="1" t="s">
        <v>94</v>
      </c>
      <c r="C499" s="1" t="s">
        <v>14</v>
      </c>
      <c r="D499" s="1">
        <v>36</v>
      </c>
      <c r="E499" s="1" t="s">
        <v>19</v>
      </c>
      <c r="F499" s="1">
        <v>14</v>
      </c>
      <c r="G499" s="1">
        <v>70024</v>
      </c>
      <c r="H499" s="1">
        <v>8</v>
      </c>
      <c r="I499" s="1">
        <v>45</v>
      </c>
      <c r="J499" s="1">
        <v>5</v>
      </c>
      <c r="K499" s="1">
        <v>96</v>
      </c>
      <c r="L499" s="1" t="s">
        <v>23</v>
      </c>
    </row>
    <row r="500" spans="1:12" x14ac:dyDescent="0.25">
      <c r="A500" s="1" t="s">
        <v>542</v>
      </c>
      <c r="B500" s="1" t="s">
        <v>40</v>
      </c>
      <c r="C500" s="1" t="s">
        <v>29</v>
      </c>
      <c r="D500" s="1">
        <v>24</v>
      </c>
      <c r="E500" s="1" t="s">
        <v>19</v>
      </c>
      <c r="F500" s="1">
        <v>15</v>
      </c>
      <c r="G500" s="1">
        <v>37436</v>
      </c>
      <c r="H500" s="1">
        <v>4</v>
      </c>
      <c r="I500" s="1">
        <v>48</v>
      </c>
      <c r="J500" s="1">
        <v>3</v>
      </c>
      <c r="K500" s="1">
        <v>85</v>
      </c>
      <c r="L500" s="1" t="s">
        <v>51</v>
      </c>
    </row>
    <row r="501" spans="1:12" x14ac:dyDescent="0.25">
      <c r="A501" s="1" t="s">
        <v>543</v>
      </c>
      <c r="B501" s="1" t="s">
        <v>63</v>
      </c>
      <c r="C501" s="1" t="s">
        <v>29</v>
      </c>
      <c r="D501" s="1">
        <v>38</v>
      </c>
      <c r="E501" s="1" t="s">
        <v>15</v>
      </c>
      <c r="F501" s="1">
        <v>12</v>
      </c>
      <c r="G501" s="1">
        <v>51087</v>
      </c>
      <c r="H501" s="1">
        <v>3</v>
      </c>
      <c r="I501" s="1">
        <v>42</v>
      </c>
      <c r="J501" s="1">
        <v>5</v>
      </c>
      <c r="K501" s="1">
        <v>99</v>
      </c>
      <c r="L501" s="1" t="s">
        <v>23</v>
      </c>
    </row>
    <row r="502" spans="1:12" x14ac:dyDescent="0.25">
      <c r="A502" s="1" t="s">
        <v>544</v>
      </c>
      <c r="B502" s="1" t="s">
        <v>70</v>
      </c>
      <c r="C502" s="1" t="s">
        <v>29</v>
      </c>
      <c r="D502" s="1">
        <v>32</v>
      </c>
      <c r="E502" s="1" t="s">
        <v>19</v>
      </c>
      <c r="F502" s="1">
        <v>14</v>
      </c>
      <c r="G502" s="1">
        <v>62346</v>
      </c>
      <c r="H502" s="1">
        <v>12</v>
      </c>
      <c r="I502" s="1">
        <v>40</v>
      </c>
      <c r="J502" s="1">
        <v>2</v>
      </c>
      <c r="K502" s="1">
        <v>97</v>
      </c>
      <c r="L502" s="1" t="s">
        <v>16</v>
      </c>
    </row>
    <row r="503" spans="1:12" x14ac:dyDescent="0.25">
      <c r="A503" s="1" t="s">
        <v>545</v>
      </c>
      <c r="B503" s="1" t="s">
        <v>83</v>
      </c>
      <c r="C503" s="1" t="s">
        <v>29</v>
      </c>
      <c r="D503" s="1">
        <v>40</v>
      </c>
      <c r="E503" s="1" t="s">
        <v>15</v>
      </c>
      <c r="F503" s="1">
        <v>5</v>
      </c>
      <c r="G503" s="1">
        <v>50849</v>
      </c>
      <c r="H503" s="1">
        <v>5</v>
      </c>
      <c r="I503" s="1">
        <v>45</v>
      </c>
      <c r="J503" s="1">
        <v>3</v>
      </c>
      <c r="K503" s="1">
        <v>90</v>
      </c>
      <c r="L503" s="1" t="s">
        <v>37</v>
      </c>
    </row>
    <row r="504" spans="1:12" x14ac:dyDescent="0.25">
      <c r="A504" s="1" t="s">
        <v>546</v>
      </c>
      <c r="B504" s="1" t="s">
        <v>40</v>
      </c>
      <c r="C504" s="1" t="s">
        <v>25</v>
      </c>
      <c r="D504" s="1">
        <v>32</v>
      </c>
      <c r="E504" s="1" t="s">
        <v>15</v>
      </c>
      <c r="F504" s="1">
        <v>12</v>
      </c>
      <c r="G504" s="1">
        <v>66342</v>
      </c>
      <c r="H504" s="1">
        <v>7</v>
      </c>
      <c r="I504" s="1">
        <v>44</v>
      </c>
      <c r="J504" s="1">
        <v>4</v>
      </c>
      <c r="K504" s="1">
        <v>86</v>
      </c>
      <c r="L504" s="1" t="s">
        <v>16</v>
      </c>
    </row>
    <row r="505" spans="1:12" x14ac:dyDescent="0.25">
      <c r="A505" s="1" t="s">
        <v>547</v>
      </c>
      <c r="B505" s="1" t="s">
        <v>81</v>
      </c>
      <c r="C505" s="1" t="s">
        <v>22</v>
      </c>
      <c r="D505" s="1">
        <v>30</v>
      </c>
      <c r="E505" s="1" t="s">
        <v>15</v>
      </c>
      <c r="F505" s="1">
        <v>5</v>
      </c>
      <c r="G505" s="1">
        <v>50118</v>
      </c>
      <c r="H505" s="1">
        <v>13</v>
      </c>
      <c r="I505" s="1">
        <v>46</v>
      </c>
      <c r="J505" s="1">
        <v>1</v>
      </c>
      <c r="K505" s="1">
        <v>91</v>
      </c>
      <c r="L505" s="1" t="s">
        <v>23</v>
      </c>
    </row>
    <row r="506" spans="1:12" x14ac:dyDescent="0.25">
      <c r="A506" s="1" t="s">
        <v>548</v>
      </c>
      <c r="B506" s="1" t="s">
        <v>89</v>
      </c>
      <c r="C506" s="1" t="s">
        <v>25</v>
      </c>
      <c r="D506" s="1">
        <v>29</v>
      </c>
      <c r="E506" s="1" t="s">
        <v>15</v>
      </c>
      <c r="F506" s="1">
        <v>10</v>
      </c>
      <c r="G506" s="1">
        <v>67203</v>
      </c>
      <c r="H506" s="1">
        <v>4</v>
      </c>
      <c r="I506" s="1">
        <v>41</v>
      </c>
      <c r="J506" s="1">
        <v>4</v>
      </c>
      <c r="K506" s="1">
        <v>93</v>
      </c>
      <c r="L506" s="1" t="s">
        <v>32</v>
      </c>
    </row>
    <row r="507" spans="1:12" x14ac:dyDescent="0.25">
      <c r="A507" s="1" t="s">
        <v>549</v>
      </c>
      <c r="B507" s="1" t="s">
        <v>63</v>
      </c>
      <c r="C507" s="1" t="s">
        <v>22</v>
      </c>
      <c r="D507" s="1">
        <v>29</v>
      </c>
      <c r="E507" s="1" t="s">
        <v>15</v>
      </c>
      <c r="F507" s="1">
        <v>7</v>
      </c>
      <c r="G507" s="1">
        <v>50092</v>
      </c>
      <c r="H507" s="1">
        <v>14</v>
      </c>
      <c r="I507" s="1">
        <v>35</v>
      </c>
      <c r="J507" s="1">
        <v>4</v>
      </c>
      <c r="K507" s="1">
        <v>100</v>
      </c>
      <c r="L507" s="1" t="s">
        <v>32</v>
      </c>
    </row>
    <row r="508" spans="1:12" x14ac:dyDescent="0.25">
      <c r="A508" s="1" t="s">
        <v>550</v>
      </c>
      <c r="B508" s="1" t="s">
        <v>36</v>
      </c>
      <c r="C508" s="1" t="s">
        <v>25</v>
      </c>
      <c r="D508" s="1">
        <v>22</v>
      </c>
      <c r="E508" s="1" t="s">
        <v>19</v>
      </c>
      <c r="F508" s="1">
        <v>12</v>
      </c>
      <c r="G508" s="1">
        <v>35427</v>
      </c>
      <c r="H508" s="1">
        <v>5</v>
      </c>
      <c r="I508" s="1">
        <v>48</v>
      </c>
      <c r="J508" s="1">
        <v>3</v>
      </c>
      <c r="K508" s="1">
        <v>88</v>
      </c>
      <c r="L508" s="1" t="s">
        <v>26</v>
      </c>
    </row>
    <row r="509" spans="1:12" x14ac:dyDescent="0.25">
      <c r="A509" s="1" t="s">
        <v>551</v>
      </c>
      <c r="B509" s="1" t="s">
        <v>34</v>
      </c>
      <c r="C509" s="1" t="s">
        <v>22</v>
      </c>
      <c r="D509" s="1">
        <v>22</v>
      </c>
      <c r="E509" s="1" t="s">
        <v>15</v>
      </c>
      <c r="F509" s="1">
        <v>15</v>
      </c>
      <c r="G509" s="1">
        <v>64463</v>
      </c>
      <c r="H509" s="1">
        <v>8</v>
      </c>
      <c r="I509" s="1">
        <v>36</v>
      </c>
      <c r="J509" s="1">
        <v>4</v>
      </c>
      <c r="K509" s="1">
        <v>87</v>
      </c>
      <c r="L509" s="1" t="s">
        <v>51</v>
      </c>
    </row>
    <row r="510" spans="1:12" x14ac:dyDescent="0.25">
      <c r="A510" s="1" t="s">
        <v>552</v>
      </c>
      <c r="B510" s="1" t="s">
        <v>43</v>
      </c>
      <c r="C510" s="1" t="s">
        <v>29</v>
      </c>
      <c r="D510" s="1">
        <v>33</v>
      </c>
      <c r="E510" s="1" t="s">
        <v>19</v>
      </c>
      <c r="F510" s="1">
        <v>5</v>
      </c>
      <c r="G510" s="1">
        <v>53049</v>
      </c>
      <c r="H510" s="1">
        <v>15</v>
      </c>
      <c r="I510" s="1">
        <v>43</v>
      </c>
      <c r="J510" s="1">
        <v>3</v>
      </c>
      <c r="K510" s="1">
        <v>89</v>
      </c>
      <c r="L510" s="1" t="s">
        <v>16</v>
      </c>
    </row>
    <row r="511" spans="1:12" x14ac:dyDescent="0.25">
      <c r="A511" s="1" t="s">
        <v>553</v>
      </c>
      <c r="B511" s="1" t="s">
        <v>40</v>
      </c>
      <c r="C511" s="1" t="s">
        <v>22</v>
      </c>
      <c r="D511" s="1">
        <v>40</v>
      </c>
      <c r="E511" s="1" t="s">
        <v>15</v>
      </c>
      <c r="F511" s="1">
        <v>8</v>
      </c>
      <c r="G511" s="1">
        <v>64048</v>
      </c>
      <c r="H511" s="1">
        <v>10</v>
      </c>
      <c r="I511" s="1">
        <v>43</v>
      </c>
      <c r="J511" s="1">
        <v>4</v>
      </c>
      <c r="K511" s="1">
        <v>87</v>
      </c>
      <c r="L511" s="1" t="s">
        <v>16</v>
      </c>
    </row>
    <row r="512" spans="1:12" x14ac:dyDescent="0.25">
      <c r="A512" s="1" t="s">
        <v>554</v>
      </c>
      <c r="B512" s="1" t="s">
        <v>53</v>
      </c>
      <c r="C512" s="1" t="s">
        <v>25</v>
      </c>
      <c r="D512" s="1">
        <v>31</v>
      </c>
      <c r="E512" s="1" t="s">
        <v>15</v>
      </c>
      <c r="F512" s="1">
        <v>1</v>
      </c>
      <c r="G512" s="1">
        <v>30374</v>
      </c>
      <c r="H512" s="1">
        <v>9</v>
      </c>
      <c r="I512" s="1">
        <v>50</v>
      </c>
      <c r="J512" s="1">
        <v>4</v>
      </c>
      <c r="K512" s="1">
        <v>92</v>
      </c>
      <c r="L512" s="1" t="s">
        <v>37</v>
      </c>
    </row>
    <row r="513" spans="1:12" x14ac:dyDescent="0.25">
      <c r="A513" s="1" t="s">
        <v>555</v>
      </c>
      <c r="B513" s="1" t="s">
        <v>45</v>
      </c>
      <c r="C513" s="1" t="s">
        <v>22</v>
      </c>
      <c r="D513" s="1">
        <v>24</v>
      </c>
      <c r="E513" s="1" t="s">
        <v>15</v>
      </c>
      <c r="F513" s="1">
        <v>10</v>
      </c>
      <c r="G513" s="1">
        <v>77737</v>
      </c>
      <c r="H513" s="1">
        <v>11</v>
      </c>
      <c r="I513" s="1">
        <v>46</v>
      </c>
      <c r="J513" s="1">
        <v>1</v>
      </c>
      <c r="K513" s="1">
        <v>88</v>
      </c>
      <c r="L513" s="1" t="s">
        <v>51</v>
      </c>
    </row>
    <row r="514" spans="1:12" x14ac:dyDescent="0.25">
      <c r="A514" s="1" t="s">
        <v>556</v>
      </c>
      <c r="B514" s="1" t="s">
        <v>77</v>
      </c>
      <c r="C514" s="1" t="s">
        <v>25</v>
      </c>
      <c r="D514" s="1">
        <v>33</v>
      </c>
      <c r="E514" s="1" t="s">
        <v>15</v>
      </c>
      <c r="F514" s="1">
        <v>9</v>
      </c>
      <c r="G514" s="1">
        <v>73293</v>
      </c>
      <c r="H514" s="1">
        <v>14</v>
      </c>
      <c r="I514" s="1">
        <v>48</v>
      </c>
      <c r="J514" s="1">
        <v>1</v>
      </c>
      <c r="K514" s="1">
        <v>98</v>
      </c>
      <c r="L514" s="1" t="s">
        <v>32</v>
      </c>
    </row>
    <row r="515" spans="1:12" x14ac:dyDescent="0.25">
      <c r="A515" s="1" t="s">
        <v>557</v>
      </c>
      <c r="B515" s="1" t="s">
        <v>75</v>
      </c>
      <c r="C515" s="1" t="s">
        <v>14</v>
      </c>
      <c r="D515" s="1">
        <v>29</v>
      </c>
      <c r="E515" s="1" t="s">
        <v>15</v>
      </c>
      <c r="F515" s="1">
        <v>4</v>
      </c>
      <c r="G515" s="1">
        <v>30761</v>
      </c>
      <c r="H515" s="1">
        <v>13</v>
      </c>
      <c r="I515" s="1">
        <v>37</v>
      </c>
      <c r="J515" s="1">
        <v>3</v>
      </c>
      <c r="K515" s="1">
        <v>86</v>
      </c>
      <c r="L515" s="1" t="s">
        <v>16</v>
      </c>
    </row>
    <row r="516" spans="1:12" x14ac:dyDescent="0.25">
      <c r="A516" s="1" t="s">
        <v>558</v>
      </c>
      <c r="B516" s="1" t="s">
        <v>45</v>
      </c>
      <c r="C516" s="1" t="s">
        <v>14</v>
      </c>
      <c r="D516" s="1">
        <v>25</v>
      </c>
      <c r="E516" s="1" t="s">
        <v>15</v>
      </c>
      <c r="F516" s="1">
        <v>6</v>
      </c>
      <c r="G516" s="1">
        <v>33393</v>
      </c>
      <c r="H516" s="1">
        <v>12</v>
      </c>
      <c r="I516" s="1">
        <v>47</v>
      </c>
      <c r="J516" s="1">
        <v>4</v>
      </c>
      <c r="K516" s="1">
        <v>91</v>
      </c>
      <c r="L516" s="1" t="s">
        <v>23</v>
      </c>
    </row>
    <row r="517" spans="1:12" x14ac:dyDescent="0.25">
      <c r="A517" s="1" t="s">
        <v>559</v>
      </c>
      <c r="B517" s="1" t="s">
        <v>53</v>
      </c>
      <c r="C517" s="1" t="s">
        <v>29</v>
      </c>
      <c r="D517" s="1">
        <v>31</v>
      </c>
      <c r="E517" s="1" t="s">
        <v>15</v>
      </c>
      <c r="F517" s="1">
        <v>11</v>
      </c>
      <c r="G517" s="1">
        <v>32365</v>
      </c>
      <c r="H517" s="1">
        <v>11</v>
      </c>
      <c r="I517" s="1">
        <v>40</v>
      </c>
      <c r="J517" s="1">
        <v>5</v>
      </c>
      <c r="K517" s="1">
        <v>99</v>
      </c>
      <c r="L517" s="1" t="s">
        <v>23</v>
      </c>
    </row>
    <row r="518" spans="1:12" x14ac:dyDescent="0.25">
      <c r="A518" s="1" t="s">
        <v>560</v>
      </c>
      <c r="B518" s="1" t="s">
        <v>53</v>
      </c>
      <c r="C518" s="1" t="s">
        <v>29</v>
      </c>
      <c r="D518" s="1">
        <v>38</v>
      </c>
      <c r="E518" s="1" t="s">
        <v>19</v>
      </c>
      <c r="F518" s="1">
        <v>10</v>
      </c>
      <c r="G518" s="1">
        <v>37092</v>
      </c>
      <c r="H518" s="1">
        <v>9</v>
      </c>
      <c r="I518" s="1">
        <v>48</v>
      </c>
      <c r="J518" s="1">
        <v>1</v>
      </c>
      <c r="K518" s="1">
        <v>90</v>
      </c>
      <c r="L518" s="1" t="s">
        <v>26</v>
      </c>
    </row>
    <row r="519" spans="1:12" x14ac:dyDescent="0.25">
      <c r="A519" s="1" t="s">
        <v>561</v>
      </c>
      <c r="B519" s="1" t="s">
        <v>75</v>
      </c>
      <c r="C519" s="1" t="s">
        <v>25</v>
      </c>
      <c r="D519" s="1">
        <v>40</v>
      </c>
      <c r="E519" s="1" t="s">
        <v>15</v>
      </c>
      <c r="F519" s="1">
        <v>6</v>
      </c>
      <c r="G519" s="1">
        <v>36861</v>
      </c>
      <c r="H519" s="1">
        <v>8</v>
      </c>
      <c r="I519" s="1">
        <v>46</v>
      </c>
      <c r="J519" s="1">
        <v>3</v>
      </c>
      <c r="K519" s="1">
        <v>86</v>
      </c>
      <c r="L519" s="1" t="s">
        <v>32</v>
      </c>
    </row>
    <row r="520" spans="1:12" x14ac:dyDescent="0.25">
      <c r="A520" s="1" t="s">
        <v>562</v>
      </c>
      <c r="B520" s="1" t="s">
        <v>77</v>
      </c>
      <c r="C520" s="1" t="s">
        <v>14</v>
      </c>
      <c r="D520" s="1">
        <v>37</v>
      </c>
      <c r="E520" s="1" t="s">
        <v>15</v>
      </c>
      <c r="F520" s="1">
        <v>8</v>
      </c>
      <c r="G520" s="1">
        <v>79175</v>
      </c>
      <c r="H520" s="1">
        <v>14</v>
      </c>
      <c r="I520" s="1">
        <v>43</v>
      </c>
      <c r="J520" s="1">
        <v>3</v>
      </c>
      <c r="K520" s="1">
        <v>90</v>
      </c>
      <c r="L520" s="1" t="s">
        <v>32</v>
      </c>
    </row>
    <row r="521" spans="1:12" x14ac:dyDescent="0.25">
      <c r="A521" s="1" t="s">
        <v>563</v>
      </c>
      <c r="B521" s="1" t="s">
        <v>63</v>
      </c>
      <c r="C521" s="1" t="s">
        <v>25</v>
      </c>
      <c r="D521" s="1">
        <v>22</v>
      </c>
      <c r="E521" s="1" t="s">
        <v>19</v>
      </c>
      <c r="F521" s="1">
        <v>13</v>
      </c>
      <c r="G521" s="1">
        <v>53047</v>
      </c>
      <c r="H521" s="1">
        <v>14</v>
      </c>
      <c r="I521" s="1">
        <v>49</v>
      </c>
      <c r="J521" s="1">
        <v>5</v>
      </c>
      <c r="K521" s="1">
        <v>85</v>
      </c>
      <c r="L521" s="1" t="s">
        <v>37</v>
      </c>
    </row>
    <row r="522" spans="1:12" x14ac:dyDescent="0.25">
      <c r="A522" s="1" t="s">
        <v>564</v>
      </c>
      <c r="B522" s="1" t="s">
        <v>13</v>
      </c>
      <c r="C522" s="1" t="s">
        <v>22</v>
      </c>
      <c r="D522" s="1">
        <v>28</v>
      </c>
      <c r="E522" s="1" t="s">
        <v>15</v>
      </c>
      <c r="F522" s="1">
        <v>9</v>
      </c>
      <c r="G522" s="1">
        <v>33955</v>
      </c>
      <c r="H522" s="1">
        <v>3</v>
      </c>
      <c r="I522" s="1">
        <v>47</v>
      </c>
      <c r="J522" s="1">
        <v>5</v>
      </c>
      <c r="K522" s="1">
        <v>89</v>
      </c>
      <c r="L522" s="1" t="s">
        <v>51</v>
      </c>
    </row>
    <row r="523" spans="1:12" x14ac:dyDescent="0.25">
      <c r="A523" s="1" t="s">
        <v>565</v>
      </c>
      <c r="B523" s="1" t="s">
        <v>40</v>
      </c>
      <c r="C523" s="1" t="s">
        <v>25</v>
      </c>
      <c r="D523" s="1">
        <v>38</v>
      </c>
      <c r="E523" s="1" t="s">
        <v>15</v>
      </c>
      <c r="F523" s="1">
        <v>15</v>
      </c>
      <c r="G523" s="1">
        <v>56625</v>
      </c>
      <c r="H523" s="1">
        <v>11</v>
      </c>
      <c r="I523" s="1">
        <v>41</v>
      </c>
      <c r="J523" s="1">
        <v>4</v>
      </c>
      <c r="K523" s="1">
        <v>100</v>
      </c>
      <c r="L523" s="1" t="s">
        <v>37</v>
      </c>
    </row>
    <row r="524" spans="1:12" x14ac:dyDescent="0.25">
      <c r="A524" s="1" t="s">
        <v>566</v>
      </c>
      <c r="B524" s="1" t="s">
        <v>77</v>
      </c>
      <c r="C524" s="1" t="s">
        <v>22</v>
      </c>
      <c r="D524" s="1">
        <v>31</v>
      </c>
      <c r="E524" s="1" t="s">
        <v>15</v>
      </c>
      <c r="F524" s="1">
        <v>4</v>
      </c>
      <c r="G524" s="1">
        <v>69364</v>
      </c>
      <c r="H524" s="1">
        <v>12</v>
      </c>
      <c r="I524" s="1">
        <v>44</v>
      </c>
      <c r="J524" s="1">
        <v>5</v>
      </c>
      <c r="K524" s="1">
        <v>94</v>
      </c>
      <c r="L524" s="1" t="s">
        <v>23</v>
      </c>
    </row>
    <row r="525" spans="1:12" x14ac:dyDescent="0.25">
      <c r="A525" s="1" t="s">
        <v>567</v>
      </c>
      <c r="B525" s="1" t="s">
        <v>36</v>
      </c>
      <c r="C525" s="1" t="s">
        <v>25</v>
      </c>
      <c r="D525" s="1">
        <v>33</v>
      </c>
      <c r="E525" s="1" t="s">
        <v>19</v>
      </c>
      <c r="F525" s="1">
        <v>3</v>
      </c>
      <c r="G525" s="1">
        <v>68178</v>
      </c>
      <c r="H525" s="1">
        <v>12</v>
      </c>
      <c r="I525" s="1">
        <v>50</v>
      </c>
      <c r="J525" s="1">
        <v>2</v>
      </c>
      <c r="K525" s="1">
        <v>91</v>
      </c>
      <c r="L525" s="1" t="s">
        <v>51</v>
      </c>
    </row>
    <row r="526" spans="1:12" x14ac:dyDescent="0.25">
      <c r="A526" s="1" t="s">
        <v>568</v>
      </c>
      <c r="B526" s="1" t="s">
        <v>53</v>
      </c>
      <c r="C526" s="1" t="s">
        <v>25</v>
      </c>
      <c r="D526" s="1">
        <v>33</v>
      </c>
      <c r="E526" s="1" t="s">
        <v>19</v>
      </c>
      <c r="F526" s="1">
        <v>14</v>
      </c>
      <c r="G526" s="1">
        <v>57267</v>
      </c>
      <c r="H526" s="1">
        <v>9</v>
      </c>
      <c r="I526" s="1">
        <v>35</v>
      </c>
      <c r="J526" s="1">
        <v>5</v>
      </c>
      <c r="K526" s="1">
        <v>96</v>
      </c>
      <c r="L526" s="1" t="s">
        <v>16</v>
      </c>
    </row>
    <row r="527" spans="1:12" x14ac:dyDescent="0.25">
      <c r="A527" s="1" t="s">
        <v>569</v>
      </c>
      <c r="B527" s="1" t="s">
        <v>65</v>
      </c>
      <c r="C527" s="1" t="s">
        <v>14</v>
      </c>
      <c r="D527" s="1">
        <v>25</v>
      </c>
      <c r="E527" s="1" t="s">
        <v>15</v>
      </c>
      <c r="F527" s="1">
        <v>10</v>
      </c>
      <c r="G527" s="1">
        <v>61488</v>
      </c>
      <c r="H527" s="1">
        <v>11</v>
      </c>
      <c r="I527" s="1">
        <v>44</v>
      </c>
      <c r="J527" s="1">
        <v>1</v>
      </c>
      <c r="K527" s="1">
        <v>99</v>
      </c>
      <c r="L527" s="1" t="s">
        <v>26</v>
      </c>
    </row>
    <row r="528" spans="1:12" x14ac:dyDescent="0.25">
      <c r="A528" s="1" t="s">
        <v>570</v>
      </c>
      <c r="B528" s="1" t="s">
        <v>28</v>
      </c>
      <c r="C528" s="1" t="s">
        <v>22</v>
      </c>
      <c r="D528" s="1">
        <v>38</v>
      </c>
      <c r="E528" s="1" t="s">
        <v>19</v>
      </c>
      <c r="F528" s="1">
        <v>11</v>
      </c>
      <c r="G528" s="1">
        <v>78474</v>
      </c>
      <c r="H528" s="1">
        <v>9</v>
      </c>
      <c r="I528" s="1">
        <v>41</v>
      </c>
      <c r="J528" s="1">
        <v>2</v>
      </c>
      <c r="K528" s="1">
        <v>86</v>
      </c>
      <c r="L528" s="1" t="s">
        <v>26</v>
      </c>
    </row>
    <row r="529" spans="1:12" x14ac:dyDescent="0.25">
      <c r="A529" s="1" t="s">
        <v>571</v>
      </c>
      <c r="B529" s="1" t="s">
        <v>21</v>
      </c>
      <c r="C529" s="1" t="s">
        <v>29</v>
      </c>
      <c r="D529" s="1">
        <v>27</v>
      </c>
      <c r="E529" s="1" t="s">
        <v>15</v>
      </c>
      <c r="F529" s="1">
        <v>13</v>
      </c>
      <c r="G529" s="1">
        <v>59222</v>
      </c>
      <c r="H529" s="1">
        <v>7</v>
      </c>
      <c r="I529" s="1">
        <v>47</v>
      </c>
      <c r="J529" s="1">
        <v>3</v>
      </c>
      <c r="K529" s="1">
        <v>88</v>
      </c>
      <c r="L529" s="1" t="s">
        <v>16</v>
      </c>
    </row>
    <row r="530" spans="1:12" x14ac:dyDescent="0.25">
      <c r="A530" s="1" t="s">
        <v>572</v>
      </c>
      <c r="B530" s="1" t="s">
        <v>34</v>
      </c>
      <c r="C530" s="1" t="s">
        <v>22</v>
      </c>
      <c r="D530" s="1">
        <v>39</v>
      </c>
      <c r="E530" s="1" t="s">
        <v>19</v>
      </c>
      <c r="F530" s="1">
        <v>4</v>
      </c>
      <c r="G530" s="1">
        <v>64942</v>
      </c>
      <c r="H530" s="1">
        <v>12</v>
      </c>
      <c r="I530" s="1">
        <v>43</v>
      </c>
      <c r="J530" s="1">
        <v>3</v>
      </c>
      <c r="K530" s="1">
        <v>94</v>
      </c>
      <c r="L530" s="1" t="s">
        <v>16</v>
      </c>
    </row>
    <row r="531" spans="1:12" x14ac:dyDescent="0.25">
      <c r="A531" s="1" t="s">
        <v>573</v>
      </c>
      <c r="B531" s="1" t="s">
        <v>43</v>
      </c>
      <c r="C531" s="1" t="s">
        <v>29</v>
      </c>
      <c r="D531" s="1">
        <v>28</v>
      </c>
      <c r="E531" s="1" t="s">
        <v>15</v>
      </c>
      <c r="F531" s="1">
        <v>1</v>
      </c>
      <c r="G531" s="1">
        <v>49651</v>
      </c>
      <c r="H531" s="1">
        <v>6</v>
      </c>
      <c r="I531" s="1">
        <v>47</v>
      </c>
      <c r="J531" s="1">
        <v>2</v>
      </c>
      <c r="K531" s="1">
        <v>95</v>
      </c>
      <c r="L531" s="1" t="s">
        <v>23</v>
      </c>
    </row>
    <row r="532" spans="1:12" x14ac:dyDescent="0.25">
      <c r="A532" s="1" t="s">
        <v>574</v>
      </c>
      <c r="B532" s="1" t="s">
        <v>94</v>
      </c>
      <c r="C532" s="1" t="s">
        <v>22</v>
      </c>
      <c r="D532" s="1">
        <v>26</v>
      </c>
      <c r="E532" s="1" t="s">
        <v>15</v>
      </c>
      <c r="F532" s="1">
        <v>2</v>
      </c>
      <c r="G532" s="1">
        <v>48042</v>
      </c>
      <c r="H532" s="1">
        <v>14</v>
      </c>
      <c r="I532" s="1">
        <v>49</v>
      </c>
      <c r="J532" s="1">
        <v>2</v>
      </c>
      <c r="K532" s="1">
        <v>96</v>
      </c>
      <c r="L532" s="1" t="s">
        <v>51</v>
      </c>
    </row>
    <row r="533" spans="1:12" x14ac:dyDescent="0.25">
      <c r="A533" s="1" t="s">
        <v>575</v>
      </c>
      <c r="B533" s="1" t="s">
        <v>21</v>
      </c>
      <c r="C533" s="1" t="s">
        <v>22</v>
      </c>
      <c r="D533" s="1">
        <v>40</v>
      </c>
      <c r="E533" s="1" t="s">
        <v>19</v>
      </c>
      <c r="F533" s="1">
        <v>8</v>
      </c>
      <c r="G533" s="1">
        <v>62083</v>
      </c>
      <c r="H533" s="1">
        <v>7</v>
      </c>
      <c r="I533" s="1">
        <v>43</v>
      </c>
      <c r="J533" s="1">
        <v>2</v>
      </c>
      <c r="K533" s="1">
        <v>97</v>
      </c>
      <c r="L533" s="1" t="s">
        <v>32</v>
      </c>
    </row>
    <row r="534" spans="1:12" x14ac:dyDescent="0.25">
      <c r="A534" s="1" t="s">
        <v>576</v>
      </c>
      <c r="B534" s="1" t="s">
        <v>21</v>
      </c>
      <c r="C534" s="1" t="s">
        <v>25</v>
      </c>
      <c r="D534" s="1">
        <v>33</v>
      </c>
      <c r="E534" s="1" t="s">
        <v>15</v>
      </c>
      <c r="F534" s="1">
        <v>8</v>
      </c>
      <c r="G534" s="1">
        <v>52648</v>
      </c>
      <c r="H534" s="1">
        <v>9</v>
      </c>
      <c r="I534" s="1">
        <v>48</v>
      </c>
      <c r="J534" s="1">
        <v>3</v>
      </c>
      <c r="K534" s="1">
        <v>94</v>
      </c>
      <c r="L534" s="1" t="s">
        <v>51</v>
      </c>
    </row>
    <row r="535" spans="1:12" x14ac:dyDescent="0.25">
      <c r="A535" s="1" t="s">
        <v>577</v>
      </c>
      <c r="B535" s="1" t="s">
        <v>45</v>
      </c>
      <c r="C535" s="1" t="s">
        <v>29</v>
      </c>
      <c r="D535" s="1">
        <v>40</v>
      </c>
      <c r="E535" s="1" t="s">
        <v>19</v>
      </c>
      <c r="F535" s="1">
        <v>9</v>
      </c>
      <c r="G535" s="1">
        <v>73738</v>
      </c>
      <c r="H535" s="1">
        <v>6</v>
      </c>
      <c r="I535" s="1">
        <v>47</v>
      </c>
      <c r="J535" s="1">
        <v>4</v>
      </c>
      <c r="K535" s="1">
        <v>99</v>
      </c>
      <c r="L535" s="1" t="s">
        <v>32</v>
      </c>
    </row>
    <row r="536" spans="1:12" x14ac:dyDescent="0.25">
      <c r="A536" s="1" t="s">
        <v>578</v>
      </c>
      <c r="B536" s="1" t="s">
        <v>18</v>
      </c>
      <c r="C536" s="1" t="s">
        <v>14</v>
      </c>
      <c r="D536" s="1">
        <v>30</v>
      </c>
      <c r="E536" s="1" t="s">
        <v>19</v>
      </c>
      <c r="F536" s="1">
        <v>4</v>
      </c>
      <c r="G536" s="1">
        <v>77846</v>
      </c>
      <c r="H536" s="1">
        <v>11</v>
      </c>
      <c r="I536" s="1">
        <v>46</v>
      </c>
      <c r="J536" s="1">
        <v>3</v>
      </c>
      <c r="K536" s="1">
        <v>92</v>
      </c>
      <c r="L536" s="1" t="s">
        <v>32</v>
      </c>
    </row>
    <row r="537" spans="1:12" x14ac:dyDescent="0.25">
      <c r="A537" s="1" t="s">
        <v>579</v>
      </c>
      <c r="B537" s="1" t="s">
        <v>75</v>
      </c>
      <c r="C537" s="1" t="s">
        <v>22</v>
      </c>
      <c r="D537" s="1">
        <v>34</v>
      </c>
      <c r="E537" s="1" t="s">
        <v>19</v>
      </c>
      <c r="F537" s="1">
        <v>9</v>
      </c>
      <c r="G537" s="1">
        <v>26531</v>
      </c>
      <c r="H537" s="1">
        <v>9</v>
      </c>
      <c r="I537" s="1">
        <v>42</v>
      </c>
      <c r="J537" s="1">
        <v>4</v>
      </c>
      <c r="K537" s="1">
        <v>97</v>
      </c>
      <c r="L537" s="1" t="s">
        <v>37</v>
      </c>
    </row>
    <row r="538" spans="1:12" x14ac:dyDescent="0.25">
      <c r="A538" s="1" t="s">
        <v>580</v>
      </c>
      <c r="B538" s="1" t="s">
        <v>83</v>
      </c>
      <c r="C538" s="1" t="s">
        <v>25</v>
      </c>
      <c r="D538" s="1">
        <v>30</v>
      </c>
      <c r="E538" s="1" t="s">
        <v>15</v>
      </c>
      <c r="F538" s="1">
        <v>4</v>
      </c>
      <c r="G538" s="1">
        <v>62805</v>
      </c>
      <c r="H538" s="1">
        <v>15</v>
      </c>
      <c r="I538" s="1">
        <v>47</v>
      </c>
      <c r="J538" s="1">
        <v>2</v>
      </c>
      <c r="K538" s="1">
        <v>93</v>
      </c>
      <c r="L538" s="1" t="s">
        <v>32</v>
      </c>
    </row>
    <row r="539" spans="1:12" x14ac:dyDescent="0.25">
      <c r="A539" s="1" t="s">
        <v>581</v>
      </c>
      <c r="B539" s="1" t="s">
        <v>45</v>
      </c>
      <c r="C539" s="1" t="s">
        <v>14</v>
      </c>
      <c r="D539" s="1">
        <v>29</v>
      </c>
      <c r="E539" s="1" t="s">
        <v>15</v>
      </c>
      <c r="F539" s="1">
        <v>11</v>
      </c>
      <c r="G539" s="1">
        <v>34025</v>
      </c>
      <c r="H539" s="1">
        <v>5</v>
      </c>
      <c r="I539" s="1">
        <v>39</v>
      </c>
      <c r="J539" s="1">
        <v>2</v>
      </c>
      <c r="K539" s="1">
        <v>86</v>
      </c>
      <c r="L539" s="1" t="s">
        <v>37</v>
      </c>
    </row>
    <row r="540" spans="1:12" x14ac:dyDescent="0.25">
      <c r="A540" s="1" t="s">
        <v>582</v>
      </c>
      <c r="B540" s="1" t="s">
        <v>36</v>
      </c>
      <c r="C540" s="1" t="s">
        <v>14</v>
      </c>
      <c r="D540" s="1">
        <v>30</v>
      </c>
      <c r="E540" s="1" t="s">
        <v>19</v>
      </c>
      <c r="F540" s="1">
        <v>11</v>
      </c>
      <c r="G540" s="1">
        <v>65473</v>
      </c>
      <c r="H540" s="1">
        <v>5</v>
      </c>
      <c r="I540" s="1">
        <v>47</v>
      </c>
      <c r="J540" s="1">
        <v>3</v>
      </c>
      <c r="K540" s="1">
        <v>89</v>
      </c>
      <c r="L540" s="1" t="s">
        <v>16</v>
      </c>
    </row>
    <row r="541" spans="1:12" x14ac:dyDescent="0.25">
      <c r="A541" s="1" t="s">
        <v>583</v>
      </c>
      <c r="B541" s="1" t="s">
        <v>83</v>
      </c>
      <c r="C541" s="1" t="s">
        <v>22</v>
      </c>
      <c r="D541" s="1">
        <v>28</v>
      </c>
      <c r="E541" s="1" t="s">
        <v>15</v>
      </c>
      <c r="F541" s="1">
        <v>11</v>
      </c>
      <c r="G541" s="1">
        <v>75650</v>
      </c>
      <c r="H541" s="1">
        <v>9</v>
      </c>
      <c r="I541" s="1">
        <v>50</v>
      </c>
      <c r="J541" s="1">
        <v>3</v>
      </c>
      <c r="K541" s="1">
        <v>98</v>
      </c>
      <c r="L541" s="1" t="s">
        <v>37</v>
      </c>
    </row>
    <row r="542" spans="1:12" x14ac:dyDescent="0.25">
      <c r="A542" s="1" t="s">
        <v>584</v>
      </c>
      <c r="B542" s="1" t="s">
        <v>21</v>
      </c>
      <c r="C542" s="1" t="s">
        <v>22</v>
      </c>
      <c r="D542" s="1">
        <v>27</v>
      </c>
      <c r="E542" s="1" t="s">
        <v>19</v>
      </c>
      <c r="F542" s="1">
        <v>15</v>
      </c>
      <c r="G542" s="1">
        <v>32192</v>
      </c>
      <c r="H542" s="1">
        <v>14</v>
      </c>
      <c r="I542" s="1">
        <v>46</v>
      </c>
      <c r="J542" s="1">
        <v>4</v>
      </c>
      <c r="K542" s="1">
        <v>94</v>
      </c>
      <c r="L542" s="1" t="s">
        <v>26</v>
      </c>
    </row>
    <row r="543" spans="1:12" x14ac:dyDescent="0.25">
      <c r="A543" s="1" t="s">
        <v>585</v>
      </c>
      <c r="B543" s="1" t="s">
        <v>31</v>
      </c>
      <c r="C543" s="1" t="s">
        <v>14</v>
      </c>
      <c r="D543" s="1">
        <v>32</v>
      </c>
      <c r="E543" s="1" t="s">
        <v>19</v>
      </c>
      <c r="F543" s="1">
        <v>12</v>
      </c>
      <c r="G543" s="1">
        <v>72027</v>
      </c>
      <c r="H543" s="1">
        <v>10</v>
      </c>
      <c r="I543" s="1">
        <v>39</v>
      </c>
      <c r="J543" s="1">
        <v>4</v>
      </c>
      <c r="K543" s="1">
        <v>95</v>
      </c>
      <c r="L543" s="1" t="s">
        <v>37</v>
      </c>
    </row>
    <row r="544" spans="1:12" x14ac:dyDescent="0.25">
      <c r="A544" s="1" t="s">
        <v>586</v>
      </c>
      <c r="B544" s="1" t="s">
        <v>89</v>
      </c>
      <c r="C544" s="1" t="s">
        <v>29</v>
      </c>
      <c r="D544" s="1">
        <v>29</v>
      </c>
      <c r="E544" s="1" t="s">
        <v>19</v>
      </c>
      <c r="F544" s="1">
        <v>2</v>
      </c>
      <c r="G544" s="1">
        <v>77066</v>
      </c>
      <c r="H544" s="1">
        <v>5</v>
      </c>
      <c r="I544" s="1">
        <v>36</v>
      </c>
      <c r="J544" s="1">
        <v>1</v>
      </c>
      <c r="K544" s="1">
        <v>99</v>
      </c>
      <c r="L544" s="1" t="s">
        <v>23</v>
      </c>
    </row>
    <row r="545" spans="1:12" x14ac:dyDescent="0.25">
      <c r="A545" s="1" t="s">
        <v>587</v>
      </c>
      <c r="B545" s="1" t="s">
        <v>81</v>
      </c>
      <c r="C545" s="1" t="s">
        <v>14</v>
      </c>
      <c r="D545" s="1">
        <v>35</v>
      </c>
      <c r="E545" s="1" t="s">
        <v>19</v>
      </c>
      <c r="F545" s="1">
        <v>9</v>
      </c>
      <c r="G545" s="1">
        <v>38818</v>
      </c>
      <c r="H545" s="1">
        <v>13</v>
      </c>
      <c r="I545" s="1">
        <v>50</v>
      </c>
      <c r="J545" s="1">
        <v>4</v>
      </c>
      <c r="K545" s="1">
        <v>95</v>
      </c>
      <c r="L545" s="1" t="s">
        <v>23</v>
      </c>
    </row>
    <row r="546" spans="1:12" x14ac:dyDescent="0.25">
      <c r="A546" s="1" t="s">
        <v>588</v>
      </c>
      <c r="B546" s="1" t="s">
        <v>75</v>
      </c>
      <c r="C546" s="1" t="s">
        <v>22</v>
      </c>
      <c r="D546" s="1">
        <v>25</v>
      </c>
      <c r="E546" s="1" t="s">
        <v>15</v>
      </c>
      <c r="F546" s="1">
        <v>2</v>
      </c>
      <c r="G546" s="1">
        <v>66424</v>
      </c>
      <c r="H546" s="1">
        <v>6</v>
      </c>
      <c r="I546" s="1">
        <v>43</v>
      </c>
      <c r="J546" s="1">
        <v>5</v>
      </c>
      <c r="K546" s="1">
        <v>91</v>
      </c>
      <c r="L546" s="1" t="s">
        <v>51</v>
      </c>
    </row>
    <row r="547" spans="1:12" x14ac:dyDescent="0.25">
      <c r="A547" s="1" t="s">
        <v>589</v>
      </c>
      <c r="B547" s="1" t="s">
        <v>53</v>
      </c>
      <c r="C547" s="1" t="s">
        <v>29</v>
      </c>
      <c r="D547" s="1">
        <v>25</v>
      </c>
      <c r="E547" s="1" t="s">
        <v>15</v>
      </c>
      <c r="F547" s="1">
        <v>4</v>
      </c>
      <c r="G547" s="1">
        <v>44139</v>
      </c>
      <c r="H547" s="1">
        <v>14</v>
      </c>
      <c r="I547" s="1">
        <v>50</v>
      </c>
      <c r="J547" s="1">
        <v>5</v>
      </c>
      <c r="K547" s="1">
        <v>89</v>
      </c>
      <c r="L547" s="1" t="s">
        <v>23</v>
      </c>
    </row>
    <row r="548" spans="1:12" x14ac:dyDescent="0.25">
      <c r="A548" s="1" t="s">
        <v>590</v>
      </c>
      <c r="B548" s="1" t="s">
        <v>40</v>
      </c>
      <c r="C548" s="1" t="s">
        <v>14</v>
      </c>
      <c r="D548" s="1">
        <v>23</v>
      </c>
      <c r="E548" s="1" t="s">
        <v>15</v>
      </c>
      <c r="F548" s="1">
        <v>12</v>
      </c>
      <c r="G548" s="1">
        <v>61225</v>
      </c>
      <c r="H548" s="1">
        <v>13</v>
      </c>
      <c r="I548" s="1">
        <v>38</v>
      </c>
      <c r="J548" s="1">
        <v>5</v>
      </c>
      <c r="K548" s="1">
        <v>86</v>
      </c>
      <c r="L548" s="1" t="s">
        <v>23</v>
      </c>
    </row>
    <row r="549" spans="1:12" x14ac:dyDescent="0.25">
      <c r="A549" s="1" t="s">
        <v>591</v>
      </c>
      <c r="B549" s="1" t="s">
        <v>81</v>
      </c>
      <c r="C549" s="1" t="s">
        <v>29</v>
      </c>
      <c r="D549" s="1">
        <v>24</v>
      </c>
      <c r="E549" s="1" t="s">
        <v>19</v>
      </c>
      <c r="F549" s="1">
        <v>9</v>
      </c>
      <c r="G549" s="1">
        <v>27099</v>
      </c>
      <c r="H549" s="1">
        <v>9</v>
      </c>
      <c r="I549" s="1">
        <v>41</v>
      </c>
      <c r="J549" s="1">
        <v>4</v>
      </c>
      <c r="K549" s="1">
        <v>100</v>
      </c>
      <c r="L549" s="1" t="s">
        <v>32</v>
      </c>
    </row>
    <row r="550" spans="1:12" x14ac:dyDescent="0.25">
      <c r="A550" s="1" t="s">
        <v>592</v>
      </c>
      <c r="B550" s="1" t="s">
        <v>94</v>
      </c>
      <c r="C550" s="1" t="s">
        <v>29</v>
      </c>
      <c r="D550" s="1">
        <v>22</v>
      </c>
      <c r="E550" s="1" t="s">
        <v>19</v>
      </c>
      <c r="F550" s="1">
        <v>11</v>
      </c>
      <c r="G550" s="1">
        <v>46954</v>
      </c>
      <c r="H550" s="1">
        <v>15</v>
      </c>
      <c r="I550" s="1">
        <v>37</v>
      </c>
      <c r="J550" s="1">
        <v>3</v>
      </c>
      <c r="K550" s="1">
        <v>91</v>
      </c>
      <c r="L550" s="1" t="s">
        <v>26</v>
      </c>
    </row>
    <row r="551" spans="1:12" x14ac:dyDescent="0.25">
      <c r="A551" s="1" t="s">
        <v>593</v>
      </c>
      <c r="B551" s="1" t="s">
        <v>28</v>
      </c>
      <c r="C551" s="1" t="s">
        <v>25</v>
      </c>
      <c r="D551" s="1">
        <v>39</v>
      </c>
      <c r="E551" s="1" t="s">
        <v>19</v>
      </c>
      <c r="F551" s="1">
        <v>9</v>
      </c>
      <c r="G551" s="1">
        <v>42560</v>
      </c>
      <c r="H551" s="1">
        <v>3</v>
      </c>
      <c r="I551" s="1">
        <v>44</v>
      </c>
      <c r="J551" s="1">
        <v>5</v>
      </c>
      <c r="K551" s="1">
        <v>94</v>
      </c>
      <c r="L551" s="1" t="s">
        <v>23</v>
      </c>
    </row>
    <row r="552" spans="1:12" x14ac:dyDescent="0.25">
      <c r="A552" s="1" t="s">
        <v>594</v>
      </c>
      <c r="B552" s="1" t="s">
        <v>31</v>
      </c>
      <c r="C552" s="1" t="s">
        <v>29</v>
      </c>
      <c r="D552" s="1">
        <v>30</v>
      </c>
      <c r="E552" s="1" t="s">
        <v>19</v>
      </c>
      <c r="F552" s="1">
        <v>9</v>
      </c>
      <c r="G552" s="1">
        <v>47723</v>
      </c>
      <c r="H552" s="1">
        <v>3</v>
      </c>
      <c r="I552" s="1">
        <v>46</v>
      </c>
      <c r="J552" s="1">
        <v>2</v>
      </c>
      <c r="K552" s="1">
        <v>86</v>
      </c>
      <c r="L552" s="1" t="s">
        <v>23</v>
      </c>
    </row>
    <row r="553" spans="1:12" x14ac:dyDescent="0.25">
      <c r="A553" s="1" t="s">
        <v>595</v>
      </c>
      <c r="B553" s="1" t="s">
        <v>81</v>
      </c>
      <c r="C553" s="1" t="s">
        <v>25</v>
      </c>
      <c r="D553" s="1">
        <v>38</v>
      </c>
      <c r="E553" s="1" t="s">
        <v>15</v>
      </c>
      <c r="F553" s="1">
        <v>1</v>
      </c>
      <c r="G553" s="1">
        <v>31910</v>
      </c>
      <c r="H553" s="1">
        <v>12</v>
      </c>
      <c r="I553" s="1">
        <v>41</v>
      </c>
      <c r="J553" s="1">
        <v>1</v>
      </c>
      <c r="K553" s="1">
        <v>98</v>
      </c>
      <c r="L553" s="1" t="s">
        <v>23</v>
      </c>
    </row>
    <row r="554" spans="1:12" x14ac:dyDescent="0.25">
      <c r="A554" s="1" t="s">
        <v>596</v>
      </c>
      <c r="B554" s="1" t="s">
        <v>83</v>
      </c>
      <c r="C554" s="1" t="s">
        <v>14</v>
      </c>
      <c r="D554" s="1">
        <v>40</v>
      </c>
      <c r="E554" s="1" t="s">
        <v>15</v>
      </c>
      <c r="F554" s="1">
        <v>10</v>
      </c>
      <c r="G554" s="1">
        <v>25400</v>
      </c>
      <c r="H554" s="1">
        <v>14</v>
      </c>
      <c r="I554" s="1">
        <v>48</v>
      </c>
      <c r="J554" s="1">
        <v>2</v>
      </c>
      <c r="K554" s="1">
        <v>86</v>
      </c>
      <c r="L554" s="1" t="s">
        <v>26</v>
      </c>
    </row>
    <row r="555" spans="1:12" x14ac:dyDescent="0.25">
      <c r="A555" s="1" t="s">
        <v>597</v>
      </c>
      <c r="B555" s="1" t="s">
        <v>81</v>
      </c>
      <c r="C555" s="1" t="s">
        <v>22</v>
      </c>
      <c r="D555" s="1">
        <v>30</v>
      </c>
      <c r="E555" s="1" t="s">
        <v>19</v>
      </c>
      <c r="F555" s="1">
        <v>3</v>
      </c>
      <c r="G555" s="1">
        <v>58426</v>
      </c>
      <c r="H555" s="1">
        <v>6</v>
      </c>
      <c r="I555" s="1">
        <v>35</v>
      </c>
      <c r="J555" s="1">
        <v>1</v>
      </c>
      <c r="K555" s="1">
        <v>85</v>
      </c>
      <c r="L555" s="1" t="s">
        <v>16</v>
      </c>
    </row>
    <row r="556" spans="1:12" x14ac:dyDescent="0.25">
      <c r="A556" s="1" t="s">
        <v>598</v>
      </c>
      <c r="B556" s="1" t="s">
        <v>28</v>
      </c>
      <c r="C556" s="1" t="s">
        <v>22</v>
      </c>
      <c r="D556" s="1">
        <v>32</v>
      </c>
      <c r="E556" s="1" t="s">
        <v>15</v>
      </c>
      <c r="F556" s="1">
        <v>11</v>
      </c>
      <c r="G556" s="1">
        <v>47356</v>
      </c>
      <c r="H556" s="1">
        <v>10</v>
      </c>
      <c r="I556" s="1">
        <v>41</v>
      </c>
      <c r="J556" s="1">
        <v>5</v>
      </c>
      <c r="K556" s="1">
        <v>95</v>
      </c>
      <c r="L556" s="1" t="s">
        <v>16</v>
      </c>
    </row>
    <row r="557" spans="1:12" x14ac:dyDescent="0.25">
      <c r="A557" s="1" t="s">
        <v>599</v>
      </c>
      <c r="B557" s="1" t="s">
        <v>34</v>
      </c>
      <c r="C557" s="1" t="s">
        <v>22</v>
      </c>
      <c r="D557" s="1">
        <v>23</v>
      </c>
      <c r="E557" s="1" t="s">
        <v>19</v>
      </c>
      <c r="F557" s="1">
        <v>7</v>
      </c>
      <c r="G557" s="1">
        <v>54945</v>
      </c>
      <c r="H557" s="1">
        <v>3</v>
      </c>
      <c r="I557" s="1">
        <v>40</v>
      </c>
      <c r="J557" s="1">
        <v>4</v>
      </c>
      <c r="K557" s="1">
        <v>90</v>
      </c>
      <c r="L557" s="1" t="s">
        <v>37</v>
      </c>
    </row>
    <row r="558" spans="1:12" x14ac:dyDescent="0.25">
      <c r="A558" s="1" t="s">
        <v>600</v>
      </c>
      <c r="B558" s="1" t="s">
        <v>13</v>
      </c>
      <c r="C558" s="1" t="s">
        <v>29</v>
      </c>
      <c r="D558" s="1">
        <v>27</v>
      </c>
      <c r="E558" s="1" t="s">
        <v>19</v>
      </c>
      <c r="F558" s="1">
        <v>5</v>
      </c>
      <c r="G558" s="1">
        <v>78796</v>
      </c>
      <c r="H558" s="1">
        <v>13</v>
      </c>
      <c r="I558" s="1">
        <v>48</v>
      </c>
      <c r="J558" s="1">
        <v>2</v>
      </c>
      <c r="K558" s="1">
        <v>96</v>
      </c>
      <c r="L558" s="1" t="s">
        <v>23</v>
      </c>
    </row>
    <row r="559" spans="1:12" x14ac:dyDescent="0.25">
      <c r="A559" s="1" t="s">
        <v>601</v>
      </c>
      <c r="B559" s="1" t="s">
        <v>89</v>
      </c>
      <c r="C559" s="1" t="s">
        <v>22</v>
      </c>
      <c r="D559" s="1">
        <v>28</v>
      </c>
      <c r="E559" s="1" t="s">
        <v>19</v>
      </c>
      <c r="F559" s="1">
        <v>11</v>
      </c>
      <c r="G559" s="1">
        <v>42968</v>
      </c>
      <c r="H559" s="1">
        <v>9</v>
      </c>
      <c r="I559" s="1">
        <v>43</v>
      </c>
      <c r="J559" s="1">
        <v>3</v>
      </c>
      <c r="K559" s="1">
        <v>88</v>
      </c>
      <c r="L559" s="1" t="s">
        <v>37</v>
      </c>
    </row>
    <row r="560" spans="1:12" x14ac:dyDescent="0.25">
      <c r="A560" s="1" t="s">
        <v>602</v>
      </c>
      <c r="B560" s="1" t="s">
        <v>94</v>
      </c>
      <c r="C560" s="1" t="s">
        <v>29</v>
      </c>
      <c r="D560" s="1">
        <v>29</v>
      </c>
      <c r="E560" s="1" t="s">
        <v>19</v>
      </c>
      <c r="F560" s="1">
        <v>15</v>
      </c>
      <c r="G560" s="1">
        <v>69802</v>
      </c>
      <c r="H560" s="1">
        <v>6</v>
      </c>
      <c r="I560" s="1">
        <v>42</v>
      </c>
      <c r="J560" s="1">
        <v>3</v>
      </c>
      <c r="K560" s="1">
        <v>91</v>
      </c>
      <c r="L560" s="1" t="s">
        <v>23</v>
      </c>
    </row>
    <row r="561" spans="1:12" x14ac:dyDescent="0.25">
      <c r="A561" s="1" t="s">
        <v>603</v>
      </c>
      <c r="B561" s="1" t="s">
        <v>45</v>
      </c>
      <c r="C561" s="1" t="s">
        <v>22</v>
      </c>
      <c r="D561" s="1">
        <v>25</v>
      </c>
      <c r="E561" s="1" t="s">
        <v>15</v>
      </c>
      <c r="F561" s="1">
        <v>7</v>
      </c>
      <c r="G561" s="1">
        <v>78916</v>
      </c>
      <c r="H561" s="1">
        <v>6</v>
      </c>
      <c r="I561" s="1">
        <v>35</v>
      </c>
      <c r="J561" s="1">
        <v>2</v>
      </c>
      <c r="K561" s="1">
        <v>88</v>
      </c>
      <c r="L561" s="1" t="s">
        <v>32</v>
      </c>
    </row>
    <row r="562" spans="1:12" x14ac:dyDescent="0.25">
      <c r="A562" s="1" t="s">
        <v>604</v>
      </c>
      <c r="B562" s="1" t="s">
        <v>83</v>
      </c>
      <c r="C562" s="1" t="s">
        <v>25</v>
      </c>
      <c r="D562" s="1">
        <v>33</v>
      </c>
      <c r="E562" s="1" t="s">
        <v>15</v>
      </c>
      <c r="F562" s="1">
        <v>12</v>
      </c>
      <c r="G562" s="1">
        <v>55753</v>
      </c>
      <c r="H562" s="1">
        <v>4</v>
      </c>
      <c r="I562" s="1">
        <v>42</v>
      </c>
      <c r="J562" s="1">
        <v>2</v>
      </c>
      <c r="K562" s="1">
        <v>90</v>
      </c>
      <c r="L562" s="1" t="s">
        <v>37</v>
      </c>
    </row>
    <row r="563" spans="1:12" x14ac:dyDescent="0.25">
      <c r="A563" s="1" t="s">
        <v>605</v>
      </c>
      <c r="B563" s="1" t="s">
        <v>40</v>
      </c>
      <c r="C563" s="1" t="s">
        <v>29</v>
      </c>
      <c r="D563" s="1">
        <v>31</v>
      </c>
      <c r="E563" s="1" t="s">
        <v>15</v>
      </c>
      <c r="F563" s="1">
        <v>9</v>
      </c>
      <c r="G563" s="1">
        <v>43237</v>
      </c>
      <c r="H563" s="1">
        <v>3</v>
      </c>
      <c r="I563" s="1">
        <v>37</v>
      </c>
      <c r="J563" s="1">
        <v>3</v>
      </c>
      <c r="K563" s="1">
        <v>88</v>
      </c>
      <c r="L563" s="1" t="s">
        <v>37</v>
      </c>
    </row>
    <row r="564" spans="1:12" x14ac:dyDescent="0.25">
      <c r="A564" s="1" t="s">
        <v>606</v>
      </c>
      <c r="B564" s="1" t="s">
        <v>75</v>
      </c>
      <c r="C564" s="1" t="s">
        <v>29</v>
      </c>
      <c r="D564" s="1">
        <v>25</v>
      </c>
      <c r="E564" s="1" t="s">
        <v>19</v>
      </c>
      <c r="F564" s="1">
        <v>9</v>
      </c>
      <c r="G564" s="1">
        <v>32025</v>
      </c>
      <c r="H564" s="1">
        <v>8</v>
      </c>
      <c r="I564" s="1">
        <v>38</v>
      </c>
      <c r="J564" s="1">
        <v>5</v>
      </c>
      <c r="K564" s="1">
        <v>87</v>
      </c>
      <c r="L564" s="1" t="s">
        <v>32</v>
      </c>
    </row>
    <row r="565" spans="1:12" x14ac:dyDescent="0.25">
      <c r="A565" s="1" t="s">
        <v>607</v>
      </c>
      <c r="B565" s="1" t="s">
        <v>21</v>
      </c>
      <c r="C565" s="1" t="s">
        <v>22</v>
      </c>
      <c r="D565" s="1">
        <v>34</v>
      </c>
      <c r="E565" s="1" t="s">
        <v>19</v>
      </c>
      <c r="F565" s="1">
        <v>15</v>
      </c>
      <c r="G565" s="1">
        <v>43500</v>
      </c>
      <c r="H565" s="1">
        <v>8</v>
      </c>
      <c r="I565" s="1">
        <v>49</v>
      </c>
      <c r="J565" s="1">
        <v>1</v>
      </c>
      <c r="K565" s="1">
        <v>87</v>
      </c>
      <c r="L565" s="1" t="s">
        <v>16</v>
      </c>
    </row>
    <row r="566" spans="1:12" x14ac:dyDescent="0.25">
      <c r="A566" s="1" t="s">
        <v>608</v>
      </c>
      <c r="B566" s="1" t="s">
        <v>83</v>
      </c>
      <c r="C566" s="1" t="s">
        <v>22</v>
      </c>
      <c r="D566" s="1">
        <v>38</v>
      </c>
      <c r="E566" s="1" t="s">
        <v>15</v>
      </c>
      <c r="F566" s="1">
        <v>3</v>
      </c>
      <c r="G566" s="1">
        <v>51572</v>
      </c>
      <c r="H566" s="1">
        <v>6</v>
      </c>
      <c r="I566" s="1">
        <v>37</v>
      </c>
      <c r="J566" s="1">
        <v>4</v>
      </c>
      <c r="K566" s="1">
        <v>99</v>
      </c>
      <c r="L566" s="1" t="s">
        <v>32</v>
      </c>
    </row>
    <row r="567" spans="1:12" x14ac:dyDescent="0.25">
      <c r="A567" s="1" t="s">
        <v>609</v>
      </c>
      <c r="B567" s="1" t="s">
        <v>70</v>
      </c>
      <c r="C567" s="1" t="s">
        <v>25</v>
      </c>
      <c r="D567" s="1">
        <v>24</v>
      </c>
      <c r="E567" s="1" t="s">
        <v>19</v>
      </c>
      <c r="F567" s="1">
        <v>6</v>
      </c>
      <c r="G567" s="1">
        <v>29327</v>
      </c>
      <c r="H567" s="1">
        <v>13</v>
      </c>
      <c r="I567" s="1">
        <v>46</v>
      </c>
      <c r="J567" s="1">
        <v>5</v>
      </c>
      <c r="K567" s="1">
        <v>86</v>
      </c>
      <c r="L567" s="1" t="s">
        <v>26</v>
      </c>
    </row>
    <row r="568" spans="1:12" x14ac:dyDescent="0.25">
      <c r="A568" s="1" t="s">
        <v>610</v>
      </c>
      <c r="B568" s="1" t="s">
        <v>65</v>
      </c>
      <c r="C568" s="1" t="s">
        <v>14</v>
      </c>
      <c r="D568" s="1">
        <v>28</v>
      </c>
      <c r="E568" s="1" t="s">
        <v>15</v>
      </c>
      <c r="F568" s="1">
        <v>6</v>
      </c>
      <c r="G568" s="1">
        <v>58872</v>
      </c>
      <c r="H568" s="1">
        <v>13</v>
      </c>
      <c r="I568" s="1">
        <v>37</v>
      </c>
      <c r="J568" s="1">
        <v>3</v>
      </c>
      <c r="K568" s="1">
        <v>99</v>
      </c>
      <c r="L568" s="1" t="s">
        <v>16</v>
      </c>
    </row>
    <row r="569" spans="1:12" x14ac:dyDescent="0.25">
      <c r="A569" s="1" t="s">
        <v>611</v>
      </c>
      <c r="B569" s="1" t="s">
        <v>65</v>
      </c>
      <c r="C569" s="1" t="s">
        <v>14</v>
      </c>
      <c r="D569" s="1">
        <v>34</v>
      </c>
      <c r="E569" s="1" t="s">
        <v>15</v>
      </c>
      <c r="F569" s="1">
        <v>8</v>
      </c>
      <c r="G569" s="1">
        <v>32065</v>
      </c>
      <c r="H569" s="1">
        <v>11</v>
      </c>
      <c r="I569" s="1">
        <v>47</v>
      </c>
      <c r="J569" s="1">
        <v>2</v>
      </c>
      <c r="K569" s="1">
        <v>99</v>
      </c>
      <c r="L569" s="1" t="s">
        <v>23</v>
      </c>
    </row>
    <row r="570" spans="1:12" x14ac:dyDescent="0.25">
      <c r="A570" s="1" t="s">
        <v>612</v>
      </c>
      <c r="B570" s="1" t="s">
        <v>77</v>
      </c>
      <c r="C570" s="1" t="s">
        <v>25</v>
      </c>
      <c r="D570" s="1">
        <v>31</v>
      </c>
      <c r="E570" s="1" t="s">
        <v>15</v>
      </c>
      <c r="F570" s="1">
        <v>4</v>
      </c>
      <c r="G570" s="1">
        <v>43779</v>
      </c>
      <c r="H570" s="1">
        <v>15</v>
      </c>
      <c r="I570" s="1">
        <v>38</v>
      </c>
      <c r="J570" s="1">
        <v>1</v>
      </c>
      <c r="K570" s="1">
        <v>90</v>
      </c>
      <c r="L570" s="1" t="s">
        <v>32</v>
      </c>
    </row>
    <row r="571" spans="1:12" x14ac:dyDescent="0.25">
      <c r="A571" s="1" t="s">
        <v>613</v>
      </c>
      <c r="B571" s="1" t="s">
        <v>13</v>
      </c>
      <c r="C571" s="1" t="s">
        <v>14</v>
      </c>
      <c r="D571" s="1">
        <v>29</v>
      </c>
      <c r="E571" s="1" t="s">
        <v>15</v>
      </c>
      <c r="F571" s="1">
        <v>1</v>
      </c>
      <c r="G571" s="1">
        <v>41921</v>
      </c>
      <c r="H571" s="1">
        <v>9</v>
      </c>
      <c r="I571" s="1">
        <v>35</v>
      </c>
      <c r="J571" s="1">
        <v>5</v>
      </c>
      <c r="K571" s="1">
        <v>92</v>
      </c>
      <c r="L571" s="1" t="s">
        <v>16</v>
      </c>
    </row>
    <row r="572" spans="1:12" x14ac:dyDescent="0.25">
      <c r="A572" s="1" t="s">
        <v>614</v>
      </c>
      <c r="B572" s="1" t="s">
        <v>77</v>
      </c>
      <c r="C572" s="1" t="s">
        <v>29</v>
      </c>
      <c r="D572" s="1">
        <v>33</v>
      </c>
      <c r="E572" s="1" t="s">
        <v>15</v>
      </c>
      <c r="F572" s="1">
        <v>15</v>
      </c>
      <c r="G572" s="1">
        <v>52092</v>
      </c>
      <c r="H572" s="1">
        <v>12</v>
      </c>
      <c r="I572" s="1">
        <v>50</v>
      </c>
      <c r="J572" s="1">
        <v>2</v>
      </c>
      <c r="K572" s="1">
        <v>90</v>
      </c>
      <c r="L572" s="1" t="s">
        <v>51</v>
      </c>
    </row>
    <row r="573" spans="1:12" x14ac:dyDescent="0.25">
      <c r="A573" s="1" t="s">
        <v>615</v>
      </c>
      <c r="B573" s="1" t="s">
        <v>43</v>
      </c>
      <c r="C573" s="1" t="s">
        <v>22</v>
      </c>
      <c r="D573" s="1">
        <v>38</v>
      </c>
      <c r="E573" s="1" t="s">
        <v>19</v>
      </c>
      <c r="F573" s="1">
        <v>3</v>
      </c>
      <c r="G573" s="1">
        <v>34896</v>
      </c>
      <c r="H573" s="1">
        <v>5</v>
      </c>
      <c r="I573" s="1">
        <v>36</v>
      </c>
      <c r="J573" s="1">
        <v>1</v>
      </c>
      <c r="K573" s="1">
        <v>100</v>
      </c>
      <c r="L573" s="1" t="s">
        <v>32</v>
      </c>
    </row>
    <row r="574" spans="1:12" x14ac:dyDescent="0.25">
      <c r="A574" s="1" t="s">
        <v>616</v>
      </c>
      <c r="B574" s="1" t="s">
        <v>70</v>
      </c>
      <c r="C574" s="1" t="s">
        <v>14</v>
      </c>
      <c r="D574" s="1">
        <v>26</v>
      </c>
      <c r="E574" s="1" t="s">
        <v>15</v>
      </c>
      <c r="F574" s="1">
        <v>6</v>
      </c>
      <c r="G574" s="1">
        <v>46183</v>
      </c>
      <c r="H574" s="1">
        <v>9</v>
      </c>
      <c r="I574" s="1">
        <v>35</v>
      </c>
      <c r="J574" s="1">
        <v>3</v>
      </c>
      <c r="K574" s="1">
        <v>85</v>
      </c>
      <c r="L574" s="1" t="s">
        <v>32</v>
      </c>
    </row>
    <row r="575" spans="1:12" x14ac:dyDescent="0.25">
      <c r="A575" s="1" t="s">
        <v>617</v>
      </c>
      <c r="B575" s="1" t="s">
        <v>43</v>
      </c>
      <c r="C575" s="1" t="s">
        <v>29</v>
      </c>
      <c r="D575" s="1">
        <v>31</v>
      </c>
      <c r="E575" s="1" t="s">
        <v>15</v>
      </c>
      <c r="F575" s="1">
        <v>7</v>
      </c>
      <c r="G575" s="1">
        <v>55410</v>
      </c>
      <c r="H575" s="1">
        <v>3</v>
      </c>
      <c r="I575" s="1">
        <v>37</v>
      </c>
      <c r="J575" s="1">
        <v>1</v>
      </c>
      <c r="K575" s="1">
        <v>98</v>
      </c>
      <c r="L575" s="1" t="s">
        <v>26</v>
      </c>
    </row>
    <row r="576" spans="1:12" x14ac:dyDescent="0.25">
      <c r="A576" s="1" t="s">
        <v>618</v>
      </c>
      <c r="B576" s="1" t="s">
        <v>18</v>
      </c>
      <c r="C576" s="1" t="s">
        <v>25</v>
      </c>
      <c r="D576" s="1">
        <v>26</v>
      </c>
      <c r="E576" s="1" t="s">
        <v>19</v>
      </c>
      <c r="F576" s="1">
        <v>3</v>
      </c>
      <c r="G576" s="1">
        <v>58756</v>
      </c>
      <c r="H576" s="1">
        <v>3</v>
      </c>
      <c r="I576" s="1">
        <v>50</v>
      </c>
      <c r="J576" s="1">
        <v>1</v>
      </c>
      <c r="K576" s="1">
        <v>93</v>
      </c>
      <c r="L576" s="1" t="s">
        <v>16</v>
      </c>
    </row>
    <row r="577" spans="1:12" x14ac:dyDescent="0.25">
      <c r="A577" s="1" t="s">
        <v>619</v>
      </c>
      <c r="B577" s="1" t="s">
        <v>65</v>
      </c>
      <c r="C577" s="1" t="s">
        <v>25</v>
      </c>
      <c r="D577" s="1">
        <v>25</v>
      </c>
      <c r="E577" s="1" t="s">
        <v>19</v>
      </c>
      <c r="F577" s="1">
        <v>6</v>
      </c>
      <c r="G577" s="1">
        <v>49455</v>
      </c>
      <c r="H577" s="1">
        <v>11</v>
      </c>
      <c r="I577" s="1">
        <v>46</v>
      </c>
      <c r="J577" s="1">
        <v>5</v>
      </c>
      <c r="K577" s="1">
        <v>94</v>
      </c>
      <c r="L577" s="1" t="s">
        <v>26</v>
      </c>
    </row>
    <row r="578" spans="1:12" x14ac:dyDescent="0.25">
      <c r="A578" s="1" t="s">
        <v>620</v>
      </c>
      <c r="B578" s="1" t="s">
        <v>13</v>
      </c>
      <c r="C578" s="1" t="s">
        <v>29</v>
      </c>
      <c r="D578" s="1">
        <v>36</v>
      </c>
      <c r="E578" s="1" t="s">
        <v>15</v>
      </c>
      <c r="F578" s="1">
        <v>7</v>
      </c>
      <c r="G578" s="1">
        <v>76702</v>
      </c>
      <c r="H578" s="1">
        <v>9</v>
      </c>
      <c r="I578" s="1">
        <v>50</v>
      </c>
      <c r="J578" s="1">
        <v>4</v>
      </c>
      <c r="K578" s="1">
        <v>88</v>
      </c>
      <c r="L578" s="1" t="s">
        <v>16</v>
      </c>
    </row>
    <row r="579" spans="1:12" x14ac:dyDescent="0.25">
      <c r="A579" s="1" t="s">
        <v>621</v>
      </c>
      <c r="B579" s="1" t="s">
        <v>40</v>
      </c>
      <c r="C579" s="1" t="s">
        <v>29</v>
      </c>
      <c r="D579" s="1">
        <v>40</v>
      </c>
      <c r="E579" s="1" t="s">
        <v>19</v>
      </c>
      <c r="F579" s="1">
        <v>3</v>
      </c>
      <c r="G579" s="1">
        <v>46506</v>
      </c>
      <c r="H579" s="1">
        <v>6</v>
      </c>
      <c r="I579" s="1">
        <v>38</v>
      </c>
      <c r="J579" s="1">
        <v>1</v>
      </c>
      <c r="K579" s="1">
        <v>100</v>
      </c>
      <c r="L579" s="1" t="s">
        <v>16</v>
      </c>
    </row>
    <row r="580" spans="1:12" x14ac:dyDescent="0.25">
      <c r="A580" s="1" t="s">
        <v>622</v>
      </c>
      <c r="B580" s="1" t="s">
        <v>34</v>
      </c>
      <c r="C580" s="1" t="s">
        <v>22</v>
      </c>
      <c r="D580" s="1">
        <v>26</v>
      </c>
      <c r="E580" s="1" t="s">
        <v>19</v>
      </c>
      <c r="F580" s="1">
        <v>5</v>
      </c>
      <c r="G580" s="1">
        <v>40797</v>
      </c>
      <c r="H580" s="1">
        <v>7</v>
      </c>
      <c r="I580" s="1">
        <v>35</v>
      </c>
      <c r="J580" s="1">
        <v>3</v>
      </c>
      <c r="K580" s="1">
        <v>85</v>
      </c>
      <c r="L580" s="1" t="s">
        <v>26</v>
      </c>
    </row>
    <row r="581" spans="1:12" x14ac:dyDescent="0.25">
      <c r="A581" s="1" t="s">
        <v>623</v>
      </c>
      <c r="B581" s="1" t="s">
        <v>77</v>
      </c>
      <c r="C581" s="1" t="s">
        <v>22</v>
      </c>
      <c r="D581" s="1">
        <v>26</v>
      </c>
      <c r="E581" s="1" t="s">
        <v>19</v>
      </c>
      <c r="F581" s="1">
        <v>7</v>
      </c>
      <c r="G581" s="1">
        <v>68341</v>
      </c>
      <c r="H581" s="1">
        <v>6</v>
      </c>
      <c r="I581" s="1">
        <v>39</v>
      </c>
      <c r="J581" s="1">
        <v>5</v>
      </c>
      <c r="K581" s="1">
        <v>99</v>
      </c>
      <c r="L581" s="1" t="s">
        <v>32</v>
      </c>
    </row>
    <row r="582" spans="1:12" x14ac:dyDescent="0.25">
      <c r="A582" s="1" t="s">
        <v>624</v>
      </c>
      <c r="B582" s="1" t="s">
        <v>70</v>
      </c>
      <c r="C582" s="1" t="s">
        <v>29</v>
      </c>
      <c r="D582" s="1">
        <v>36</v>
      </c>
      <c r="E582" s="1" t="s">
        <v>15</v>
      </c>
      <c r="F582" s="1">
        <v>8</v>
      </c>
      <c r="G582" s="1">
        <v>57510</v>
      </c>
      <c r="H582" s="1">
        <v>8</v>
      </c>
      <c r="I582" s="1">
        <v>40</v>
      </c>
      <c r="J582" s="1">
        <v>4</v>
      </c>
      <c r="K582" s="1">
        <v>97</v>
      </c>
      <c r="L582" s="1" t="s">
        <v>37</v>
      </c>
    </row>
    <row r="583" spans="1:12" x14ac:dyDescent="0.25">
      <c r="A583" s="1" t="s">
        <v>625</v>
      </c>
      <c r="B583" s="1" t="s">
        <v>63</v>
      </c>
      <c r="C583" s="1" t="s">
        <v>22</v>
      </c>
      <c r="D583" s="1">
        <v>24</v>
      </c>
      <c r="E583" s="1" t="s">
        <v>15</v>
      </c>
      <c r="F583" s="1">
        <v>14</v>
      </c>
      <c r="G583" s="1">
        <v>44890</v>
      </c>
      <c r="H583" s="1">
        <v>8</v>
      </c>
      <c r="I583" s="1">
        <v>47</v>
      </c>
      <c r="J583" s="1">
        <v>3</v>
      </c>
      <c r="K583" s="1">
        <v>93</v>
      </c>
      <c r="L583" s="1" t="s">
        <v>26</v>
      </c>
    </row>
    <row r="584" spans="1:12" x14ac:dyDescent="0.25">
      <c r="A584" s="1" t="s">
        <v>626</v>
      </c>
      <c r="B584" s="1" t="s">
        <v>18</v>
      </c>
      <c r="C584" s="1" t="s">
        <v>22</v>
      </c>
      <c r="D584" s="1">
        <v>29</v>
      </c>
      <c r="E584" s="1" t="s">
        <v>15</v>
      </c>
      <c r="F584" s="1">
        <v>7</v>
      </c>
      <c r="G584" s="1">
        <v>66985</v>
      </c>
      <c r="H584" s="1">
        <v>3</v>
      </c>
      <c r="I584" s="1">
        <v>48</v>
      </c>
      <c r="J584" s="1">
        <v>1</v>
      </c>
      <c r="K584" s="1">
        <v>93</v>
      </c>
      <c r="L584" s="1" t="s">
        <v>37</v>
      </c>
    </row>
    <row r="585" spans="1:12" x14ac:dyDescent="0.25">
      <c r="A585" s="1" t="s">
        <v>627</v>
      </c>
      <c r="B585" s="1" t="s">
        <v>75</v>
      </c>
      <c r="C585" s="1" t="s">
        <v>22</v>
      </c>
      <c r="D585" s="1">
        <v>32</v>
      </c>
      <c r="E585" s="1" t="s">
        <v>19</v>
      </c>
      <c r="F585" s="1">
        <v>2</v>
      </c>
      <c r="G585" s="1">
        <v>74105</v>
      </c>
      <c r="H585" s="1">
        <v>12</v>
      </c>
      <c r="I585" s="1">
        <v>45</v>
      </c>
      <c r="J585" s="1">
        <v>2</v>
      </c>
      <c r="K585" s="1">
        <v>97</v>
      </c>
      <c r="L585" s="1" t="s">
        <v>23</v>
      </c>
    </row>
    <row r="586" spans="1:12" x14ac:dyDescent="0.25">
      <c r="A586" s="1" t="s">
        <v>628</v>
      </c>
      <c r="B586" s="1" t="s">
        <v>18</v>
      </c>
      <c r="C586" s="1" t="s">
        <v>29</v>
      </c>
      <c r="D586" s="1">
        <v>29</v>
      </c>
      <c r="E586" s="1" t="s">
        <v>15</v>
      </c>
      <c r="F586" s="1">
        <v>4</v>
      </c>
      <c r="G586" s="1">
        <v>43096</v>
      </c>
      <c r="H586" s="1">
        <v>10</v>
      </c>
      <c r="I586" s="1">
        <v>37</v>
      </c>
      <c r="J586" s="1">
        <v>5</v>
      </c>
      <c r="K586" s="1">
        <v>90</v>
      </c>
      <c r="L586" s="1" t="s">
        <v>26</v>
      </c>
    </row>
    <row r="587" spans="1:12" x14ac:dyDescent="0.25">
      <c r="A587" s="1" t="s">
        <v>629</v>
      </c>
      <c r="B587" s="1" t="s">
        <v>31</v>
      </c>
      <c r="C587" s="1" t="s">
        <v>22</v>
      </c>
      <c r="D587" s="1">
        <v>25</v>
      </c>
      <c r="E587" s="1" t="s">
        <v>15</v>
      </c>
      <c r="F587" s="1">
        <v>5</v>
      </c>
      <c r="G587" s="1">
        <v>33579</v>
      </c>
      <c r="H587" s="1">
        <v>10</v>
      </c>
      <c r="I587" s="1">
        <v>36</v>
      </c>
      <c r="J587" s="1">
        <v>5</v>
      </c>
      <c r="K587" s="1">
        <v>91</v>
      </c>
      <c r="L587" s="1" t="s">
        <v>37</v>
      </c>
    </row>
    <row r="588" spans="1:12" x14ac:dyDescent="0.25">
      <c r="A588" s="1" t="s">
        <v>630</v>
      </c>
      <c r="B588" s="1" t="s">
        <v>89</v>
      </c>
      <c r="C588" s="1" t="s">
        <v>14</v>
      </c>
      <c r="D588" s="1">
        <v>36</v>
      </c>
      <c r="E588" s="1" t="s">
        <v>19</v>
      </c>
      <c r="F588" s="1">
        <v>9</v>
      </c>
      <c r="G588" s="1">
        <v>59729</v>
      </c>
      <c r="H588" s="1">
        <v>3</v>
      </c>
      <c r="I588" s="1">
        <v>41</v>
      </c>
      <c r="J588" s="1">
        <v>3</v>
      </c>
      <c r="K588" s="1">
        <v>86</v>
      </c>
      <c r="L588" s="1" t="s">
        <v>32</v>
      </c>
    </row>
    <row r="589" spans="1:12" x14ac:dyDescent="0.25">
      <c r="A589" s="1" t="s">
        <v>631</v>
      </c>
      <c r="B589" s="1" t="s">
        <v>36</v>
      </c>
      <c r="C589" s="1" t="s">
        <v>25</v>
      </c>
      <c r="D589" s="1">
        <v>35</v>
      </c>
      <c r="E589" s="1" t="s">
        <v>15</v>
      </c>
      <c r="F589" s="1">
        <v>13</v>
      </c>
      <c r="G589" s="1">
        <v>29834</v>
      </c>
      <c r="H589" s="1">
        <v>4</v>
      </c>
      <c r="I589" s="1">
        <v>50</v>
      </c>
      <c r="J589" s="1">
        <v>4</v>
      </c>
      <c r="K589" s="1">
        <v>100</v>
      </c>
      <c r="L589" s="1" t="s">
        <v>32</v>
      </c>
    </row>
    <row r="590" spans="1:12" x14ac:dyDescent="0.25">
      <c r="A590" s="1" t="s">
        <v>632</v>
      </c>
      <c r="B590" s="1" t="s">
        <v>53</v>
      </c>
      <c r="C590" s="1" t="s">
        <v>22</v>
      </c>
      <c r="D590" s="1">
        <v>35</v>
      </c>
      <c r="E590" s="1" t="s">
        <v>19</v>
      </c>
      <c r="F590" s="1">
        <v>4</v>
      </c>
      <c r="G590" s="1">
        <v>51421</v>
      </c>
      <c r="H590" s="1">
        <v>10</v>
      </c>
      <c r="I590" s="1">
        <v>37</v>
      </c>
      <c r="J590" s="1">
        <v>3</v>
      </c>
      <c r="K590" s="1">
        <v>96</v>
      </c>
      <c r="L590" s="1" t="s">
        <v>37</v>
      </c>
    </row>
    <row r="591" spans="1:12" x14ac:dyDescent="0.25">
      <c r="A591" s="1" t="s">
        <v>633</v>
      </c>
      <c r="B591" s="1" t="s">
        <v>70</v>
      </c>
      <c r="C591" s="1" t="s">
        <v>25</v>
      </c>
      <c r="D591" s="1">
        <v>31</v>
      </c>
      <c r="E591" s="1" t="s">
        <v>19</v>
      </c>
      <c r="F591" s="1">
        <v>9</v>
      </c>
      <c r="G591" s="1">
        <v>46518</v>
      </c>
      <c r="H591" s="1">
        <v>4</v>
      </c>
      <c r="I591" s="1">
        <v>47</v>
      </c>
      <c r="J591" s="1">
        <v>3</v>
      </c>
      <c r="K591" s="1">
        <v>88</v>
      </c>
      <c r="L591" s="1" t="s">
        <v>37</v>
      </c>
    </row>
    <row r="592" spans="1:12" x14ac:dyDescent="0.25">
      <c r="A592" s="1" t="s">
        <v>634</v>
      </c>
      <c r="B592" s="1" t="s">
        <v>70</v>
      </c>
      <c r="C592" s="1" t="s">
        <v>14</v>
      </c>
      <c r="D592" s="1">
        <v>32</v>
      </c>
      <c r="E592" s="1" t="s">
        <v>19</v>
      </c>
      <c r="F592" s="1">
        <v>13</v>
      </c>
      <c r="G592" s="1">
        <v>27399</v>
      </c>
      <c r="H592" s="1">
        <v>6</v>
      </c>
      <c r="I592" s="1">
        <v>50</v>
      </c>
      <c r="J592" s="1">
        <v>1</v>
      </c>
      <c r="K592" s="1">
        <v>91</v>
      </c>
      <c r="L592" s="1" t="s">
        <v>32</v>
      </c>
    </row>
    <row r="593" spans="1:12" x14ac:dyDescent="0.25">
      <c r="A593" s="1" t="s">
        <v>635</v>
      </c>
      <c r="B593" s="1" t="s">
        <v>89</v>
      </c>
      <c r="C593" s="1" t="s">
        <v>14</v>
      </c>
      <c r="D593" s="1">
        <v>37</v>
      </c>
      <c r="E593" s="1" t="s">
        <v>15</v>
      </c>
      <c r="F593" s="1">
        <v>1</v>
      </c>
      <c r="G593" s="1">
        <v>47113</v>
      </c>
      <c r="H593" s="1">
        <v>4</v>
      </c>
      <c r="I593" s="1">
        <v>47</v>
      </c>
      <c r="J593" s="1">
        <v>2</v>
      </c>
      <c r="K593" s="1">
        <v>99</v>
      </c>
      <c r="L593" s="1" t="s">
        <v>37</v>
      </c>
    </row>
    <row r="594" spans="1:12" x14ac:dyDescent="0.25">
      <c r="A594" s="1" t="s">
        <v>636</v>
      </c>
      <c r="B594" s="1" t="s">
        <v>53</v>
      </c>
      <c r="C594" s="1" t="s">
        <v>22</v>
      </c>
      <c r="D594" s="1">
        <v>31</v>
      </c>
      <c r="E594" s="1" t="s">
        <v>19</v>
      </c>
      <c r="F594" s="1">
        <v>7</v>
      </c>
      <c r="G594" s="1">
        <v>37458</v>
      </c>
      <c r="H594" s="1">
        <v>13</v>
      </c>
      <c r="I594" s="1">
        <v>42</v>
      </c>
      <c r="J594" s="1">
        <v>2</v>
      </c>
      <c r="K594" s="1">
        <v>99</v>
      </c>
      <c r="L594" s="1" t="s">
        <v>37</v>
      </c>
    </row>
    <row r="595" spans="1:12" x14ac:dyDescent="0.25">
      <c r="A595" s="1" t="s">
        <v>637</v>
      </c>
      <c r="B595" s="1" t="s">
        <v>18</v>
      </c>
      <c r="C595" s="1" t="s">
        <v>29</v>
      </c>
      <c r="D595" s="1">
        <v>31</v>
      </c>
      <c r="E595" s="1" t="s">
        <v>19</v>
      </c>
      <c r="F595" s="1">
        <v>4</v>
      </c>
      <c r="G595" s="1">
        <v>49119</v>
      </c>
      <c r="H595" s="1">
        <v>11</v>
      </c>
      <c r="I595" s="1">
        <v>39</v>
      </c>
      <c r="J595" s="1">
        <v>2</v>
      </c>
      <c r="K595" s="1">
        <v>90</v>
      </c>
      <c r="L595" s="1" t="s">
        <v>26</v>
      </c>
    </row>
    <row r="596" spans="1:12" x14ac:dyDescent="0.25">
      <c r="A596" s="1" t="s">
        <v>638</v>
      </c>
      <c r="B596" s="1" t="s">
        <v>83</v>
      </c>
      <c r="C596" s="1" t="s">
        <v>25</v>
      </c>
      <c r="D596" s="1">
        <v>29</v>
      </c>
      <c r="E596" s="1" t="s">
        <v>19</v>
      </c>
      <c r="F596" s="1">
        <v>3</v>
      </c>
      <c r="G596" s="1">
        <v>27788</v>
      </c>
      <c r="H596" s="1">
        <v>12</v>
      </c>
      <c r="I596" s="1">
        <v>41</v>
      </c>
      <c r="J596" s="1">
        <v>3</v>
      </c>
      <c r="K596" s="1">
        <v>88</v>
      </c>
      <c r="L596" s="1" t="s">
        <v>16</v>
      </c>
    </row>
    <row r="597" spans="1:12" x14ac:dyDescent="0.25">
      <c r="A597" s="1" t="s">
        <v>639</v>
      </c>
      <c r="B597" s="1" t="s">
        <v>34</v>
      </c>
      <c r="C597" s="1" t="s">
        <v>14</v>
      </c>
      <c r="D597" s="1">
        <v>22</v>
      </c>
      <c r="E597" s="1" t="s">
        <v>19</v>
      </c>
      <c r="F597" s="1">
        <v>5</v>
      </c>
      <c r="G597" s="1">
        <v>27252</v>
      </c>
      <c r="H597" s="1">
        <v>10</v>
      </c>
      <c r="I597" s="1">
        <v>45</v>
      </c>
      <c r="J597" s="1">
        <v>5</v>
      </c>
      <c r="K597" s="1">
        <v>94</v>
      </c>
      <c r="L597" s="1" t="s">
        <v>32</v>
      </c>
    </row>
    <row r="598" spans="1:12" x14ac:dyDescent="0.25">
      <c r="A598" s="1" t="s">
        <v>640</v>
      </c>
      <c r="B598" s="1" t="s">
        <v>36</v>
      </c>
      <c r="C598" s="1" t="s">
        <v>29</v>
      </c>
      <c r="D598" s="1">
        <v>35</v>
      </c>
      <c r="E598" s="1" t="s">
        <v>15</v>
      </c>
      <c r="F598" s="1">
        <v>8</v>
      </c>
      <c r="G598" s="1">
        <v>25114</v>
      </c>
      <c r="H598" s="1">
        <v>5</v>
      </c>
      <c r="I598" s="1">
        <v>38</v>
      </c>
      <c r="J598" s="1">
        <v>4</v>
      </c>
      <c r="K598" s="1">
        <v>88</v>
      </c>
      <c r="L598" s="1" t="s">
        <v>32</v>
      </c>
    </row>
    <row r="599" spans="1:12" x14ac:dyDescent="0.25">
      <c r="A599" s="1" t="s">
        <v>641</v>
      </c>
      <c r="B599" s="1" t="s">
        <v>83</v>
      </c>
      <c r="C599" s="1" t="s">
        <v>14</v>
      </c>
      <c r="D599" s="1">
        <v>23</v>
      </c>
      <c r="E599" s="1" t="s">
        <v>19</v>
      </c>
      <c r="F599" s="1">
        <v>12</v>
      </c>
      <c r="G599" s="1">
        <v>75326</v>
      </c>
      <c r="H599" s="1">
        <v>6</v>
      </c>
      <c r="I599" s="1">
        <v>37</v>
      </c>
      <c r="J599" s="1">
        <v>5</v>
      </c>
      <c r="K599" s="1">
        <v>90</v>
      </c>
      <c r="L599" s="1" t="s">
        <v>37</v>
      </c>
    </row>
    <row r="600" spans="1:12" x14ac:dyDescent="0.25">
      <c r="A600" s="1" t="s">
        <v>642</v>
      </c>
      <c r="B600" s="1" t="s">
        <v>53</v>
      </c>
      <c r="C600" s="1" t="s">
        <v>29</v>
      </c>
      <c r="D600" s="1">
        <v>30</v>
      </c>
      <c r="E600" s="1" t="s">
        <v>19</v>
      </c>
      <c r="F600" s="1">
        <v>1</v>
      </c>
      <c r="G600" s="1">
        <v>28491</v>
      </c>
      <c r="H600" s="1">
        <v>10</v>
      </c>
      <c r="I600" s="1">
        <v>36</v>
      </c>
      <c r="J600" s="1">
        <v>1</v>
      </c>
      <c r="K600" s="1">
        <v>86</v>
      </c>
      <c r="L600" s="1" t="s">
        <v>37</v>
      </c>
    </row>
    <row r="601" spans="1:12" x14ac:dyDescent="0.25">
      <c r="A601" s="1" t="s">
        <v>643</v>
      </c>
      <c r="B601" s="1" t="s">
        <v>36</v>
      </c>
      <c r="C601" s="1" t="s">
        <v>14</v>
      </c>
      <c r="D601" s="1">
        <v>39</v>
      </c>
      <c r="E601" s="1" t="s">
        <v>15</v>
      </c>
      <c r="F601" s="1">
        <v>9</v>
      </c>
      <c r="G601" s="1">
        <v>55784</v>
      </c>
      <c r="H601" s="1">
        <v>13</v>
      </c>
      <c r="I601" s="1">
        <v>49</v>
      </c>
      <c r="J601" s="1">
        <v>5</v>
      </c>
      <c r="K601" s="1">
        <v>85</v>
      </c>
      <c r="L601" s="1" t="s">
        <v>26</v>
      </c>
    </row>
    <row r="602" spans="1:12" x14ac:dyDescent="0.25">
      <c r="A602" s="1" t="s">
        <v>644</v>
      </c>
      <c r="B602" s="1" t="s">
        <v>94</v>
      </c>
      <c r="C602" s="1" t="s">
        <v>22</v>
      </c>
      <c r="D602" s="1">
        <v>36</v>
      </c>
      <c r="E602" s="1" t="s">
        <v>19</v>
      </c>
      <c r="F602" s="1">
        <v>1</v>
      </c>
      <c r="G602" s="1">
        <v>75488</v>
      </c>
      <c r="H602" s="1">
        <v>8</v>
      </c>
      <c r="I602" s="1">
        <v>40</v>
      </c>
      <c r="J602" s="1">
        <v>3</v>
      </c>
      <c r="K602" s="1">
        <v>87</v>
      </c>
      <c r="L602" s="1" t="s">
        <v>32</v>
      </c>
    </row>
    <row r="603" spans="1:12" x14ac:dyDescent="0.25">
      <c r="A603" s="1" t="s">
        <v>645</v>
      </c>
      <c r="B603" s="1" t="s">
        <v>65</v>
      </c>
      <c r="C603" s="1" t="s">
        <v>25</v>
      </c>
      <c r="D603" s="1">
        <v>40</v>
      </c>
      <c r="E603" s="1" t="s">
        <v>19</v>
      </c>
      <c r="F603" s="1">
        <v>7</v>
      </c>
      <c r="G603" s="1">
        <v>70483</v>
      </c>
      <c r="H603" s="1">
        <v>14</v>
      </c>
      <c r="I603" s="1">
        <v>43</v>
      </c>
      <c r="J603" s="1">
        <v>2</v>
      </c>
      <c r="K603" s="1">
        <v>88</v>
      </c>
      <c r="L603" s="1" t="s">
        <v>26</v>
      </c>
    </row>
    <row r="604" spans="1:12" x14ac:dyDescent="0.25">
      <c r="A604" s="1" t="s">
        <v>646</v>
      </c>
      <c r="B604" s="1" t="s">
        <v>43</v>
      </c>
      <c r="C604" s="1" t="s">
        <v>25</v>
      </c>
      <c r="D604" s="1">
        <v>31</v>
      </c>
      <c r="E604" s="1" t="s">
        <v>15</v>
      </c>
      <c r="F604" s="1">
        <v>6</v>
      </c>
      <c r="G604" s="1">
        <v>29190</v>
      </c>
      <c r="H604" s="1">
        <v>12</v>
      </c>
      <c r="I604" s="1">
        <v>38</v>
      </c>
      <c r="J604" s="1">
        <v>4</v>
      </c>
      <c r="K604" s="1">
        <v>88</v>
      </c>
      <c r="L604" s="1" t="s">
        <v>32</v>
      </c>
    </row>
    <row r="605" spans="1:12" x14ac:dyDescent="0.25">
      <c r="A605" s="1" t="s">
        <v>647</v>
      </c>
      <c r="B605" s="1" t="s">
        <v>81</v>
      </c>
      <c r="C605" s="1" t="s">
        <v>25</v>
      </c>
      <c r="D605" s="1">
        <v>32</v>
      </c>
      <c r="E605" s="1" t="s">
        <v>15</v>
      </c>
      <c r="F605" s="1">
        <v>14</v>
      </c>
      <c r="G605" s="1">
        <v>67574</v>
      </c>
      <c r="H605" s="1">
        <v>5</v>
      </c>
      <c r="I605" s="1">
        <v>44</v>
      </c>
      <c r="J605" s="1">
        <v>2</v>
      </c>
      <c r="K605" s="1">
        <v>99</v>
      </c>
      <c r="L605" s="1" t="s">
        <v>26</v>
      </c>
    </row>
    <row r="606" spans="1:12" x14ac:dyDescent="0.25">
      <c r="A606" s="1" t="s">
        <v>648</v>
      </c>
      <c r="B606" s="1" t="s">
        <v>81</v>
      </c>
      <c r="C606" s="1" t="s">
        <v>29</v>
      </c>
      <c r="D606" s="1">
        <v>28</v>
      </c>
      <c r="E606" s="1" t="s">
        <v>15</v>
      </c>
      <c r="F606" s="1">
        <v>10</v>
      </c>
      <c r="G606" s="1">
        <v>69634</v>
      </c>
      <c r="H606" s="1">
        <v>15</v>
      </c>
      <c r="I606" s="1">
        <v>49</v>
      </c>
      <c r="J606" s="1">
        <v>2</v>
      </c>
      <c r="K606" s="1">
        <v>99</v>
      </c>
      <c r="L606" s="1" t="s">
        <v>51</v>
      </c>
    </row>
    <row r="607" spans="1:12" x14ac:dyDescent="0.25">
      <c r="A607" s="1" t="s">
        <v>649</v>
      </c>
      <c r="B607" s="1" t="s">
        <v>63</v>
      </c>
      <c r="C607" s="1" t="s">
        <v>25</v>
      </c>
      <c r="D607" s="1">
        <v>28</v>
      </c>
      <c r="E607" s="1" t="s">
        <v>19</v>
      </c>
      <c r="F607" s="1">
        <v>13</v>
      </c>
      <c r="G607" s="1">
        <v>79263</v>
      </c>
      <c r="H607" s="1">
        <v>10</v>
      </c>
      <c r="I607" s="1">
        <v>46</v>
      </c>
      <c r="J607" s="1">
        <v>4</v>
      </c>
      <c r="K607" s="1">
        <v>87</v>
      </c>
      <c r="L607" s="1" t="s">
        <v>23</v>
      </c>
    </row>
    <row r="608" spans="1:12" x14ac:dyDescent="0.25">
      <c r="A608" s="1" t="s">
        <v>650</v>
      </c>
      <c r="B608" s="1" t="s">
        <v>77</v>
      </c>
      <c r="C608" s="1" t="s">
        <v>29</v>
      </c>
      <c r="D608" s="1">
        <v>33</v>
      </c>
      <c r="E608" s="1" t="s">
        <v>19</v>
      </c>
      <c r="F608" s="1">
        <v>8</v>
      </c>
      <c r="G608" s="1">
        <v>30040</v>
      </c>
      <c r="H608" s="1">
        <v>11</v>
      </c>
      <c r="I608" s="1">
        <v>39</v>
      </c>
      <c r="J608" s="1">
        <v>4</v>
      </c>
      <c r="K608" s="1">
        <v>100</v>
      </c>
      <c r="L608" s="1" t="s">
        <v>51</v>
      </c>
    </row>
    <row r="609" spans="1:12" x14ac:dyDescent="0.25">
      <c r="A609" s="1" t="s">
        <v>651</v>
      </c>
      <c r="B609" s="1" t="s">
        <v>28</v>
      </c>
      <c r="C609" s="1" t="s">
        <v>29</v>
      </c>
      <c r="D609" s="1">
        <v>26</v>
      </c>
      <c r="E609" s="1" t="s">
        <v>19</v>
      </c>
      <c r="F609" s="1">
        <v>8</v>
      </c>
      <c r="G609" s="1">
        <v>45247</v>
      </c>
      <c r="H609" s="1">
        <v>15</v>
      </c>
      <c r="I609" s="1">
        <v>35</v>
      </c>
      <c r="J609" s="1">
        <v>1</v>
      </c>
      <c r="K609" s="1">
        <v>90</v>
      </c>
      <c r="L609" s="1" t="s">
        <v>23</v>
      </c>
    </row>
    <row r="610" spans="1:12" x14ac:dyDescent="0.25">
      <c r="A610" s="1" t="s">
        <v>652</v>
      </c>
      <c r="B610" s="1" t="s">
        <v>13</v>
      </c>
      <c r="C610" s="1" t="s">
        <v>25</v>
      </c>
      <c r="D610" s="1">
        <v>36</v>
      </c>
      <c r="E610" s="1" t="s">
        <v>15</v>
      </c>
      <c r="F610" s="1">
        <v>11</v>
      </c>
      <c r="G610" s="1">
        <v>61878</v>
      </c>
      <c r="H610" s="1">
        <v>9</v>
      </c>
      <c r="I610" s="1">
        <v>42</v>
      </c>
      <c r="J610" s="1">
        <v>1</v>
      </c>
      <c r="K610" s="1">
        <v>97</v>
      </c>
      <c r="L610" s="1" t="s">
        <v>37</v>
      </c>
    </row>
    <row r="611" spans="1:12" x14ac:dyDescent="0.25">
      <c r="A611" s="1" t="s">
        <v>653</v>
      </c>
      <c r="B611" s="1" t="s">
        <v>43</v>
      </c>
      <c r="C611" s="1" t="s">
        <v>14</v>
      </c>
      <c r="D611" s="1">
        <v>32</v>
      </c>
      <c r="E611" s="1" t="s">
        <v>19</v>
      </c>
      <c r="F611" s="1">
        <v>7</v>
      </c>
      <c r="G611" s="1">
        <v>53244</v>
      </c>
      <c r="H611" s="1">
        <v>9</v>
      </c>
      <c r="I611" s="1">
        <v>37</v>
      </c>
      <c r="J611" s="1">
        <v>3</v>
      </c>
      <c r="K611" s="1">
        <v>88</v>
      </c>
      <c r="L611" s="1" t="s">
        <v>32</v>
      </c>
    </row>
    <row r="612" spans="1:12" x14ac:dyDescent="0.25">
      <c r="A612" s="1" t="s">
        <v>654</v>
      </c>
      <c r="B612" s="1" t="s">
        <v>28</v>
      </c>
      <c r="C612" s="1" t="s">
        <v>29</v>
      </c>
      <c r="D612" s="1">
        <v>37</v>
      </c>
      <c r="E612" s="1" t="s">
        <v>15</v>
      </c>
      <c r="F612" s="1">
        <v>14</v>
      </c>
      <c r="G612" s="1">
        <v>52763</v>
      </c>
      <c r="H612" s="1">
        <v>4</v>
      </c>
      <c r="I612" s="1">
        <v>49</v>
      </c>
      <c r="J612" s="1">
        <v>1</v>
      </c>
      <c r="K612" s="1">
        <v>94</v>
      </c>
      <c r="L612" s="1" t="s">
        <v>26</v>
      </c>
    </row>
    <row r="613" spans="1:12" x14ac:dyDescent="0.25">
      <c r="A613" s="1" t="s">
        <v>655</v>
      </c>
      <c r="B613" s="1" t="s">
        <v>77</v>
      </c>
      <c r="C613" s="1" t="s">
        <v>29</v>
      </c>
      <c r="D613" s="1">
        <v>34</v>
      </c>
      <c r="E613" s="1" t="s">
        <v>19</v>
      </c>
      <c r="F613" s="1">
        <v>15</v>
      </c>
      <c r="G613" s="1">
        <v>43880</v>
      </c>
      <c r="H613" s="1">
        <v>3</v>
      </c>
      <c r="I613" s="1">
        <v>43</v>
      </c>
      <c r="J613" s="1">
        <v>4</v>
      </c>
      <c r="K613" s="1">
        <v>97</v>
      </c>
      <c r="L613" s="1" t="s">
        <v>51</v>
      </c>
    </row>
    <row r="614" spans="1:12" x14ac:dyDescent="0.25">
      <c r="A614" s="1" t="s">
        <v>656</v>
      </c>
      <c r="B614" s="1" t="s">
        <v>21</v>
      </c>
      <c r="C614" s="1" t="s">
        <v>25</v>
      </c>
      <c r="D614" s="1">
        <v>25</v>
      </c>
      <c r="E614" s="1" t="s">
        <v>15</v>
      </c>
      <c r="F614" s="1">
        <v>5</v>
      </c>
      <c r="G614" s="1">
        <v>38025</v>
      </c>
      <c r="H614" s="1">
        <v>12</v>
      </c>
      <c r="I614" s="1">
        <v>41</v>
      </c>
      <c r="J614" s="1">
        <v>2</v>
      </c>
      <c r="K614" s="1">
        <v>86</v>
      </c>
      <c r="L614" s="1" t="s">
        <v>51</v>
      </c>
    </row>
    <row r="615" spans="1:12" x14ac:dyDescent="0.25">
      <c r="A615" s="1" t="s">
        <v>657</v>
      </c>
      <c r="B615" s="1" t="s">
        <v>75</v>
      </c>
      <c r="C615" s="1" t="s">
        <v>25</v>
      </c>
      <c r="D615" s="1">
        <v>35</v>
      </c>
      <c r="E615" s="1" t="s">
        <v>15</v>
      </c>
      <c r="F615" s="1">
        <v>10</v>
      </c>
      <c r="G615" s="1">
        <v>52130</v>
      </c>
      <c r="H615" s="1">
        <v>9</v>
      </c>
      <c r="I615" s="1">
        <v>40</v>
      </c>
      <c r="J615" s="1">
        <v>1</v>
      </c>
      <c r="K615" s="1">
        <v>94</v>
      </c>
      <c r="L615" s="1" t="s">
        <v>37</v>
      </c>
    </row>
    <row r="616" spans="1:12" x14ac:dyDescent="0.25">
      <c r="A616" s="1" t="s">
        <v>658</v>
      </c>
      <c r="B616" s="1" t="s">
        <v>83</v>
      </c>
      <c r="C616" s="1" t="s">
        <v>25</v>
      </c>
      <c r="D616" s="1">
        <v>34</v>
      </c>
      <c r="E616" s="1" t="s">
        <v>15</v>
      </c>
      <c r="F616" s="1">
        <v>9</v>
      </c>
      <c r="G616" s="1">
        <v>47386</v>
      </c>
      <c r="H616" s="1">
        <v>3</v>
      </c>
      <c r="I616" s="1">
        <v>37</v>
      </c>
      <c r="J616" s="1">
        <v>4</v>
      </c>
      <c r="K616" s="1">
        <v>86</v>
      </c>
      <c r="L616" s="1" t="s">
        <v>51</v>
      </c>
    </row>
    <row r="617" spans="1:12" x14ac:dyDescent="0.25">
      <c r="A617" s="1" t="s">
        <v>659</v>
      </c>
      <c r="B617" s="1" t="s">
        <v>43</v>
      </c>
      <c r="C617" s="1" t="s">
        <v>29</v>
      </c>
      <c r="D617" s="1">
        <v>32</v>
      </c>
      <c r="E617" s="1" t="s">
        <v>19</v>
      </c>
      <c r="F617" s="1">
        <v>8</v>
      </c>
      <c r="G617" s="1">
        <v>65732</v>
      </c>
      <c r="H617" s="1">
        <v>6</v>
      </c>
      <c r="I617" s="1">
        <v>38</v>
      </c>
      <c r="J617" s="1">
        <v>3</v>
      </c>
      <c r="K617" s="1">
        <v>91</v>
      </c>
      <c r="L617" s="1" t="s">
        <v>16</v>
      </c>
    </row>
    <row r="618" spans="1:12" x14ac:dyDescent="0.25">
      <c r="A618" s="1" t="s">
        <v>660</v>
      </c>
      <c r="B618" s="1" t="s">
        <v>63</v>
      </c>
      <c r="C618" s="1" t="s">
        <v>22</v>
      </c>
      <c r="D618" s="1">
        <v>37</v>
      </c>
      <c r="E618" s="1" t="s">
        <v>15</v>
      </c>
      <c r="F618" s="1">
        <v>11</v>
      </c>
      <c r="G618" s="1">
        <v>43197</v>
      </c>
      <c r="H618" s="1">
        <v>14</v>
      </c>
      <c r="I618" s="1">
        <v>39</v>
      </c>
      <c r="J618" s="1">
        <v>2</v>
      </c>
      <c r="K618" s="1">
        <v>91</v>
      </c>
      <c r="L618" s="1" t="s">
        <v>51</v>
      </c>
    </row>
    <row r="619" spans="1:12" x14ac:dyDescent="0.25">
      <c r="A619" s="1" t="s">
        <v>661</v>
      </c>
      <c r="B619" s="1" t="s">
        <v>83</v>
      </c>
      <c r="C619" s="1" t="s">
        <v>22</v>
      </c>
      <c r="D619" s="1">
        <v>31</v>
      </c>
      <c r="E619" s="1" t="s">
        <v>19</v>
      </c>
      <c r="F619" s="1">
        <v>9</v>
      </c>
      <c r="G619" s="1">
        <v>60967</v>
      </c>
      <c r="H619" s="1">
        <v>9</v>
      </c>
      <c r="I619" s="1">
        <v>50</v>
      </c>
      <c r="J619" s="1">
        <v>5</v>
      </c>
      <c r="K619" s="1">
        <v>100</v>
      </c>
      <c r="L619" s="1" t="s">
        <v>26</v>
      </c>
    </row>
    <row r="620" spans="1:12" x14ac:dyDescent="0.25">
      <c r="A620" s="1" t="s">
        <v>662</v>
      </c>
      <c r="B620" s="1" t="s">
        <v>63</v>
      </c>
      <c r="C620" s="1" t="s">
        <v>29</v>
      </c>
      <c r="D620" s="1">
        <v>30</v>
      </c>
      <c r="E620" s="1" t="s">
        <v>19</v>
      </c>
      <c r="F620" s="1">
        <v>8</v>
      </c>
      <c r="G620" s="1">
        <v>37145</v>
      </c>
      <c r="H620" s="1">
        <v>8</v>
      </c>
      <c r="I620" s="1">
        <v>47</v>
      </c>
      <c r="J620" s="1">
        <v>4</v>
      </c>
      <c r="K620" s="1">
        <v>92</v>
      </c>
      <c r="L620" s="1" t="s">
        <v>32</v>
      </c>
    </row>
    <row r="621" spans="1:12" x14ac:dyDescent="0.25">
      <c r="A621" s="1" t="s">
        <v>663</v>
      </c>
      <c r="B621" s="1" t="s">
        <v>53</v>
      </c>
      <c r="C621" s="1" t="s">
        <v>22</v>
      </c>
      <c r="D621" s="1">
        <v>29</v>
      </c>
      <c r="E621" s="1" t="s">
        <v>15</v>
      </c>
      <c r="F621" s="1">
        <v>7</v>
      </c>
      <c r="G621" s="1">
        <v>33228</v>
      </c>
      <c r="H621" s="1">
        <v>15</v>
      </c>
      <c r="I621" s="1">
        <v>42</v>
      </c>
      <c r="J621" s="1">
        <v>5</v>
      </c>
      <c r="K621" s="1">
        <v>92</v>
      </c>
      <c r="L621" s="1" t="s">
        <v>26</v>
      </c>
    </row>
    <row r="622" spans="1:12" x14ac:dyDescent="0.25">
      <c r="A622" s="1" t="s">
        <v>664</v>
      </c>
      <c r="B622" s="1" t="s">
        <v>34</v>
      </c>
      <c r="C622" s="1" t="s">
        <v>22</v>
      </c>
      <c r="D622" s="1">
        <v>29</v>
      </c>
      <c r="E622" s="1" t="s">
        <v>15</v>
      </c>
      <c r="F622" s="1">
        <v>15</v>
      </c>
      <c r="G622" s="1">
        <v>27665</v>
      </c>
      <c r="H622" s="1">
        <v>13</v>
      </c>
      <c r="I622" s="1">
        <v>45</v>
      </c>
      <c r="J622" s="1">
        <v>3</v>
      </c>
      <c r="K622" s="1">
        <v>100</v>
      </c>
      <c r="L622" s="1" t="s">
        <v>16</v>
      </c>
    </row>
    <row r="623" spans="1:12" x14ac:dyDescent="0.25">
      <c r="A623" s="1" t="s">
        <v>665</v>
      </c>
      <c r="B623" s="1" t="s">
        <v>21</v>
      </c>
      <c r="C623" s="1" t="s">
        <v>25</v>
      </c>
      <c r="D623" s="1">
        <v>22</v>
      </c>
      <c r="E623" s="1" t="s">
        <v>15</v>
      </c>
      <c r="F623" s="1">
        <v>12</v>
      </c>
      <c r="G623" s="1">
        <v>49985</v>
      </c>
      <c r="H623" s="1">
        <v>5</v>
      </c>
      <c r="I623" s="1">
        <v>50</v>
      </c>
      <c r="J623" s="1">
        <v>2</v>
      </c>
      <c r="K623" s="1">
        <v>85</v>
      </c>
      <c r="L623" s="1" t="s">
        <v>51</v>
      </c>
    </row>
    <row r="624" spans="1:12" x14ac:dyDescent="0.25">
      <c r="A624" s="1" t="s">
        <v>666</v>
      </c>
      <c r="B624" s="1" t="s">
        <v>63</v>
      </c>
      <c r="C624" s="1" t="s">
        <v>22</v>
      </c>
      <c r="D624" s="1">
        <v>37</v>
      </c>
      <c r="E624" s="1" t="s">
        <v>19</v>
      </c>
      <c r="F624" s="1">
        <v>13</v>
      </c>
      <c r="G624" s="1">
        <v>27017</v>
      </c>
      <c r="H624" s="1">
        <v>11</v>
      </c>
      <c r="I624" s="1">
        <v>47</v>
      </c>
      <c r="J624" s="1">
        <v>2</v>
      </c>
      <c r="K624" s="1">
        <v>93</v>
      </c>
      <c r="L624" s="1" t="s">
        <v>16</v>
      </c>
    </row>
    <row r="625" spans="1:12" x14ac:dyDescent="0.25">
      <c r="A625" s="1" t="s">
        <v>667</v>
      </c>
      <c r="B625" s="1" t="s">
        <v>75</v>
      </c>
      <c r="C625" s="1" t="s">
        <v>22</v>
      </c>
      <c r="D625" s="1">
        <v>22</v>
      </c>
      <c r="E625" s="1" t="s">
        <v>15</v>
      </c>
      <c r="F625" s="1">
        <v>6</v>
      </c>
      <c r="G625" s="1">
        <v>45809</v>
      </c>
      <c r="H625" s="1">
        <v>15</v>
      </c>
      <c r="I625" s="1">
        <v>41</v>
      </c>
      <c r="J625" s="1">
        <v>5</v>
      </c>
      <c r="K625" s="1">
        <v>87</v>
      </c>
      <c r="L625" s="1" t="s">
        <v>23</v>
      </c>
    </row>
    <row r="626" spans="1:12" x14ac:dyDescent="0.25">
      <c r="A626" s="1" t="s">
        <v>668</v>
      </c>
      <c r="B626" s="1" t="s">
        <v>28</v>
      </c>
      <c r="C626" s="1" t="s">
        <v>14</v>
      </c>
      <c r="D626" s="1">
        <v>38</v>
      </c>
      <c r="E626" s="1" t="s">
        <v>19</v>
      </c>
      <c r="F626" s="1">
        <v>10</v>
      </c>
      <c r="G626" s="1">
        <v>59673</v>
      </c>
      <c r="H626" s="1">
        <v>9</v>
      </c>
      <c r="I626" s="1">
        <v>42</v>
      </c>
      <c r="J626" s="1">
        <v>5</v>
      </c>
      <c r="K626" s="1">
        <v>95</v>
      </c>
      <c r="L626" s="1" t="s">
        <v>32</v>
      </c>
    </row>
    <row r="627" spans="1:12" x14ac:dyDescent="0.25">
      <c r="A627" s="1" t="s">
        <v>669</v>
      </c>
      <c r="B627" s="1" t="s">
        <v>75</v>
      </c>
      <c r="C627" s="1" t="s">
        <v>29</v>
      </c>
      <c r="D627" s="1">
        <v>38</v>
      </c>
      <c r="E627" s="1" t="s">
        <v>15</v>
      </c>
      <c r="F627" s="1">
        <v>15</v>
      </c>
      <c r="G627" s="1">
        <v>32214</v>
      </c>
      <c r="H627" s="1">
        <v>14</v>
      </c>
      <c r="I627" s="1">
        <v>43</v>
      </c>
      <c r="J627" s="1">
        <v>5</v>
      </c>
      <c r="K627" s="1">
        <v>92</v>
      </c>
      <c r="L627" s="1" t="s">
        <v>23</v>
      </c>
    </row>
    <row r="628" spans="1:12" x14ac:dyDescent="0.25">
      <c r="A628" s="1" t="s">
        <v>670</v>
      </c>
      <c r="B628" s="1" t="s">
        <v>70</v>
      </c>
      <c r="C628" s="1" t="s">
        <v>14</v>
      </c>
      <c r="D628" s="1">
        <v>27</v>
      </c>
      <c r="E628" s="1" t="s">
        <v>19</v>
      </c>
      <c r="F628" s="1">
        <v>12</v>
      </c>
      <c r="G628" s="1">
        <v>33737</v>
      </c>
      <c r="H628" s="1">
        <v>3</v>
      </c>
      <c r="I628" s="1">
        <v>46</v>
      </c>
      <c r="J628" s="1">
        <v>1</v>
      </c>
      <c r="K628" s="1">
        <v>88</v>
      </c>
      <c r="L628" s="1" t="s">
        <v>23</v>
      </c>
    </row>
    <row r="629" spans="1:12" x14ac:dyDescent="0.25">
      <c r="A629" s="1" t="s">
        <v>671</v>
      </c>
      <c r="B629" s="1" t="s">
        <v>36</v>
      </c>
      <c r="C629" s="1" t="s">
        <v>22</v>
      </c>
      <c r="D629" s="1">
        <v>26</v>
      </c>
      <c r="E629" s="1" t="s">
        <v>15</v>
      </c>
      <c r="F629" s="1">
        <v>2</v>
      </c>
      <c r="G629" s="1">
        <v>50872</v>
      </c>
      <c r="H629" s="1">
        <v>15</v>
      </c>
      <c r="I629" s="1">
        <v>43</v>
      </c>
      <c r="J629" s="1">
        <v>2</v>
      </c>
      <c r="K629" s="1">
        <v>98</v>
      </c>
      <c r="L629" s="1" t="s">
        <v>37</v>
      </c>
    </row>
    <row r="630" spans="1:12" x14ac:dyDescent="0.25">
      <c r="A630" s="1" t="s">
        <v>672</v>
      </c>
      <c r="B630" s="1" t="s">
        <v>63</v>
      </c>
      <c r="C630" s="1" t="s">
        <v>14</v>
      </c>
      <c r="D630" s="1">
        <v>23</v>
      </c>
      <c r="E630" s="1" t="s">
        <v>15</v>
      </c>
      <c r="F630" s="1">
        <v>2</v>
      </c>
      <c r="G630" s="1">
        <v>73954</v>
      </c>
      <c r="H630" s="1">
        <v>9</v>
      </c>
      <c r="I630" s="1">
        <v>41</v>
      </c>
      <c r="J630" s="1">
        <v>3</v>
      </c>
      <c r="K630" s="1">
        <v>100</v>
      </c>
      <c r="L630" s="1" t="s">
        <v>26</v>
      </c>
    </row>
    <row r="631" spans="1:12" x14ac:dyDescent="0.25">
      <c r="A631" s="1" t="s">
        <v>673</v>
      </c>
      <c r="B631" s="1" t="s">
        <v>34</v>
      </c>
      <c r="C631" s="1" t="s">
        <v>14</v>
      </c>
      <c r="D631" s="1">
        <v>35</v>
      </c>
      <c r="E631" s="1" t="s">
        <v>15</v>
      </c>
      <c r="F631" s="1">
        <v>11</v>
      </c>
      <c r="G631" s="1">
        <v>53316</v>
      </c>
      <c r="H631" s="1">
        <v>8</v>
      </c>
      <c r="I631" s="1">
        <v>39</v>
      </c>
      <c r="J631" s="1">
        <v>5</v>
      </c>
      <c r="K631" s="1">
        <v>97</v>
      </c>
      <c r="L631" s="1" t="s">
        <v>37</v>
      </c>
    </row>
    <row r="632" spans="1:12" x14ac:dyDescent="0.25">
      <c r="A632" s="1" t="s">
        <v>674</v>
      </c>
      <c r="B632" s="1" t="s">
        <v>53</v>
      </c>
      <c r="C632" s="1" t="s">
        <v>14</v>
      </c>
      <c r="D632" s="1">
        <v>24</v>
      </c>
      <c r="E632" s="1" t="s">
        <v>15</v>
      </c>
      <c r="F632" s="1">
        <v>9</v>
      </c>
      <c r="G632" s="1">
        <v>26010</v>
      </c>
      <c r="H632" s="1">
        <v>3</v>
      </c>
      <c r="I632" s="1">
        <v>35</v>
      </c>
      <c r="J632" s="1">
        <v>5</v>
      </c>
      <c r="K632" s="1">
        <v>100</v>
      </c>
      <c r="L632" s="1" t="s">
        <v>32</v>
      </c>
    </row>
    <row r="633" spans="1:12" x14ac:dyDescent="0.25">
      <c r="A633" s="1" t="s">
        <v>675</v>
      </c>
      <c r="B633" s="1" t="s">
        <v>75</v>
      </c>
      <c r="C633" s="1" t="s">
        <v>14</v>
      </c>
      <c r="D633" s="1">
        <v>31</v>
      </c>
      <c r="E633" s="1" t="s">
        <v>15</v>
      </c>
      <c r="F633" s="1">
        <v>8</v>
      </c>
      <c r="G633" s="1">
        <v>47805</v>
      </c>
      <c r="H633" s="1">
        <v>15</v>
      </c>
      <c r="I633" s="1">
        <v>44</v>
      </c>
      <c r="J633" s="1">
        <v>1</v>
      </c>
      <c r="K633" s="1">
        <v>88</v>
      </c>
      <c r="L633" s="1" t="s">
        <v>23</v>
      </c>
    </row>
    <row r="634" spans="1:12" x14ac:dyDescent="0.25">
      <c r="A634" s="1" t="s">
        <v>676</v>
      </c>
      <c r="B634" s="1" t="s">
        <v>45</v>
      </c>
      <c r="C634" s="1" t="s">
        <v>14</v>
      </c>
      <c r="D634" s="1">
        <v>37</v>
      </c>
      <c r="E634" s="1" t="s">
        <v>15</v>
      </c>
      <c r="F634" s="1">
        <v>6</v>
      </c>
      <c r="G634" s="1">
        <v>76342</v>
      </c>
      <c r="H634" s="1">
        <v>11</v>
      </c>
      <c r="I634" s="1">
        <v>43</v>
      </c>
      <c r="J634" s="1">
        <v>3</v>
      </c>
      <c r="K634" s="1">
        <v>91</v>
      </c>
      <c r="L634" s="1" t="s">
        <v>37</v>
      </c>
    </row>
    <row r="635" spans="1:12" x14ac:dyDescent="0.25">
      <c r="A635" s="1" t="s">
        <v>677</v>
      </c>
      <c r="B635" s="1" t="s">
        <v>77</v>
      </c>
      <c r="C635" s="1" t="s">
        <v>29</v>
      </c>
      <c r="D635" s="1">
        <v>38</v>
      </c>
      <c r="E635" s="1" t="s">
        <v>15</v>
      </c>
      <c r="F635" s="1">
        <v>15</v>
      </c>
      <c r="G635" s="1">
        <v>46842</v>
      </c>
      <c r="H635" s="1">
        <v>13</v>
      </c>
      <c r="I635" s="1">
        <v>50</v>
      </c>
      <c r="J635" s="1">
        <v>1</v>
      </c>
      <c r="K635" s="1">
        <v>90</v>
      </c>
      <c r="L635" s="1" t="s">
        <v>23</v>
      </c>
    </row>
    <row r="636" spans="1:12" x14ac:dyDescent="0.25">
      <c r="A636" s="1" t="s">
        <v>678</v>
      </c>
      <c r="B636" s="1" t="s">
        <v>31</v>
      </c>
      <c r="C636" s="1" t="s">
        <v>25</v>
      </c>
      <c r="D636" s="1">
        <v>33</v>
      </c>
      <c r="E636" s="1" t="s">
        <v>15</v>
      </c>
      <c r="F636" s="1">
        <v>12</v>
      </c>
      <c r="G636" s="1">
        <v>76956</v>
      </c>
      <c r="H636" s="1">
        <v>7</v>
      </c>
      <c r="I636" s="1">
        <v>46</v>
      </c>
      <c r="J636" s="1">
        <v>3</v>
      </c>
      <c r="K636" s="1">
        <v>90</v>
      </c>
      <c r="L636" s="1" t="s">
        <v>26</v>
      </c>
    </row>
    <row r="637" spans="1:12" x14ac:dyDescent="0.25">
      <c r="A637" s="1" t="s">
        <v>679</v>
      </c>
      <c r="B637" s="1" t="s">
        <v>53</v>
      </c>
      <c r="C637" s="1" t="s">
        <v>22</v>
      </c>
      <c r="D637" s="1">
        <v>25</v>
      </c>
      <c r="E637" s="1" t="s">
        <v>15</v>
      </c>
      <c r="F637" s="1">
        <v>5</v>
      </c>
      <c r="G637" s="1">
        <v>63107</v>
      </c>
      <c r="H637" s="1">
        <v>7</v>
      </c>
      <c r="I637" s="1">
        <v>44</v>
      </c>
      <c r="J637" s="1">
        <v>3</v>
      </c>
      <c r="K637" s="1">
        <v>85</v>
      </c>
      <c r="L637" s="1" t="s">
        <v>37</v>
      </c>
    </row>
    <row r="638" spans="1:12" x14ac:dyDescent="0.25">
      <c r="A638" s="1" t="s">
        <v>680</v>
      </c>
      <c r="B638" s="1" t="s">
        <v>75</v>
      </c>
      <c r="C638" s="1" t="s">
        <v>29</v>
      </c>
      <c r="D638" s="1">
        <v>38</v>
      </c>
      <c r="E638" s="1" t="s">
        <v>15</v>
      </c>
      <c r="F638" s="1">
        <v>15</v>
      </c>
      <c r="G638" s="1">
        <v>66562</v>
      </c>
      <c r="H638" s="1">
        <v>14</v>
      </c>
      <c r="I638" s="1">
        <v>42</v>
      </c>
      <c r="J638" s="1">
        <v>1</v>
      </c>
      <c r="K638" s="1">
        <v>93</v>
      </c>
      <c r="L638" s="1" t="s">
        <v>51</v>
      </c>
    </row>
    <row r="639" spans="1:12" x14ac:dyDescent="0.25">
      <c r="A639" s="1" t="s">
        <v>681</v>
      </c>
      <c r="B639" s="1" t="s">
        <v>89</v>
      </c>
      <c r="C639" s="1" t="s">
        <v>25</v>
      </c>
      <c r="D639" s="1">
        <v>37</v>
      </c>
      <c r="E639" s="1" t="s">
        <v>15</v>
      </c>
      <c r="F639" s="1">
        <v>11</v>
      </c>
      <c r="G639" s="1">
        <v>76423</v>
      </c>
      <c r="H639" s="1">
        <v>15</v>
      </c>
      <c r="I639" s="1">
        <v>35</v>
      </c>
      <c r="J639" s="1">
        <v>5</v>
      </c>
      <c r="K639" s="1">
        <v>94</v>
      </c>
      <c r="L639" s="1" t="s">
        <v>51</v>
      </c>
    </row>
    <row r="640" spans="1:12" x14ac:dyDescent="0.25">
      <c r="A640" s="1" t="s">
        <v>682</v>
      </c>
      <c r="B640" s="1" t="s">
        <v>28</v>
      </c>
      <c r="C640" s="1" t="s">
        <v>22</v>
      </c>
      <c r="D640" s="1">
        <v>25</v>
      </c>
      <c r="E640" s="1" t="s">
        <v>15</v>
      </c>
      <c r="F640" s="1">
        <v>7</v>
      </c>
      <c r="G640" s="1">
        <v>27579</v>
      </c>
      <c r="H640" s="1">
        <v>7</v>
      </c>
      <c r="I640" s="1">
        <v>39</v>
      </c>
      <c r="J640" s="1">
        <v>4</v>
      </c>
      <c r="K640" s="1">
        <v>85</v>
      </c>
      <c r="L640" s="1" t="s">
        <v>26</v>
      </c>
    </row>
    <row r="641" spans="1:12" x14ac:dyDescent="0.25">
      <c r="A641" s="1" t="s">
        <v>683</v>
      </c>
      <c r="B641" s="1" t="s">
        <v>53</v>
      </c>
      <c r="C641" s="1" t="s">
        <v>25</v>
      </c>
      <c r="D641" s="1">
        <v>33</v>
      </c>
      <c r="E641" s="1" t="s">
        <v>15</v>
      </c>
      <c r="F641" s="1">
        <v>11</v>
      </c>
      <c r="G641" s="1">
        <v>62892</v>
      </c>
      <c r="H641" s="1">
        <v>4</v>
      </c>
      <c r="I641" s="1">
        <v>47</v>
      </c>
      <c r="J641" s="1">
        <v>4</v>
      </c>
      <c r="K641" s="1">
        <v>85</v>
      </c>
      <c r="L641" s="1" t="s">
        <v>37</v>
      </c>
    </row>
    <row r="642" spans="1:12" x14ac:dyDescent="0.25">
      <c r="A642" s="1" t="s">
        <v>684</v>
      </c>
      <c r="B642" s="1" t="s">
        <v>94</v>
      </c>
      <c r="C642" s="1" t="s">
        <v>22</v>
      </c>
      <c r="D642" s="1">
        <v>30</v>
      </c>
      <c r="E642" s="1" t="s">
        <v>19</v>
      </c>
      <c r="F642" s="1">
        <v>9</v>
      </c>
      <c r="G642" s="1">
        <v>68933</v>
      </c>
      <c r="H642" s="1">
        <v>8</v>
      </c>
      <c r="I642" s="1">
        <v>41</v>
      </c>
      <c r="J642" s="1">
        <v>2</v>
      </c>
      <c r="K642" s="1">
        <v>97</v>
      </c>
      <c r="L642" s="1" t="s">
        <v>26</v>
      </c>
    </row>
    <row r="643" spans="1:12" x14ac:dyDescent="0.25">
      <c r="A643" s="1" t="s">
        <v>685</v>
      </c>
      <c r="B643" s="1" t="s">
        <v>94</v>
      </c>
      <c r="C643" s="1" t="s">
        <v>29</v>
      </c>
      <c r="D643" s="1">
        <v>24</v>
      </c>
      <c r="E643" s="1" t="s">
        <v>15</v>
      </c>
      <c r="F643" s="1">
        <v>10</v>
      </c>
      <c r="G643" s="1">
        <v>51584</v>
      </c>
      <c r="H643" s="1">
        <v>15</v>
      </c>
      <c r="I643" s="1">
        <v>44</v>
      </c>
      <c r="J643" s="1">
        <v>4</v>
      </c>
      <c r="K643" s="1">
        <v>86</v>
      </c>
      <c r="L643" s="1" t="s">
        <v>51</v>
      </c>
    </row>
    <row r="644" spans="1:12" x14ac:dyDescent="0.25">
      <c r="A644" s="1" t="s">
        <v>686</v>
      </c>
      <c r="B644" s="1" t="s">
        <v>45</v>
      </c>
      <c r="C644" s="1" t="s">
        <v>29</v>
      </c>
      <c r="D644" s="1">
        <v>23</v>
      </c>
      <c r="E644" s="1" t="s">
        <v>15</v>
      </c>
      <c r="F644" s="1">
        <v>5</v>
      </c>
      <c r="G644" s="1">
        <v>46526</v>
      </c>
      <c r="H644" s="1">
        <v>4</v>
      </c>
      <c r="I644" s="1">
        <v>43</v>
      </c>
      <c r="J644" s="1">
        <v>1</v>
      </c>
      <c r="K644" s="1">
        <v>98</v>
      </c>
      <c r="L644" s="1" t="s">
        <v>23</v>
      </c>
    </row>
    <row r="645" spans="1:12" x14ac:dyDescent="0.25">
      <c r="A645" s="1" t="s">
        <v>687</v>
      </c>
      <c r="B645" s="1" t="s">
        <v>83</v>
      </c>
      <c r="C645" s="1" t="s">
        <v>29</v>
      </c>
      <c r="D645" s="1">
        <v>35</v>
      </c>
      <c r="E645" s="1" t="s">
        <v>19</v>
      </c>
      <c r="F645" s="1">
        <v>14</v>
      </c>
      <c r="G645" s="1">
        <v>56191</v>
      </c>
      <c r="H645" s="1">
        <v>9</v>
      </c>
      <c r="I645" s="1">
        <v>37</v>
      </c>
      <c r="J645" s="1">
        <v>1</v>
      </c>
      <c r="K645" s="1">
        <v>93</v>
      </c>
      <c r="L645" s="1" t="s">
        <v>51</v>
      </c>
    </row>
    <row r="646" spans="1:12" x14ac:dyDescent="0.25">
      <c r="A646" s="1" t="s">
        <v>688</v>
      </c>
      <c r="B646" s="1" t="s">
        <v>40</v>
      </c>
      <c r="C646" s="1" t="s">
        <v>14</v>
      </c>
      <c r="D646" s="1">
        <v>30</v>
      </c>
      <c r="E646" s="1" t="s">
        <v>19</v>
      </c>
      <c r="F646" s="1">
        <v>5</v>
      </c>
      <c r="G646" s="1">
        <v>51571</v>
      </c>
      <c r="H646" s="1">
        <v>4</v>
      </c>
      <c r="I646" s="1">
        <v>47</v>
      </c>
      <c r="J646" s="1">
        <v>3</v>
      </c>
      <c r="K646" s="1">
        <v>88</v>
      </c>
      <c r="L646" s="1" t="s">
        <v>16</v>
      </c>
    </row>
    <row r="647" spans="1:12" x14ac:dyDescent="0.25">
      <c r="A647" s="1" t="s">
        <v>689</v>
      </c>
      <c r="B647" s="1" t="s">
        <v>28</v>
      </c>
      <c r="C647" s="1" t="s">
        <v>25</v>
      </c>
      <c r="D647" s="1">
        <v>23</v>
      </c>
      <c r="E647" s="1" t="s">
        <v>19</v>
      </c>
      <c r="F647" s="1">
        <v>4</v>
      </c>
      <c r="G647" s="1">
        <v>25075</v>
      </c>
      <c r="H647" s="1">
        <v>10</v>
      </c>
      <c r="I647" s="1">
        <v>37</v>
      </c>
      <c r="J647" s="1">
        <v>3</v>
      </c>
      <c r="K647" s="1">
        <v>96</v>
      </c>
      <c r="L647" s="1" t="s">
        <v>16</v>
      </c>
    </row>
    <row r="648" spans="1:12" x14ac:dyDescent="0.25">
      <c r="A648" s="1" t="s">
        <v>690</v>
      </c>
      <c r="B648" s="1" t="s">
        <v>43</v>
      </c>
      <c r="C648" s="1" t="s">
        <v>25</v>
      </c>
      <c r="D648" s="1">
        <v>27</v>
      </c>
      <c r="E648" s="1" t="s">
        <v>19</v>
      </c>
      <c r="F648" s="1">
        <v>2</v>
      </c>
      <c r="G648" s="1">
        <v>31057</v>
      </c>
      <c r="H648" s="1">
        <v>3</v>
      </c>
      <c r="I648" s="1">
        <v>44</v>
      </c>
      <c r="J648" s="1">
        <v>2</v>
      </c>
      <c r="K648" s="1">
        <v>96</v>
      </c>
      <c r="L648" s="1" t="s">
        <v>26</v>
      </c>
    </row>
    <row r="649" spans="1:12" x14ac:dyDescent="0.25">
      <c r="A649" s="1" t="s">
        <v>691</v>
      </c>
      <c r="B649" s="1" t="s">
        <v>53</v>
      </c>
      <c r="C649" s="1" t="s">
        <v>25</v>
      </c>
      <c r="D649" s="1">
        <v>36</v>
      </c>
      <c r="E649" s="1" t="s">
        <v>15</v>
      </c>
      <c r="F649" s="1">
        <v>9</v>
      </c>
      <c r="G649" s="1">
        <v>37807</v>
      </c>
      <c r="H649" s="1">
        <v>15</v>
      </c>
      <c r="I649" s="1">
        <v>43</v>
      </c>
      <c r="J649" s="1">
        <v>1</v>
      </c>
      <c r="K649" s="1">
        <v>89</v>
      </c>
      <c r="L649" s="1" t="s">
        <v>16</v>
      </c>
    </row>
    <row r="650" spans="1:12" x14ac:dyDescent="0.25">
      <c r="A650" s="1" t="s">
        <v>692</v>
      </c>
      <c r="B650" s="1" t="s">
        <v>43</v>
      </c>
      <c r="C650" s="1" t="s">
        <v>22</v>
      </c>
      <c r="D650" s="1">
        <v>25</v>
      </c>
      <c r="E650" s="1" t="s">
        <v>19</v>
      </c>
      <c r="F650" s="1">
        <v>4</v>
      </c>
      <c r="G650" s="1">
        <v>61121</v>
      </c>
      <c r="H650" s="1">
        <v>10</v>
      </c>
      <c r="I650" s="1">
        <v>46</v>
      </c>
      <c r="J650" s="1">
        <v>5</v>
      </c>
      <c r="K650" s="1">
        <v>85</v>
      </c>
      <c r="L650" s="1" t="s">
        <v>16</v>
      </c>
    </row>
    <row r="651" spans="1:12" x14ac:dyDescent="0.25">
      <c r="A651" s="1" t="s">
        <v>693</v>
      </c>
      <c r="B651" s="1" t="s">
        <v>34</v>
      </c>
      <c r="C651" s="1" t="s">
        <v>22</v>
      </c>
      <c r="D651" s="1">
        <v>39</v>
      </c>
      <c r="E651" s="1" t="s">
        <v>15</v>
      </c>
      <c r="F651" s="1">
        <v>4</v>
      </c>
      <c r="G651" s="1">
        <v>67849</v>
      </c>
      <c r="H651" s="1">
        <v>6</v>
      </c>
      <c r="I651" s="1">
        <v>50</v>
      </c>
      <c r="J651" s="1">
        <v>4</v>
      </c>
      <c r="K651" s="1">
        <v>90</v>
      </c>
      <c r="L651" s="1" t="s">
        <v>37</v>
      </c>
    </row>
    <row r="652" spans="1:12" x14ac:dyDescent="0.25">
      <c r="A652" s="1" t="s">
        <v>694</v>
      </c>
      <c r="B652" s="1" t="s">
        <v>65</v>
      </c>
      <c r="C652" s="1" t="s">
        <v>22</v>
      </c>
      <c r="D652" s="1">
        <v>35</v>
      </c>
      <c r="E652" s="1" t="s">
        <v>19</v>
      </c>
      <c r="F652" s="1">
        <v>6</v>
      </c>
      <c r="G652" s="1">
        <v>67065</v>
      </c>
      <c r="H652" s="1">
        <v>12</v>
      </c>
      <c r="I652" s="1">
        <v>38</v>
      </c>
      <c r="J652" s="1">
        <v>3</v>
      </c>
      <c r="K652" s="1">
        <v>98</v>
      </c>
      <c r="L652" s="1" t="s">
        <v>26</v>
      </c>
    </row>
    <row r="653" spans="1:12" x14ac:dyDescent="0.25">
      <c r="A653" s="1" t="s">
        <v>695</v>
      </c>
      <c r="B653" s="1" t="s">
        <v>81</v>
      </c>
      <c r="C653" s="1" t="s">
        <v>14</v>
      </c>
      <c r="D653" s="1">
        <v>33</v>
      </c>
      <c r="E653" s="1" t="s">
        <v>19</v>
      </c>
      <c r="F653" s="1">
        <v>5</v>
      </c>
      <c r="G653" s="1">
        <v>63111</v>
      </c>
      <c r="H653" s="1">
        <v>12</v>
      </c>
      <c r="I653" s="1">
        <v>49</v>
      </c>
      <c r="J653" s="1">
        <v>1</v>
      </c>
      <c r="K653" s="1">
        <v>95</v>
      </c>
      <c r="L653" s="1" t="s">
        <v>23</v>
      </c>
    </row>
    <row r="654" spans="1:12" x14ac:dyDescent="0.25">
      <c r="A654" s="1" t="s">
        <v>696</v>
      </c>
      <c r="B654" s="1" t="s">
        <v>28</v>
      </c>
      <c r="C654" s="1" t="s">
        <v>22</v>
      </c>
      <c r="D654" s="1">
        <v>23</v>
      </c>
      <c r="E654" s="1" t="s">
        <v>19</v>
      </c>
      <c r="F654" s="1">
        <v>6</v>
      </c>
      <c r="G654" s="1">
        <v>50611</v>
      </c>
      <c r="H654" s="1">
        <v>10</v>
      </c>
      <c r="I654" s="1">
        <v>45</v>
      </c>
      <c r="J654" s="1">
        <v>1</v>
      </c>
      <c r="K654" s="1">
        <v>85</v>
      </c>
      <c r="L654" s="1" t="s">
        <v>23</v>
      </c>
    </row>
    <row r="655" spans="1:12" x14ac:dyDescent="0.25">
      <c r="A655" s="1" t="s">
        <v>697</v>
      </c>
      <c r="B655" s="1" t="s">
        <v>94</v>
      </c>
      <c r="C655" s="1" t="s">
        <v>14</v>
      </c>
      <c r="D655" s="1">
        <v>38</v>
      </c>
      <c r="E655" s="1" t="s">
        <v>19</v>
      </c>
      <c r="F655" s="1">
        <v>8</v>
      </c>
      <c r="G655" s="1">
        <v>43905</v>
      </c>
      <c r="H655" s="1">
        <v>12</v>
      </c>
      <c r="I655" s="1">
        <v>50</v>
      </c>
      <c r="J655" s="1">
        <v>3</v>
      </c>
      <c r="K655" s="1">
        <v>99</v>
      </c>
      <c r="L655" s="1" t="s">
        <v>16</v>
      </c>
    </row>
    <row r="656" spans="1:12" x14ac:dyDescent="0.25">
      <c r="A656" s="1" t="s">
        <v>698</v>
      </c>
      <c r="B656" s="1" t="s">
        <v>13</v>
      </c>
      <c r="C656" s="1" t="s">
        <v>29</v>
      </c>
      <c r="D656" s="1">
        <v>30</v>
      </c>
      <c r="E656" s="1" t="s">
        <v>15</v>
      </c>
      <c r="F656" s="1">
        <v>5</v>
      </c>
      <c r="G656" s="1">
        <v>74664</v>
      </c>
      <c r="H656" s="1">
        <v>4</v>
      </c>
      <c r="I656" s="1">
        <v>46</v>
      </c>
      <c r="J656" s="1">
        <v>1</v>
      </c>
      <c r="K656" s="1">
        <v>99</v>
      </c>
      <c r="L656" s="1" t="s">
        <v>51</v>
      </c>
    </row>
    <row r="657" spans="1:12" x14ac:dyDescent="0.25">
      <c r="A657" s="1" t="s">
        <v>699</v>
      </c>
      <c r="B657" s="1" t="s">
        <v>70</v>
      </c>
      <c r="C657" s="1" t="s">
        <v>14</v>
      </c>
      <c r="D657" s="1">
        <v>26</v>
      </c>
      <c r="E657" s="1" t="s">
        <v>19</v>
      </c>
      <c r="F657" s="1">
        <v>9</v>
      </c>
      <c r="G657" s="1">
        <v>75620</v>
      </c>
      <c r="H657" s="1">
        <v>12</v>
      </c>
      <c r="I657" s="1">
        <v>45</v>
      </c>
      <c r="J657" s="1">
        <v>5</v>
      </c>
      <c r="K657" s="1">
        <v>90</v>
      </c>
      <c r="L657" s="1" t="s">
        <v>32</v>
      </c>
    </row>
    <row r="658" spans="1:12" x14ac:dyDescent="0.25">
      <c r="A658" s="1" t="s">
        <v>700</v>
      </c>
      <c r="B658" s="1" t="s">
        <v>94</v>
      </c>
      <c r="C658" s="1" t="s">
        <v>14</v>
      </c>
      <c r="D658" s="1">
        <v>34</v>
      </c>
      <c r="E658" s="1" t="s">
        <v>19</v>
      </c>
      <c r="F658" s="1">
        <v>11</v>
      </c>
      <c r="G658" s="1">
        <v>36725</v>
      </c>
      <c r="H658" s="1">
        <v>6</v>
      </c>
      <c r="I658" s="1">
        <v>50</v>
      </c>
      <c r="J658" s="1">
        <v>1</v>
      </c>
      <c r="K658" s="1">
        <v>90</v>
      </c>
      <c r="L658" s="1" t="s">
        <v>51</v>
      </c>
    </row>
    <row r="659" spans="1:12" x14ac:dyDescent="0.25">
      <c r="A659" s="1" t="s">
        <v>701</v>
      </c>
      <c r="B659" s="1" t="s">
        <v>53</v>
      </c>
      <c r="C659" s="1" t="s">
        <v>29</v>
      </c>
      <c r="D659" s="1">
        <v>31</v>
      </c>
      <c r="E659" s="1" t="s">
        <v>15</v>
      </c>
      <c r="F659" s="1">
        <v>15</v>
      </c>
      <c r="G659" s="1">
        <v>43892</v>
      </c>
      <c r="H659" s="1">
        <v>12</v>
      </c>
      <c r="I659" s="1">
        <v>48</v>
      </c>
      <c r="J659" s="1">
        <v>1</v>
      </c>
      <c r="K659" s="1">
        <v>98</v>
      </c>
      <c r="L659" s="1" t="s">
        <v>32</v>
      </c>
    </row>
    <row r="660" spans="1:12" x14ac:dyDescent="0.25">
      <c r="A660" s="1" t="s">
        <v>702</v>
      </c>
      <c r="B660" s="1" t="s">
        <v>53</v>
      </c>
      <c r="C660" s="1" t="s">
        <v>25</v>
      </c>
      <c r="D660" s="1">
        <v>26</v>
      </c>
      <c r="E660" s="1" t="s">
        <v>19</v>
      </c>
      <c r="F660" s="1">
        <v>8</v>
      </c>
      <c r="G660" s="1">
        <v>37891</v>
      </c>
      <c r="H660" s="1">
        <v>6</v>
      </c>
      <c r="I660" s="1">
        <v>37</v>
      </c>
      <c r="J660" s="1">
        <v>1</v>
      </c>
      <c r="K660" s="1">
        <v>91</v>
      </c>
      <c r="L660" s="1" t="s">
        <v>23</v>
      </c>
    </row>
    <row r="661" spans="1:12" x14ac:dyDescent="0.25">
      <c r="A661" s="1" t="s">
        <v>703</v>
      </c>
      <c r="B661" s="1" t="s">
        <v>70</v>
      </c>
      <c r="C661" s="1" t="s">
        <v>14</v>
      </c>
      <c r="D661" s="1">
        <v>39</v>
      </c>
      <c r="E661" s="1" t="s">
        <v>15</v>
      </c>
      <c r="F661" s="1">
        <v>15</v>
      </c>
      <c r="G661" s="1">
        <v>29381</v>
      </c>
      <c r="H661" s="1">
        <v>13</v>
      </c>
      <c r="I661" s="1">
        <v>48</v>
      </c>
      <c r="J661" s="1">
        <v>2</v>
      </c>
      <c r="K661" s="1">
        <v>90</v>
      </c>
      <c r="L661" s="1" t="s">
        <v>51</v>
      </c>
    </row>
    <row r="662" spans="1:12" x14ac:dyDescent="0.25">
      <c r="A662" s="1" t="s">
        <v>704</v>
      </c>
      <c r="B662" s="1" t="s">
        <v>40</v>
      </c>
      <c r="C662" s="1" t="s">
        <v>25</v>
      </c>
      <c r="D662" s="1">
        <v>33</v>
      </c>
      <c r="E662" s="1" t="s">
        <v>15</v>
      </c>
      <c r="F662" s="1">
        <v>2</v>
      </c>
      <c r="G662" s="1">
        <v>53672</v>
      </c>
      <c r="H662" s="1">
        <v>13</v>
      </c>
      <c r="I662" s="1">
        <v>37</v>
      </c>
      <c r="J662" s="1">
        <v>3</v>
      </c>
      <c r="K662" s="1">
        <v>87</v>
      </c>
      <c r="L662" s="1" t="s">
        <v>16</v>
      </c>
    </row>
    <row r="663" spans="1:12" x14ac:dyDescent="0.25">
      <c r="A663" s="1" t="s">
        <v>705</v>
      </c>
      <c r="B663" s="1" t="s">
        <v>45</v>
      </c>
      <c r="C663" s="1" t="s">
        <v>25</v>
      </c>
      <c r="D663" s="1">
        <v>36</v>
      </c>
      <c r="E663" s="1" t="s">
        <v>19</v>
      </c>
      <c r="F663" s="1">
        <v>2</v>
      </c>
      <c r="G663" s="1">
        <v>65925</v>
      </c>
      <c r="H663" s="1">
        <v>12</v>
      </c>
      <c r="I663" s="1">
        <v>46</v>
      </c>
      <c r="J663" s="1">
        <v>4</v>
      </c>
      <c r="K663" s="1">
        <v>92</v>
      </c>
      <c r="L663" s="1" t="s">
        <v>51</v>
      </c>
    </row>
    <row r="664" spans="1:12" x14ac:dyDescent="0.25">
      <c r="A664" s="1" t="s">
        <v>706</v>
      </c>
      <c r="B664" s="1" t="s">
        <v>89</v>
      </c>
      <c r="C664" s="1" t="s">
        <v>22</v>
      </c>
      <c r="D664" s="1">
        <v>28</v>
      </c>
      <c r="E664" s="1" t="s">
        <v>19</v>
      </c>
      <c r="F664" s="1">
        <v>12</v>
      </c>
      <c r="G664" s="1">
        <v>27390</v>
      </c>
      <c r="H664" s="1">
        <v>12</v>
      </c>
      <c r="I664" s="1">
        <v>38</v>
      </c>
      <c r="J664" s="1">
        <v>3</v>
      </c>
      <c r="K664" s="1">
        <v>85</v>
      </c>
      <c r="L664" s="1" t="s">
        <v>51</v>
      </c>
    </row>
    <row r="665" spans="1:12" x14ac:dyDescent="0.25">
      <c r="A665" s="1" t="s">
        <v>707</v>
      </c>
      <c r="B665" s="1" t="s">
        <v>94</v>
      </c>
      <c r="C665" s="1" t="s">
        <v>29</v>
      </c>
      <c r="D665" s="1">
        <v>24</v>
      </c>
      <c r="E665" s="1" t="s">
        <v>15</v>
      </c>
      <c r="F665" s="1">
        <v>6</v>
      </c>
      <c r="G665" s="1">
        <v>65779</v>
      </c>
      <c r="H665" s="1">
        <v>15</v>
      </c>
      <c r="I665" s="1">
        <v>43</v>
      </c>
      <c r="J665" s="1">
        <v>3</v>
      </c>
      <c r="K665" s="1">
        <v>91</v>
      </c>
      <c r="L665" s="1" t="s">
        <v>23</v>
      </c>
    </row>
    <row r="666" spans="1:12" x14ac:dyDescent="0.25">
      <c r="A666" s="1" t="s">
        <v>708</v>
      </c>
      <c r="B666" s="1" t="s">
        <v>36</v>
      </c>
      <c r="C666" s="1" t="s">
        <v>14</v>
      </c>
      <c r="D666" s="1">
        <v>23</v>
      </c>
      <c r="E666" s="1" t="s">
        <v>15</v>
      </c>
      <c r="F666" s="1">
        <v>13</v>
      </c>
      <c r="G666" s="1">
        <v>42728</v>
      </c>
      <c r="H666" s="1">
        <v>13</v>
      </c>
      <c r="I666" s="1">
        <v>36</v>
      </c>
      <c r="J666" s="1">
        <v>2</v>
      </c>
      <c r="K666" s="1">
        <v>96</v>
      </c>
      <c r="L666" s="1" t="s">
        <v>16</v>
      </c>
    </row>
    <row r="667" spans="1:12" x14ac:dyDescent="0.25">
      <c r="A667" s="1" t="s">
        <v>709</v>
      </c>
      <c r="B667" s="1" t="s">
        <v>43</v>
      </c>
      <c r="C667" s="1" t="s">
        <v>14</v>
      </c>
      <c r="D667" s="1">
        <v>22</v>
      </c>
      <c r="E667" s="1" t="s">
        <v>15</v>
      </c>
      <c r="F667" s="1">
        <v>15</v>
      </c>
      <c r="G667" s="1">
        <v>47217</v>
      </c>
      <c r="H667" s="1">
        <v>5</v>
      </c>
      <c r="I667" s="1">
        <v>39</v>
      </c>
      <c r="J667" s="1">
        <v>3</v>
      </c>
      <c r="K667" s="1">
        <v>96</v>
      </c>
      <c r="L667" s="1" t="s">
        <v>23</v>
      </c>
    </row>
    <row r="668" spans="1:12" x14ac:dyDescent="0.25">
      <c r="A668" s="1" t="s">
        <v>710</v>
      </c>
      <c r="B668" s="1" t="s">
        <v>18</v>
      </c>
      <c r="C668" s="1" t="s">
        <v>29</v>
      </c>
      <c r="D668" s="1">
        <v>37</v>
      </c>
      <c r="E668" s="1" t="s">
        <v>15</v>
      </c>
      <c r="F668" s="1">
        <v>6</v>
      </c>
      <c r="G668" s="1">
        <v>50504</v>
      </c>
      <c r="H668" s="1">
        <v>10</v>
      </c>
      <c r="I668" s="1">
        <v>39</v>
      </c>
      <c r="J668" s="1">
        <v>1</v>
      </c>
      <c r="K668" s="1">
        <v>99</v>
      </c>
      <c r="L668" s="1" t="s">
        <v>23</v>
      </c>
    </row>
    <row r="669" spans="1:12" x14ac:dyDescent="0.25">
      <c r="A669" s="1" t="s">
        <v>711</v>
      </c>
      <c r="B669" s="1" t="s">
        <v>77</v>
      </c>
      <c r="C669" s="1" t="s">
        <v>14</v>
      </c>
      <c r="D669" s="1">
        <v>25</v>
      </c>
      <c r="E669" s="1" t="s">
        <v>19</v>
      </c>
      <c r="F669" s="1">
        <v>6</v>
      </c>
      <c r="G669" s="1">
        <v>39064</v>
      </c>
      <c r="H669" s="1">
        <v>4</v>
      </c>
      <c r="I669" s="1">
        <v>38</v>
      </c>
      <c r="J669" s="1">
        <v>3</v>
      </c>
      <c r="K669" s="1">
        <v>88</v>
      </c>
      <c r="L669" s="1" t="s">
        <v>16</v>
      </c>
    </row>
    <row r="670" spans="1:12" x14ac:dyDescent="0.25">
      <c r="A670" s="1" t="s">
        <v>712</v>
      </c>
      <c r="B670" s="1" t="s">
        <v>94</v>
      </c>
      <c r="C670" s="1" t="s">
        <v>14</v>
      </c>
      <c r="D670" s="1">
        <v>31</v>
      </c>
      <c r="E670" s="1" t="s">
        <v>15</v>
      </c>
      <c r="F670" s="1">
        <v>13</v>
      </c>
      <c r="G670" s="1">
        <v>53453</v>
      </c>
      <c r="H670" s="1">
        <v>9</v>
      </c>
      <c r="I670" s="1">
        <v>42</v>
      </c>
      <c r="J670" s="1">
        <v>1</v>
      </c>
      <c r="K670" s="1">
        <v>100</v>
      </c>
      <c r="L670" s="1" t="s">
        <v>37</v>
      </c>
    </row>
    <row r="671" spans="1:12" x14ac:dyDescent="0.25">
      <c r="A671" s="1" t="s">
        <v>713</v>
      </c>
      <c r="B671" s="1" t="s">
        <v>34</v>
      </c>
      <c r="C671" s="1" t="s">
        <v>14</v>
      </c>
      <c r="D671" s="1">
        <v>38</v>
      </c>
      <c r="E671" s="1" t="s">
        <v>19</v>
      </c>
      <c r="F671" s="1">
        <v>9</v>
      </c>
      <c r="G671" s="1">
        <v>68694</v>
      </c>
      <c r="H671" s="1">
        <v>6</v>
      </c>
      <c r="I671" s="1">
        <v>41</v>
      </c>
      <c r="J671" s="1">
        <v>1</v>
      </c>
      <c r="K671" s="1">
        <v>96</v>
      </c>
      <c r="L671" s="1" t="s">
        <v>37</v>
      </c>
    </row>
    <row r="672" spans="1:12" x14ac:dyDescent="0.25">
      <c r="A672" s="1" t="s">
        <v>714</v>
      </c>
      <c r="B672" s="1" t="s">
        <v>81</v>
      </c>
      <c r="C672" s="1" t="s">
        <v>22</v>
      </c>
      <c r="D672" s="1">
        <v>39</v>
      </c>
      <c r="E672" s="1" t="s">
        <v>19</v>
      </c>
      <c r="F672" s="1">
        <v>15</v>
      </c>
      <c r="G672" s="1">
        <v>59000</v>
      </c>
      <c r="H672" s="1">
        <v>12</v>
      </c>
      <c r="I672" s="1">
        <v>37</v>
      </c>
      <c r="J672" s="1">
        <v>5</v>
      </c>
      <c r="K672" s="1">
        <v>97</v>
      </c>
      <c r="L672" s="1" t="s">
        <v>51</v>
      </c>
    </row>
    <row r="673" spans="1:12" x14ac:dyDescent="0.25">
      <c r="A673" s="1" t="s">
        <v>715</v>
      </c>
      <c r="B673" s="1" t="s">
        <v>28</v>
      </c>
      <c r="C673" s="1" t="s">
        <v>14</v>
      </c>
      <c r="D673" s="1">
        <v>34</v>
      </c>
      <c r="E673" s="1" t="s">
        <v>19</v>
      </c>
      <c r="F673" s="1">
        <v>5</v>
      </c>
      <c r="G673" s="1">
        <v>59266</v>
      </c>
      <c r="H673" s="1">
        <v>15</v>
      </c>
      <c r="I673" s="1">
        <v>45</v>
      </c>
      <c r="J673" s="1">
        <v>5</v>
      </c>
      <c r="K673" s="1">
        <v>93</v>
      </c>
      <c r="L673" s="1" t="s">
        <v>51</v>
      </c>
    </row>
    <row r="674" spans="1:12" x14ac:dyDescent="0.25">
      <c r="A674" s="1" t="s">
        <v>716</v>
      </c>
      <c r="B674" s="1" t="s">
        <v>40</v>
      </c>
      <c r="C674" s="1" t="s">
        <v>22</v>
      </c>
      <c r="D674" s="1">
        <v>22</v>
      </c>
      <c r="E674" s="1" t="s">
        <v>19</v>
      </c>
      <c r="F674" s="1">
        <v>14</v>
      </c>
      <c r="G674" s="1">
        <v>60700</v>
      </c>
      <c r="H674" s="1">
        <v>9</v>
      </c>
      <c r="I674" s="1">
        <v>36</v>
      </c>
      <c r="J674" s="1">
        <v>3</v>
      </c>
      <c r="K674" s="1">
        <v>99</v>
      </c>
      <c r="L674" s="1" t="s">
        <v>37</v>
      </c>
    </row>
    <row r="675" spans="1:12" x14ac:dyDescent="0.25">
      <c r="A675" s="1" t="s">
        <v>717</v>
      </c>
      <c r="B675" s="1" t="s">
        <v>94</v>
      </c>
      <c r="C675" s="1" t="s">
        <v>14</v>
      </c>
      <c r="D675" s="1">
        <v>33</v>
      </c>
      <c r="E675" s="1" t="s">
        <v>19</v>
      </c>
      <c r="F675" s="1">
        <v>3</v>
      </c>
      <c r="G675" s="1">
        <v>63638</v>
      </c>
      <c r="H675" s="1">
        <v>13</v>
      </c>
      <c r="I675" s="1">
        <v>39</v>
      </c>
      <c r="J675" s="1">
        <v>2</v>
      </c>
      <c r="K675" s="1">
        <v>93</v>
      </c>
      <c r="L675" s="1" t="s">
        <v>51</v>
      </c>
    </row>
    <row r="676" spans="1:12" x14ac:dyDescent="0.25">
      <c r="A676" s="1" t="s">
        <v>718</v>
      </c>
      <c r="B676" s="1" t="s">
        <v>65</v>
      </c>
      <c r="C676" s="1" t="s">
        <v>29</v>
      </c>
      <c r="D676" s="1">
        <v>31</v>
      </c>
      <c r="E676" s="1" t="s">
        <v>15</v>
      </c>
      <c r="F676" s="1">
        <v>10</v>
      </c>
      <c r="G676" s="1">
        <v>36009</v>
      </c>
      <c r="H676" s="1">
        <v>12</v>
      </c>
      <c r="I676" s="1">
        <v>41</v>
      </c>
      <c r="J676" s="1">
        <v>5</v>
      </c>
      <c r="K676" s="1">
        <v>86</v>
      </c>
      <c r="L676" s="1" t="s">
        <v>16</v>
      </c>
    </row>
    <row r="677" spans="1:12" x14ac:dyDescent="0.25">
      <c r="A677" s="1" t="s">
        <v>719</v>
      </c>
      <c r="B677" s="1" t="s">
        <v>36</v>
      </c>
      <c r="C677" s="1" t="s">
        <v>25</v>
      </c>
      <c r="D677" s="1">
        <v>34</v>
      </c>
      <c r="E677" s="1" t="s">
        <v>15</v>
      </c>
      <c r="F677" s="1">
        <v>1</v>
      </c>
      <c r="G677" s="1">
        <v>79818</v>
      </c>
      <c r="H677" s="1">
        <v>6</v>
      </c>
      <c r="I677" s="1">
        <v>42</v>
      </c>
      <c r="J677" s="1">
        <v>5</v>
      </c>
      <c r="K677" s="1">
        <v>92</v>
      </c>
      <c r="L677" s="1" t="s">
        <v>26</v>
      </c>
    </row>
    <row r="678" spans="1:12" x14ac:dyDescent="0.25">
      <c r="A678" s="1" t="s">
        <v>720</v>
      </c>
      <c r="B678" s="1" t="s">
        <v>40</v>
      </c>
      <c r="C678" s="1" t="s">
        <v>22</v>
      </c>
      <c r="D678" s="1">
        <v>28</v>
      </c>
      <c r="E678" s="1" t="s">
        <v>19</v>
      </c>
      <c r="F678" s="1">
        <v>4</v>
      </c>
      <c r="G678" s="1">
        <v>58269</v>
      </c>
      <c r="H678" s="1">
        <v>12</v>
      </c>
      <c r="I678" s="1">
        <v>36</v>
      </c>
      <c r="J678" s="1">
        <v>1</v>
      </c>
      <c r="K678" s="1">
        <v>88</v>
      </c>
      <c r="L678" s="1" t="s">
        <v>32</v>
      </c>
    </row>
    <row r="679" spans="1:12" x14ac:dyDescent="0.25">
      <c r="A679" s="1" t="s">
        <v>721</v>
      </c>
      <c r="B679" s="1" t="s">
        <v>53</v>
      </c>
      <c r="C679" s="1" t="s">
        <v>14</v>
      </c>
      <c r="D679" s="1">
        <v>31</v>
      </c>
      <c r="E679" s="1" t="s">
        <v>19</v>
      </c>
      <c r="F679" s="1">
        <v>6</v>
      </c>
      <c r="G679" s="1">
        <v>27282</v>
      </c>
      <c r="H679" s="1">
        <v>10</v>
      </c>
      <c r="I679" s="1">
        <v>43</v>
      </c>
      <c r="J679" s="1">
        <v>5</v>
      </c>
      <c r="K679" s="1">
        <v>94</v>
      </c>
      <c r="L679" s="1" t="s">
        <v>51</v>
      </c>
    </row>
    <row r="680" spans="1:12" x14ac:dyDescent="0.25">
      <c r="A680" s="1" t="s">
        <v>722</v>
      </c>
      <c r="B680" s="1" t="s">
        <v>77</v>
      </c>
      <c r="C680" s="1" t="s">
        <v>14</v>
      </c>
      <c r="D680" s="1">
        <v>33</v>
      </c>
      <c r="E680" s="1" t="s">
        <v>19</v>
      </c>
      <c r="F680" s="1">
        <v>9</v>
      </c>
      <c r="G680" s="1">
        <v>42180</v>
      </c>
      <c r="H680" s="1">
        <v>13</v>
      </c>
      <c r="I680" s="1">
        <v>35</v>
      </c>
      <c r="J680" s="1">
        <v>4</v>
      </c>
      <c r="K680" s="1">
        <v>90</v>
      </c>
      <c r="L680" s="1" t="s">
        <v>23</v>
      </c>
    </row>
    <row r="681" spans="1:12" x14ac:dyDescent="0.25">
      <c r="A681" s="1" t="s">
        <v>723</v>
      </c>
      <c r="B681" s="1" t="s">
        <v>36</v>
      </c>
      <c r="C681" s="1" t="s">
        <v>25</v>
      </c>
      <c r="D681" s="1">
        <v>36</v>
      </c>
      <c r="E681" s="1" t="s">
        <v>15</v>
      </c>
      <c r="F681" s="1">
        <v>7</v>
      </c>
      <c r="G681" s="1">
        <v>79687</v>
      </c>
      <c r="H681" s="1">
        <v>6</v>
      </c>
      <c r="I681" s="1">
        <v>49</v>
      </c>
      <c r="J681" s="1">
        <v>5</v>
      </c>
      <c r="K681" s="1">
        <v>86</v>
      </c>
      <c r="L681" s="1" t="s">
        <v>37</v>
      </c>
    </row>
    <row r="682" spans="1:12" x14ac:dyDescent="0.25">
      <c r="A682" s="1" t="s">
        <v>724</v>
      </c>
      <c r="B682" s="1" t="s">
        <v>77</v>
      </c>
      <c r="C682" s="1" t="s">
        <v>14</v>
      </c>
      <c r="D682" s="1">
        <v>33</v>
      </c>
      <c r="E682" s="1" t="s">
        <v>15</v>
      </c>
      <c r="F682" s="1">
        <v>1</v>
      </c>
      <c r="G682" s="1">
        <v>60040</v>
      </c>
      <c r="H682" s="1">
        <v>6</v>
      </c>
      <c r="I682" s="1">
        <v>42</v>
      </c>
      <c r="J682" s="1">
        <v>5</v>
      </c>
      <c r="K682" s="1">
        <v>98</v>
      </c>
      <c r="L682" s="1" t="s">
        <v>37</v>
      </c>
    </row>
    <row r="683" spans="1:12" x14ac:dyDescent="0.25">
      <c r="A683" s="1" t="s">
        <v>725</v>
      </c>
      <c r="B683" s="1" t="s">
        <v>53</v>
      </c>
      <c r="C683" s="1" t="s">
        <v>14</v>
      </c>
      <c r="D683" s="1">
        <v>29</v>
      </c>
      <c r="E683" s="1" t="s">
        <v>15</v>
      </c>
      <c r="F683" s="1">
        <v>1</v>
      </c>
      <c r="G683" s="1">
        <v>38611</v>
      </c>
      <c r="H683" s="1">
        <v>5</v>
      </c>
      <c r="I683" s="1">
        <v>45</v>
      </c>
      <c r="J683" s="1">
        <v>5</v>
      </c>
      <c r="K683" s="1">
        <v>86</v>
      </c>
      <c r="L683" s="1" t="s">
        <v>51</v>
      </c>
    </row>
    <row r="684" spans="1:12" x14ac:dyDescent="0.25">
      <c r="A684" s="1" t="s">
        <v>726</v>
      </c>
      <c r="B684" s="1" t="s">
        <v>89</v>
      </c>
      <c r="C684" s="1" t="s">
        <v>25</v>
      </c>
      <c r="D684" s="1">
        <v>32</v>
      </c>
      <c r="E684" s="1" t="s">
        <v>15</v>
      </c>
      <c r="F684" s="1">
        <v>4</v>
      </c>
      <c r="G684" s="1">
        <v>52321</v>
      </c>
      <c r="H684" s="1">
        <v>8</v>
      </c>
      <c r="I684" s="1">
        <v>46</v>
      </c>
      <c r="J684" s="1">
        <v>4</v>
      </c>
      <c r="K684" s="1">
        <v>92</v>
      </c>
      <c r="L684" s="1" t="s">
        <v>32</v>
      </c>
    </row>
    <row r="685" spans="1:12" x14ac:dyDescent="0.25">
      <c r="A685" s="1" t="s">
        <v>727</v>
      </c>
      <c r="B685" s="1" t="s">
        <v>89</v>
      </c>
      <c r="C685" s="1" t="s">
        <v>14</v>
      </c>
      <c r="D685" s="1">
        <v>39</v>
      </c>
      <c r="E685" s="1" t="s">
        <v>19</v>
      </c>
      <c r="F685" s="1">
        <v>1</v>
      </c>
      <c r="G685" s="1">
        <v>47902</v>
      </c>
      <c r="H685" s="1">
        <v>10</v>
      </c>
      <c r="I685" s="1">
        <v>38</v>
      </c>
      <c r="J685" s="1">
        <v>1</v>
      </c>
      <c r="K685" s="1">
        <v>97</v>
      </c>
      <c r="L685" s="1" t="s">
        <v>32</v>
      </c>
    </row>
    <row r="686" spans="1:12" x14ac:dyDescent="0.25">
      <c r="A686" s="1" t="s">
        <v>728</v>
      </c>
      <c r="B686" s="1" t="s">
        <v>43</v>
      </c>
      <c r="C686" s="1" t="s">
        <v>29</v>
      </c>
      <c r="D686" s="1">
        <v>31</v>
      </c>
      <c r="E686" s="1" t="s">
        <v>15</v>
      </c>
      <c r="F686" s="1">
        <v>4</v>
      </c>
      <c r="G686" s="1">
        <v>58909</v>
      </c>
      <c r="H686" s="1">
        <v>10</v>
      </c>
      <c r="I686" s="1">
        <v>40</v>
      </c>
      <c r="J686" s="1">
        <v>4</v>
      </c>
      <c r="K686" s="1">
        <v>89</v>
      </c>
      <c r="L686" s="1" t="s">
        <v>23</v>
      </c>
    </row>
    <row r="687" spans="1:12" x14ac:dyDescent="0.25">
      <c r="A687" s="1" t="s">
        <v>729</v>
      </c>
      <c r="B687" s="1" t="s">
        <v>70</v>
      </c>
      <c r="C687" s="1" t="s">
        <v>25</v>
      </c>
      <c r="D687" s="1">
        <v>35</v>
      </c>
      <c r="E687" s="1" t="s">
        <v>19</v>
      </c>
      <c r="F687" s="1">
        <v>13</v>
      </c>
      <c r="G687" s="1">
        <v>26905</v>
      </c>
      <c r="H687" s="1">
        <v>4</v>
      </c>
      <c r="I687" s="1">
        <v>45</v>
      </c>
      <c r="J687" s="1">
        <v>5</v>
      </c>
      <c r="K687" s="1">
        <v>86</v>
      </c>
      <c r="L687" s="1" t="s">
        <v>23</v>
      </c>
    </row>
    <row r="688" spans="1:12" x14ac:dyDescent="0.25">
      <c r="A688" s="1" t="s">
        <v>730</v>
      </c>
      <c r="B688" s="1" t="s">
        <v>83</v>
      </c>
      <c r="C688" s="1" t="s">
        <v>14</v>
      </c>
      <c r="D688" s="1">
        <v>28</v>
      </c>
      <c r="E688" s="1" t="s">
        <v>15</v>
      </c>
      <c r="F688" s="1">
        <v>11</v>
      </c>
      <c r="G688" s="1">
        <v>52868</v>
      </c>
      <c r="H688" s="1">
        <v>4</v>
      </c>
      <c r="I688" s="1">
        <v>48</v>
      </c>
      <c r="J688" s="1">
        <v>1</v>
      </c>
      <c r="K688" s="1">
        <v>88</v>
      </c>
      <c r="L688" s="1" t="s">
        <v>51</v>
      </c>
    </row>
    <row r="689" spans="1:12" x14ac:dyDescent="0.25">
      <c r="A689" s="1" t="s">
        <v>731</v>
      </c>
      <c r="B689" s="1" t="s">
        <v>28</v>
      </c>
      <c r="C689" s="1" t="s">
        <v>22</v>
      </c>
      <c r="D689" s="1">
        <v>35</v>
      </c>
      <c r="E689" s="1" t="s">
        <v>15</v>
      </c>
      <c r="F689" s="1">
        <v>6</v>
      </c>
      <c r="G689" s="1">
        <v>25018</v>
      </c>
      <c r="H689" s="1">
        <v>14</v>
      </c>
      <c r="I689" s="1">
        <v>48</v>
      </c>
      <c r="J689" s="1">
        <v>4</v>
      </c>
      <c r="K689" s="1">
        <v>90</v>
      </c>
      <c r="L689" s="1" t="s">
        <v>32</v>
      </c>
    </row>
    <row r="690" spans="1:12" x14ac:dyDescent="0.25">
      <c r="A690" s="1" t="s">
        <v>732</v>
      </c>
      <c r="B690" s="1" t="s">
        <v>77</v>
      </c>
      <c r="C690" s="1" t="s">
        <v>25</v>
      </c>
      <c r="D690" s="1">
        <v>22</v>
      </c>
      <c r="E690" s="1" t="s">
        <v>19</v>
      </c>
      <c r="F690" s="1">
        <v>2</v>
      </c>
      <c r="G690" s="1">
        <v>36546</v>
      </c>
      <c r="H690" s="1">
        <v>11</v>
      </c>
      <c r="I690" s="1">
        <v>41</v>
      </c>
      <c r="J690" s="1">
        <v>5</v>
      </c>
      <c r="K690" s="1">
        <v>96</v>
      </c>
      <c r="L690" s="1" t="s">
        <v>51</v>
      </c>
    </row>
    <row r="691" spans="1:12" x14ac:dyDescent="0.25">
      <c r="A691" s="1" t="s">
        <v>733</v>
      </c>
      <c r="B691" s="1" t="s">
        <v>77</v>
      </c>
      <c r="C691" s="1" t="s">
        <v>22</v>
      </c>
      <c r="D691" s="1">
        <v>29</v>
      </c>
      <c r="E691" s="1" t="s">
        <v>15</v>
      </c>
      <c r="F691" s="1">
        <v>2</v>
      </c>
      <c r="G691" s="1">
        <v>33668</v>
      </c>
      <c r="H691" s="1">
        <v>10</v>
      </c>
      <c r="I691" s="1">
        <v>38</v>
      </c>
      <c r="J691" s="1">
        <v>4</v>
      </c>
      <c r="K691" s="1">
        <v>85</v>
      </c>
      <c r="L691" s="1" t="s">
        <v>23</v>
      </c>
    </row>
    <row r="692" spans="1:12" x14ac:dyDescent="0.25">
      <c r="A692" s="1" t="s">
        <v>734</v>
      </c>
      <c r="B692" s="1" t="s">
        <v>75</v>
      </c>
      <c r="C692" s="1" t="s">
        <v>25</v>
      </c>
      <c r="D692" s="1">
        <v>37</v>
      </c>
      <c r="E692" s="1" t="s">
        <v>19</v>
      </c>
      <c r="F692" s="1">
        <v>7</v>
      </c>
      <c r="G692" s="1">
        <v>35394</v>
      </c>
      <c r="H692" s="1">
        <v>5</v>
      </c>
      <c r="I692" s="1">
        <v>46</v>
      </c>
      <c r="J692" s="1">
        <v>2</v>
      </c>
      <c r="K692" s="1">
        <v>89</v>
      </c>
      <c r="L692" s="1" t="s">
        <v>26</v>
      </c>
    </row>
    <row r="693" spans="1:12" x14ac:dyDescent="0.25">
      <c r="A693" s="1" t="s">
        <v>735</v>
      </c>
      <c r="B693" s="1" t="s">
        <v>31</v>
      </c>
      <c r="C693" s="1" t="s">
        <v>25</v>
      </c>
      <c r="D693" s="1">
        <v>38</v>
      </c>
      <c r="E693" s="1" t="s">
        <v>19</v>
      </c>
      <c r="F693" s="1">
        <v>9</v>
      </c>
      <c r="G693" s="1">
        <v>55487</v>
      </c>
      <c r="H693" s="1">
        <v>8</v>
      </c>
      <c r="I693" s="1">
        <v>42</v>
      </c>
      <c r="J693" s="1">
        <v>3</v>
      </c>
      <c r="K693" s="1">
        <v>96</v>
      </c>
      <c r="L693" s="1" t="s">
        <v>37</v>
      </c>
    </row>
    <row r="694" spans="1:12" x14ac:dyDescent="0.25">
      <c r="A694" s="1" t="s">
        <v>736</v>
      </c>
      <c r="B694" s="1" t="s">
        <v>81</v>
      </c>
      <c r="C694" s="1" t="s">
        <v>29</v>
      </c>
      <c r="D694" s="1">
        <v>22</v>
      </c>
      <c r="E694" s="1" t="s">
        <v>15</v>
      </c>
      <c r="F694" s="1">
        <v>15</v>
      </c>
      <c r="G694" s="1">
        <v>71226</v>
      </c>
      <c r="H694" s="1">
        <v>5</v>
      </c>
      <c r="I694" s="1">
        <v>36</v>
      </c>
      <c r="J694" s="1">
        <v>1</v>
      </c>
      <c r="K694" s="1">
        <v>98</v>
      </c>
      <c r="L694" s="1" t="s">
        <v>16</v>
      </c>
    </row>
    <row r="695" spans="1:12" x14ac:dyDescent="0.25">
      <c r="A695" s="1" t="s">
        <v>737</v>
      </c>
      <c r="B695" s="1" t="s">
        <v>31</v>
      </c>
      <c r="C695" s="1" t="s">
        <v>14</v>
      </c>
      <c r="D695" s="1">
        <v>38</v>
      </c>
      <c r="E695" s="1" t="s">
        <v>19</v>
      </c>
      <c r="F695" s="1">
        <v>1</v>
      </c>
      <c r="G695" s="1">
        <v>63566</v>
      </c>
      <c r="H695" s="1">
        <v>15</v>
      </c>
      <c r="I695" s="1">
        <v>47</v>
      </c>
      <c r="J695" s="1">
        <v>3</v>
      </c>
      <c r="K695" s="1">
        <v>94</v>
      </c>
      <c r="L695" s="1" t="s">
        <v>26</v>
      </c>
    </row>
    <row r="696" spans="1:12" x14ac:dyDescent="0.25">
      <c r="A696" s="1" t="s">
        <v>738</v>
      </c>
      <c r="B696" s="1" t="s">
        <v>83</v>
      </c>
      <c r="C696" s="1" t="s">
        <v>22</v>
      </c>
      <c r="D696" s="1">
        <v>23</v>
      </c>
      <c r="E696" s="1" t="s">
        <v>15</v>
      </c>
      <c r="F696" s="1">
        <v>1</v>
      </c>
      <c r="G696" s="1">
        <v>54295</v>
      </c>
      <c r="H696" s="1">
        <v>10</v>
      </c>
      <c r="I696" s="1">
        <v>41</v>
      </c>
      <c r="J696" s="1">
        <v>4</v>
      </c>
      <c r="K696" s="1">
        <v>94</v>
      </c>
      <c r="L696" s="1" t="s">
        <v>32</v>
      </c>
    </row>
    <row r="697" spans="1:12" x14ac:dyDescent="0.25">
      <c r="A697" s="1" t="s">
        <v>739</v>
      </c>
      <c r="B697" s="1" t="s">
        <v>31</v>
      </c>
      <c r="C697" s="1" t="s">
        <v>22</v>
      </c>
      <c r="D697" s="1">
        <v>35</v>
      </c>
      <c r="E697" s="1" t="s">
        <v>19</v>
      </c>
      <c r="F697" s="1">
        <v>13</v>
      </c>
      <c r="G697" s="1">
        <v>63153</v>
      </c>
      <c r="H697" s="1">
        <v>5</v>
      </c>
      <c r="I697" s="1">
        <v>46</v>
      </c>
      <c r="J697" s="1">
        <v>3</v>
      </c>
      <c r="K697" s="1">
        <v>91</v>
      </c>
      <c r="L697" s="1" t="s">
        <v>26</v>
      </c>
    </row>
    <row r="698" spans="1:12" x14ac:dyDescent="0.25">
      <c r="A698" s="1" t="s">
        <v>740</v>
      </c>
      <c r="B698" s="1" t="s">
        <v>36</v>
      </c>
      <c r="C698" s="1" t="s">
        <v>14</v>
      </c>
      <c r="D698" s="1">
        <v>26</v>
      </c>
      <c r="E698" s="1" t="s">
        <v>15</v>
      </c>
      <c r="F698" s="1">
        <v>9</v>
      </c>
      <c r="G698" s="1">
        <v>38519</v>
      </c>
      <c r="H698" s="1">
        <v>3</v>
      </c>
      <c r="I698" s="1">
        <v>46</v>
      </c>
      <c r="J698" s="1">
        <v>4</v>
      </c>
      <c r="K698" s="1">
        <v>93</v>
      </c>
      <c r="L698" s="1" t="s">
        <v>37</v>
      </c>
    </row>
    <row r="699" spans="1:12" x14ac:dyDescent="0.25">
      <c r="A699" s="1" t="s">
        <v>741</v>
      </c>
      <c r="B699" s="1" t="s">
        <v>77</v>
      </c>
      <c r="C699" s="1" t="s">
        <v>14</v>
      </c>
      <c r="D699" s="1">
        <v>39</v>
      </c>
      <c r="E699" s="1" t="s">
        <v>19</v>
      </c>
      <c r="F699" s="1">
        <v>7</v>
      </c>
      <c r="G699" s="1">
        <v>72703</v>
      </c>
      <c r="H699" s="1">
        <v>15</v>
      </c>
      <c r="I699" s="1">
        <v>43</v>
      </c>
      <c r="J699" s="1">
        <v>1</v>
      </c>
      <c r="K699" s="1">
        <v>88</v>
      </c>
      <c r="L699" s="1" t="s">
        <v>32</v>
      </c>
    </row>
    <row r="700" spans="1:12" x14ac:dyDescent="0.25">
      <c r="A700" s="1" t="s">
        <v>742</v>
      </c>
      <c r="B700" s="1" t="s">
        <v>45</v>
      </c>
      <c r="C700" s="1" t="s">
        <v>14</v>
      </c>
      <c r="D700" s="1">
        <v>31</v>
      </c>
      <c r="E700" s="1" t="s">
        <v>19</v>
      </c>
      <c r="F700" s="1">
        <v>14</v>
      </c>
      <c r="G700" s="1">
        <v>69917</v>
      </c>
      <c r="H700" s="1">
        <v>14</v>
      </c>
      <c r="I700" s="1">
        <v>50</v>
      </c>
      <c r="J700" s="1">
        <v>2</v>
      </c>
      <c r="K700" s="1">
        <v>88</v>
      </c>
      <c r="L700" s="1" t="s">
        <v>51</v>
      </c>
    </row>
    <row r="701" spans="1:12" x14ac:dyDescent="0.25">
      <c r="A701" s="1" t="s">
        <v>743</v>
      </c>
      <c r="B701" s="1" t="s">
        <v>40</v>
      </c>
      <c r="C701" s="1" t="s">
        <v>25</v>
      </c>
      <c r="D701" s="1">
        <v>33</v>
      </c>
      <c r="E701" s="1" t="s">
        <v>15</v>
      </c>
      <c r="F701" s="1">
        <v>6</v>
      </c>
      <c r="G701" s="1">
        <v>77495</v>
      </c>
      <c r="H701" s="1">
        <v>14</v>
      </c>
      <c r="I701" s="1">
        <v>42</v>
      </c>
      <c r="J701" s="1">
        <v>5</v>
      </c>
      <c r="K701" s="1">
        <v>87</v>
      </c>
      <c r="L701" s="1" t="s">
        <v>37</v>
      </c>
    </row>
    <row r="702" spans="1:12" x14ac:dyDescent="0.25">
      <c r="A702" s="1" t="s">
        <v>744</v>
      </c>
      <c r="B702" s="1" t="s">
        <v>34</v>
      </c>
      <c r="C702" s="1" t="s">
        <v>14</v>
      </c>
      <c r="D702" s="1">
        <v>31</v>
      </c>
      <c r="E702" s="1" t="s">
        <v>15</v>
      </c>
      <c r="F702" s="1">
        <v>11</v>
      </c>
      <c r="G702" s="1">
        <v>68859</v>
      </c>
      <c r="H702" s="1">
        <v>3</v>
      </c>
      <c r="I702" s="1">
        <v>36</v>
      </c>
      <c r="J702" s="1">
        <v>2</v>
      </c>
      <c r="K702" s="1">
        <v>96</v>
      </c>
      <c r="L702" s="1" t="s">
        <v>23</v>
      </c>
    </row>
    <row r="703" spans="1:12" x14ac:dyDescent="0.25">
      <c r="A703" s="1" t="s">
        <v>745</v>
      </c>
      <c r="B703" s="1" t="s">
        <v>77</v>
      </c>
      <c r="C703" s="1" t="s">
        <v>22</v>
      </c>
      <c r="D703" s="1">
        <v>33</v>
      </c>
      <c r="E703" s="1" t="s">
        <v>15</v>
      </c>
      <c r="F703" s="1">
        <v>11</v>
      </c>
      <c r="G703" s="1">
        <v>65958</v>
      </c>
      <c r="H703" s="1">
        <v>6</v>
      </c>
      <c r="I703" s="1">
        <v>42</v>
      </c>
      <c r="J703" s="1">
        <v>2</v>
      </c>
      <c r="K703" s="1">
        <v>99</v>
      </c>
      <c r="L703" s="1" t="s">
        <v>26</v>
      </c>
    </row>
    <row r="704" spans="1:12" x14ac:dyDescent="0.25">
      <c r="A704" s="1" t="s">
        <v>746</v>
      </c>
      <c r="B704" s="1" t="s">
        <v>75</v>
      </c>
      <c r="C704" s="1" t="s">
        <v>29</v>
      </c>
      <c r="D704" s="1">
        <v>31</v>
      </c>
      <c r="E704" s="1" t="s">
        <v>19</v>
      </c>
      <c r="F704" s="1">
        <v>3</v>
      </c>
      <c r="G704" s="1">
        <v>36106</v>
      </c>
      <c r="H704" s="1">
        <v>9</v>
      </c>
      <c r="I704" s="1">
        <v>38</v>
      </c>
      <c r="J704" s="1">
        <v>2</v>
      </c>
      <c r="K704" s="1">
        <v>87</v>
      </c>
      <c r="L704" s="1" t="s">
        <v>16</v>
      </c>
    </row>
    <row r="705" spans="1:12" x14ac:dyDescent="0.25">
      <c r="A705" s="1" t="s">
        <v>747</v>
      </c>
      <c r="B705" s="1" t="s">
        <v>89</v>
      </c>
      <c r="C705" s="1" t="s">
        <v>22</v>
      </c>
      <c r="D705" s="1">
        <v>27</v>
      </c>
      <c r="E705" s="1" t="s">
        <v>19</v>
      </c>
      <c r="F705" s="1">
        <v>13</v>
      </c>
      <c r="G705" s="1">
        <v>42168</v>
      </c>
      <c r="H705" s="1">
        <v>5</v>
      </c>
      <c r="I705" s="1">
        <v>44</v>
      </c>
      <c r="J705" s="1">
        <v>3</v>
      </c>
      <c r="K705" s="1">
        <v>99</v>
      </c>
      <c r="L705" s="1" t="s">
        <v>23</v>
      </c>
    </row>
    <row r="706" spans="1:12" x14ac:dyDescent="0.25">
      <c r="A706" s="1" t="s">
        <v>748</v>
      </c>
      <c r="B706" s="1" t="s">
        <v>18</v>
      </c>
      <c r="C706" s="1" t="s">
        <v>25</v>
      </c>
      <c r="D706" s="1">
        <v>28</v>
      </c>
      <c r="E706" s="1" t="s">
        <v>19</v>
      </c>
      <c r="F706" s="1">
        <v>11</v>
      </c>
      <c r="G706" s="1">
        <v>52581</v>
      </c>
      <c r="H706" s="1">
        <v>3</v>
      </c>
      <c r="I706" s="1">
        <v>45</v>
      </c>
      <c r="J706" s="1">
        <v>3</v>
      </c>
      <c r="K706" s="1">
        <v>100</v>
      </c>
      <c r="L706" s="1" t="s">
        <v>23</v>
      </c>
    </row>
    <row r="707" spans="1:12" x14ac:dyDescent="0.25">
      <c r="A707" s="1" t="s">
        <v>749</v>
      </c>
      <c r="B707" s="1" t="s">
        <v>70</v>
      </c>
      <c r="C707" s="1" t="s">
        <v>25</v>
      </c>
      <c r="D707" s="1">
        <v>23</v>
      </c>
      <c r="E707" s="1" t="s">
        <v>19</v>
      </c>
      <c r="F707" s="1">
        <v>13</v>
      </c>
      <c r="G707" s="1">
        <v>66867</v>
      </c>
      <c r="H707" s="1">
        <v>7</v>
      </c>
      <c r="I707" s="1">
        <v>45</v>
      </c>
      <c r="J707" s="1">
        <v>1</v>
      </c>
      <c r="K707" s="1">
        <v>98</v>
      </c>
      <c r="L707" s="1" t="s">
        <v>23</v>
      </c>
    </row>
    <row r="708" spans="1:12" x14ac:dyDescent="0.25">
      <c r="A708" s="1" t="s">
        <v>750</v>
      </c>
      <c r="B708" s="1" t="s">
        <v>77</v>
      </c>
      <c r="C708" s="1" t="s">
        <v>14</v>
      </c>
      <c r="D708" s="1">
        <v>30</v>
      </c>
      <c r="E708" s="1" t="s">
        <v>19</v>
      </c>
      <c r="F708" s="1">
        <v>7</v>
      </c>
      <c r="G708" s="1">
        <v>71560</v>
      </c>
      <c r="H708" s="1">
        <v>6</v>
      </c>
      <c r="I708" s="1">
        <v>44</v>
      </c>
      <c r="J708" s="1">
        <v>5</v>
      </c>
      <c r="K708" s="1">
        <v>92</v>
      </c>
      <c r="L708" s="1" t="s">
        <v>16</v>
      </c>
    </row>
    <row r="709" spans="1:12" x14ac:dyDescent="0.25">
      <c r="A709" s="1" t="s">
        <v>751</v>
      </c>
      <c r="B709" s="1" t="s">
        <v>77</v>
      </c>
      <c r="C709" s="1" t="s">
        <v>25</v>
      </c>
      <c r="D709" s="1">
        <v>30</v>
      </c>
      <c r="E709" s="1" t="s">
        <v>19</v>
      </c>
      <c r="F709" s="1">
        <v>8</v>
      </c>
      <c r="G709" s="1">
        <v>64104</v>
      </c>
      <c r="H709" s="1">
        <v>13</v>
      </c>
      <c r="I709" s="1">
        <v>50</v>
      </c>
      <c r="J709" s="1">
        <v>3</v>
      </c>
      <c r="K709" s="1">
        <v>93</v>
      </c>
      <c r="L709" s="1" t="s">
        <v>26</v>
      </c>
    </row>
    <row r="710" spans="1:12" x14ac:dyDescent="0.25">
      <c r="A710" s="1" t="s">
        <v>752</v>
      </c>
      <c r="B710" s="1" t="s">
        <v>63</v>
      </c>
      <c r="C710" s="1" t="s">
        <v>14</v>
      </c>
      <c r="D710" s="1">
        <v>25</v>
      </c>
      <c r="E710" s="1" t="s">
        <v>15</v>
      </c>
      <c r="F710" s="1">
        <v>11</v>
      </c>
      <c r="G710" s="1">
        <v>47563</v>
      </c>
      <c r="H710" s="1">
        <v>4</v>
      </c>
      <c r="I710" s="1">
        <v>41</v>
      </c>
      <c r="J710" s="1">
        <v>2</v>
      </c>
      <c r="K710" s="1">
        <v>94</v>
      </c>
      <c r="L710" s="1" t="s">
        <v>16</v>
      </c>
    </row>
    <row r="711" spans="1:12" x14ac:dyDescent="0.25">
      <c r="A711" s="1" t="s">
        <v>753</v>
      </c>
      <c r="B711" s="1" t="s">
        <v>34</v>
      </c>
      <c r="C711" s="1" t="s">
        <v>22</v>
      </c>
      <c r="D711" s="1">
        <v>40</v>
      </c>
      <c r="E711" s="1" t="s">
        <v>19</v>
      </c>
      <c r="F711" s="1">
        <v>15</v>
      </c>
      <c r="G711" s="1">
        <v>41699</v>
      </c>
      <c r="H711" s="1">
        <v>7</v>
      </c>
      <c r="I711" s="1">
        <v>35</v>
      </c>
      <c r="J711" s="1">
        <v>4</v>
      </c>
      <c r="K711" s="1">
        <v>87</v>
      </c>
      <c r="L711" s="1" t="s">
        <v>16</v>
      </c>
    </row>
    <row r="712" spans="1:12" x14ac:dyDescent="0.25">
      <c r="A712" s="1" t="s">
        <v>754</v>
      </c>
      <c r="B712" s="1" t="s">
        <v>28</v>
      </c>
      <c r="C712" s="1" t="s">
        <v>29</v>
      </c>
      <c r="D712" s="1">
        <v>39</v>
      </c>
      <c r="E712" s="1" t="s">
        <v>15</v>
      </c>
      <c r="F712" s="1">
        <v>1</v>
      </c>
      <c r="G712" s="1">
        <v>64229</v>
      </c>
      <c r="H712" s="1">
        <v>14</v>
      </c>
      <c r="I712" s="1">
        <v>48</v>
      </c>
      <c r="J712" s="1">
        <v>4</v>
      </c>
      <c r="K712" s="1">
        <v>100</v>
      </c>
      <c r="L712" s="1" t="s">
        <v>32</v>
      </c>
    </row>
    <row r="713" spans="1:12" x14ac:dyDescent="0.25">
      <c r="A713" s="1" t="s">
        <v>755</v>
      </c>
      <c r="B713" s="1" t="s">
        <v>70</v>
      </c>
      <c r="C713" s="1" t="s">
        <v>22</v>
      </c>
      <c r="D713" s="1">
        <v>27</v>
      </c>
      <c r="E713" s="1" t="s">
        <v>19</v>
      </c>
      <c r="F713" s="1">
        <v>13</v>
      </c>
      <c r="G713" s="1">
        <v>43918</v>
      </c>
      <c r="H713" s="1">
        <v>12</v>
      </c>
      <c r="I713" s="1">
        <v>35</v>
      </c>
      <c r="J713" s="1">
        <v>1</v>
      </c>
      <c r="K713" s="1">
        <v>88</v>
      </c>
      <c r="L713" s="1" t="s">
        <v>16</v>
      </c>
    </row>
    <row r="714" spans="1:12" x14ac:dyDescent="0.25">
      <c r="A714" s="1" t="s">
        <v>756</v>
      </c>
      <c r="B714" s="1" t="s">
        <v>94</v>
      </c>
      <c r="C714" s="1" t="s">
        <v>14</v>
      </c>
      <c r="D714" s="1">
        <v>26</v>
      </c>
      <c r="E714" s="1" t="s">
        <v>19</v>
      </c>
      <c r="F714" s="1">
        <v>11</v>
      </c>
      <c r="G714" s="1">
        <v>58930</v>
      </c>
      <c r="H714" s="1">
        <v>5</v>
      </c>
      <c r="I714" s="1">
        <v>44</v>
      </c>
      <c r="J714" s="1">
        <v>2</v>
      </c>
      <c r="K714" s="1">
        <v>92</v>
      </c>
      <c r="L714" s="1" t="s">
        <v>23</v>
      </c>
    </row>
    <row r="715" spans="1:12" x14ac:dyDescent="0.25">
      <c r="A715" s="1" t="s">
        <v>757</v>
      </c>
      <c r="B715" s="1" t="s">
        <v>83</v>
      </c>
      <c r="C715" s="1" t="s">
        <v>29</v>
      </c>
      <c r="D715" s="1">
        <v>26</v>
      </c>
      <c r="E715" s="1" t="s">
        <v>19</v>
      </c>
      <c r="F715" s="1">
        <v>12</v>
      </c>
      <c r="G715" s="1">
        <v>71354</v>
      </c>
      <c r="H715" s="1">
        <v>9</v>
      </c>
      <c r="I715" s="1">
        <v>40</v>
      </c>
      <c r="J715" s="1">
        <v>5</v>
      </c>
      <c r="K715" s="1">
        <v>88</v>
      </c>
      <c r="L715" s="1" t="s">
        <v>26</v>
      </c>
    </row>
    <row r="716" spans="1:12" x14ac:dyDescent="0.25">
      <c r="A716" s="1" t="s">
        <v>758</v>
      </c>
      <c r="B716" s="1" t="s">
        <v>36</v>
      </c>
      <c r="C716" s="1" t="s">
        <v>14</v>
      </c>
      <c r="D716" s="1">
        <v>39</v>
      </c>
      <c r="E716" s="1" t="s">
        <v>15</v>
      </c>
      <c r="F716" s="1">
        <v>15</v>
      </c>
      <c r="G716" s="1">
        <v>28807</v>
      </c>
      <c r="H716" s="1">
        <v>12</v>
      </c>
      <c r="I716" s="1">
        <v>38</v>
      </c>
      <c r="J716" s="1">
        <v>1</v>
      </c>
      <c r="K716" s="1">
        <v>87</v>
      </c>
      <c r="L716" s="1" t="s">
        <v>37</v>
      </c>
    </row>
    <row r="717" spans="1:12" x14ac:dyDescent="0.25">
      <c r="A717" s="1" t="s">
        <v>759</v>
      </c>
      <c r="B717" s="1" t="s">
        <v>45</v>
      </c>
      <c r="C717" s="1" t="s">
        <v>29</v>
      </c>
      <c r="D717" s="1">
        <v>36</v>
      </c>
      <c r="E717" s="1" t="s">
        <v>15</v>
      </c>
      <c r="F717" s="1">
        <v>3</v>
      </c>
      <c r="G717" s="1">
        <v>46803</v>
      </c>
      <c r="H717" s="1">
        <v>3</v>
      </c>
      <c r="I717" s="1">
        <v>44</v>
      </c>
      <c r="J717" s="1">
        <v>1</v>
      </c>
      <c r="K717" s="1">
        <v>85</v>
      </c>
      <c r="L717" s="1" t="s">
        <v>23</v>
      </c>
    </row>
    <row r="718" spans="1:12" x14ac:dyDescent="0.25">
      <c r="A718" s="1" t="s">
        <v>760</v>
      </c>
      <c r="B718" s="1" t="s">
        <v>83</v>
      </c>
      <c r="C718" s="1" t="s">
        <v>25</v>
      </c>
      <c r="D718" s="1">
        <v>33</v>
      </c>
      <c r="E718" s="1" t="s">
        <v>15</v>
      </c>
      <c r="F718" s="1">
        <v>3</v>
      </c>
      <c r="G718" s="1">
        <v>30382</v>
      </c>
      <c r="H718" s="1">
        <v>11</v>
      </c>
      <c r="I718" s="1">
        <v>45</v>
      </c>
      <c r="J718" s="1">
        <v>1</v>
      </c>
      <c r="K718" s="1">
        <v>88</v>
      </c>
      <c r="L718" s="1" t="s">
        <v>37</v>
      </c>
    </row>
    <row r="719" spans="1:12" x14ac:dyDescent="0.25">
      <c r="A719" s="1" t="s">
        <v>761</v>
      </c>
      <c r="B719" s="1" t="s">
        <v>45</v>
      </c>
      <c r="C719" s="1" t="s">
        <v>22</v>
      </c>
      <c r="D719" s="1">
        <v>39</v>
      </c>
      <c r="E719" s="1" t="s">
        <v>19</v>
      </c>
      <c r="F719" s="1">
        <v>5</v>
      </c>
      <c r="G719" s="1">
        <v>68983</v>
      </c>
      <c r="H719" s="1">
        <v>13</v>
      </c>
      <c r="I719" s="1">
        <v>49</v>
      </c>
      <c r="J719" s="1">
        <v>4</v>
      </c>
      <c r="K719" s="1">
        <v>92</v>
      </c>
      <c r="L719" s="1" t="s">
        <v>16</v>
      </c>
    </row>
    <row r="720" spans="1:12" x14ac:dyDescent="0.25">
      <c r="A720" s="1" t="s">
        <v>762</v>
      </c>
      <c r="B720" s="1" t="s">
        <v>75</v>
      </c>
      <c r="C720" s="1" t="s">
        <v>25</v>
      </c>
      <c r="D720" s="1">
        <v>38</v>
      </c>
      <c r="E720" s="1" t="s">
        <v>19</v>
      </c>
      <c r="F720" s="1">
        <v>14</v>
      </c>
      <c r="G720" s="1">
        <v>69650</v>
      </c>
      <c r="H720" s="1">
        <v>5</v>
      </c>
      <c r="I720" s="1">
        <v>41</v>
      </c>
      <c r="J720" s="1">
        <v>3</v>
      </c>
      <c r="K720" s="1">
        <v>94</v>
      </c>
      <c r="L720" s="1" t="s">
        <v>51</v>
      </c>
    </row>
    <row r="721" spans="1:12" x14ac:dyDescent="0.25">
      <c r="A721" s="1" t="s">
        <v>763</v>
      </c>
      <c r="B721" s="1" t="s">
        <v>65</v>
      </c>
      <c r="C721" s="1" t="s">
        <v>14</v>
      </c>
      <c r="D721" s="1">
        <v>39</v>
      </c>
      <c r="E721" s="1" t="s">
        <v>15</v>
      </c>
      <c r="F721" s="1">
        <v>6</v>
      </c>
      <c r="G721" s="1">
        <v>60185</v>
      </c>
      <c r="H721" s="1">
        <v>15</v>
      </c>
      <c r="I721" s="1">
        <v>42</v>
      </c>
      <c r="J721" s="1">
        <v>3</v>
      </c>
      <c r="K721" s="1">
        <v>86</v>
      </c>
      <c r="L721" s="1" t="s">
        <v>23</v>
      </c>
    </row>
    <row r="722" spans="1:12" x14ac:dyDescent="0.25">
      <c r="A722" s="1" t="s">
        <v>764</v>
      </c>
      <c r="B722" s="1" t="s">
        <v>65</v>
      </c>
      <c r="C722" s="1" t="s">
        <v>29</v>
      </c>
      <c r="D722" s="1">
        <v>31</v>
      </c>
      <c r="E722" s="1" t="s">
        <v>15</v>
      </c>
      <c r="F722" s="1">
        <v>14</v>
      </c>
      <c r="G722" s="1">
        <v>27658</v>
      </c>
      <c r="H722" s="1">
        <v>14</v>
      </c>
      <c r="I722" s="1">
        <v>50</v>
      </c>
      <c r="J722" s="1">
        <v>5</v>
      </c>
      <c r="K722" s="1">
        <v>99</v>
      </c>
      <c r="L722" s="1" t="s">
        <v>37</v>
      </c>
    </row>
    <row r="723" spans="1:12" x14ac:dyDescent="0.25">
      <c r="A723" s="1" t="s">
        <v>765</v>
      </c>
      <c r="B723" s="1" t="s">
        <v>53</v>
      </c>
      <c r="C723" s="1" t="s">
        <v>22</v>
      </c>
      <c r="D723" s="1">
        <v>35</v>
      </c>
      <c r="E723" s="1" t="s">
        <v>15</v>
      </c>
      <c r="F723" s="1">
        <v>7</v>
      </c>
      <c r="G723" s="1">
        <v>45134</v>
      </c>
      <c r="H723" s="1">
        <v>10</v>
      </c>
      <c r="I723" s="1">
        <v>42</v>
      </c>
      <c r="J723" s="1">
        <v>4</v>
      </c>
      <c r="K723" s="1">
        <v>86</v>
      </c>
      <c r="L723" s="1" t="s">
        <v>32</v>
      </c>
    </row>
    <row r="724" spans="1:12" x14ac:dyDescent="0.25">
      <c r="A724" s="1" t="s">
        <v>766</v>
      </c>
      <c r="B724" s="1" t="s">
        <v>18</v>
      </c>
      <c r="C724" s="1" t="s">
        <v>14</v>
      </c>
      <c r="D724" s="1">
        <v>40</v>
      </c>
      <c r="E724" s="1" t="s">
        <v>19</v>
      </c>
      <c r="F724" s="1">
        <v>13</v>
      </c>
      <c r="G724" s="1">
        <v>67783</v>
      </c>
      <c r="H724" s="1">
        <v>10</v>
      </c>
      <c r="I724" s="1">
        <v>36</v>
      </c>
      <c r="J724" s="1">
        <v>4</v>
      </c>
      <c r="K724" s="1">
        <v>94</v>
      </c>
      <c r="L724" s="1" t="s">
        <v>16</v>
      </c>
    </row>
    <row r="725" spans="1:12" x14ac:dyDescent="0.25">
      <c r="A725" s="1" t="s">
        <v>767</v>
      </c>
      <c r="B725" s="1" t="s">
        <v>75</v>
      </c>
      <c r="C725" s="1" t="s">
        <v>29</v>
      </c>
      <c r="D725" s="1">
        <v>27</v>
      </c>
      <c r="E725" s="1" t="s">
        <v>19</v>
      </c>
      <c r="F725" s="1">
        <v>10</v>
      </c>
      <c r="G725" s="1">
        <v>74627</v>
      </c>
      <c r="H725" s="1">
        <v>13</v>
      </c>
      <c r="I725" s="1">
        <v>48</v>
      </c>
      <c r="J725" s="1">
        <v>5</v>
      </c>
      <c r="K725" s="1">
        <v>94</v>
      </c>
      <c r="L725" s="1" t="s">
        <v>51</v>
      </c>
    </row>
    <row r="726" spans="1:12" x14ac:dyDescent="0.25">
      <c r="A726" s="1" t="s">
        <v>768</v>
      </c>
      <c r="B726" s="1" t="s">
        <v>34</v>
      </c>
      <c r="C726" s="1" t="s">
        <v>14</v>
      </c>
      <c r="D726" s="1">
        <v>39</v>
      </c>
      <c r="E726" s="1" t="s">
        <v>19</v>
      </c>
      <c r="F726" s="1">
        <v>5</v>
      </c>
      <c r="G726" s="1">
        <v>51728</v>
      </c>
      <c r="H726" s="1">
        <v>14</v>
      </c>
      <c r="I726" s="1">
        <v>46</v>
      </c>
      <c r="J726" s="1">
        <v>3</v>
      </c>
      <c r="K726" s="1">
        <v>91</v>
      </c>
      <c r="L726" s="1" t="s">
        <v>16</v>
      </c>
    </row>
    <row r="727" spans="1:12" x14ac:dyDescent="0.25">
      <c r="A727" s="1" t="s">
        <v>769</v>
      </c>
      <c r="B727" s="1" t="s">
        <v>31</v>
      </c>
      <c r="C727" s="1" t="s">
        <v>25</v>
      </c>
      <c r="D727" s="1">
        <v>39</v>
      </c>
      <c r="E727" s="1" t="s">
        <v>19</v>
      </c>
      <c r="F727" s="1">
        <v>4</v>
      </c>
      <c r="G727" s="1">
        <v>76635</v>
      </c>
      <c r="H727" s="1">
        <v>12</v>
      </c>
      <c r="I727" s="1">
        <v>35</v>
      </c>
      <c r="J727" s="1">
        <v>3</v>
      </c>
      <c r="K727" s="1">
        <v>87</v>
      </c>
      <c r="L727" s="1" t="s">
        <v>37</v>
      </c>
    </row>
    <row r="728" spans="1:12" x14ac:dyDescent="0.25">
      <c r="A728" s="1" t="s">
        <v>770</v>
      </c>
      <c r="B728" s="1" t="s">
        <v>75</v>
      </c>
      <c r="C728" s="1" t="s">
        <v>25</v>
      </c>
      <c r="D728" s="1">
        <v>35</v>
      </c>
      <c r="E728" s="1" t="s">
        <v>19</v>
      </c>
      <c r="F728" s="1">
        <v>5</v>
      </c>
      <c r="G728" s="1">
        <v>69810</v>
      </c>
      <c r="H728" s="1">
        <v>11</v>
      </c>
      <c r="I728" s="1">
        <v>37</v>
      </c>
      <c r="J728" s="1">
        <v>5</v>
      </c>
      <c r="K728" s="1">
        <v>97</v>
      </c>
      <c r="L728" s="1" t="s">
        <v>37</v>
      </c>
    </row>
    <row r="729" spans="1:12" x14ac:dyDescent="0.25">
      <c r="A729" s="1" t="s">
        <v>771</v>
      </c>
      <c r="B729" s="1" t="s">
        <v>45</v>
      </c>
      <c r="C729" s="1" t="s">
        <v>22</v>
      </c>
      <c r="D729" s="1">
        <v>40</v>
      </c>
      <c r="E729" s="1" t="s">
        <v>19</v>
      </c>
      <c r="F729" s="1">
        <v>1</v>
      </c>
      <c r="G729" s="1">
        <v>31414</v>
      </c>
      <c r="H729" s="1">
        <v>6</v>
      </c>
      <c r="I729" s="1">
        <v>44</v>
      </c>
      <c r="J729" s="1">
        <v>4</v>
      </c>
      <c r="K729" s="1">
        <v>100</v>
      </c>
      <c r="L729" s="1" t="s">
        <v>16</v>
      </c>
    </row>
    <row r="730" spans="1:12" x14ac:dyDescent="0.25">
      <c r="A730" s="1" t="s">
        <v>772</v>
      </c>
      <c r="B730" s="1" t="s">
        <v>77</v>
      </c>
      <c r="C730" s="1" t="s">
        <v>14</v>
      </c>
      <c r="D730" s="1">
        <v>39</v>
      </c>
      <c r="E730" s="1" t="s">
        <v>19</v>
      </c>
      <c r="F730" s="1">
        <v>12</v>
      </c>
      <c r="G730" s="1">
        <v>63943</v>
      </c>
      <c r="H730" s="1">
        <v>15</v>
      </c>
      <c r="I730" s="1">
        <v>48</v>
      </c>
      <c r="J730" s="1">
        <v>4</v>
      </c>
      <c r="K730" s="1">
        <v>95</v>
      </c>
      <c r="L730" s="1" t="s">
        <v>32</v>
      </c>
    </row>
    <row r="731" spans="1:12" x14ac:dyDescent="0.25">
      <c r="A731" s="1" t="s">
        <v>773</v>
      </c>
      <c r="B731" s="1" t="s">
        <v>36</v>
      </c>
      <c r="C731" s="1" t="s">
        <v>22</v>
      </c>
      <c r="D731" s="1">
        <v>26</v>
      </c>
      <c r="E731" s="1" t="s">
        <v>19</v>
      </c>
      <c r="F731" s="1">
        <v>12</v>
      </c>
      <c r="G731" s="1">
        <v>59495</v>
      </c>
      <c r="H731" s="1">
        <v>13</v>
      </c>
      <c r="I731" s="1">
        <v>46</v>
      </c>
      <c r="J731" s="1">
        <v>5</v>
      </c>
      <c r="K731" s="1">
        <v>98</v>
      </c>
      <c r="L731" s="1" t="s">
        <v>23</v>
      </c>
    </row>
    <row r="732" spans="1:12" x14ac:dyDescent="0.25">
      <c r="A732" s="1" t="s">
        <v>774</v>
      </c>
      <c r="B732" s="1" t="s">
        <v>77</v>
      </c>
      <c r="C732" s="1" t="s">
        <v>14</v>
      </c>
      <c r="D732" s="1">
        <v>23</v>
      </c>
      <c r="E732" s="1" t="s">
        <v>15</v>
      </c>
      <c r="F732" s="1">
        <v>7</v>
      </c>
      <c r="G732" s="1">
        <v>38055</v>
      </c>
      <c r="H732" s="1">
        <v>12</v>
      </c>
      <c r="I732" s="1">
        <v>45</v>
      </c>
      <c r="J732" s="1">
        <v>5</v>
      </c>
      <c r="K732" s="1">
        <v>89</v>
      </c>
      <c r="L732" s="1" t="s">
        <v>23</v>
      </c>
    </row>
    <row r="733" spans="1:12" x14ac:dyDescent="0.25">
      <c r="A733" s="1" t="s">
        <v>775</v>
      </c>
      <c r="B733" s="1" t="s">
        <v>21</v>
      </c>
      <c r="C733" s="1" t="s">
        <v>25</v>
      </c>
      <c r="D733" s="1">
        <v>31</v>
      </c>
      <c r="E733" s="1" t="s">
        <v>15</v>
      </c>
      <c r="F733" s="1">
        <v>12</v>
      </c>
      <c r="G733" s="1">
        <v>71700</v>
      </c>
      <c r="H733" s="1">
        <v>10</v>
      </c>
      <c r="I733" s="1">
        <v>43</v>
      </c>
      <c r="J733" s="1">
        <v>4</v>
      </c>
      <c r="K733" s="1">
        <v>89</v>
      </c>
      <c r="L733" s="1" t="s">
        <v>37</v>
      </c>
    </row>
    <row r="734" spans="1:12" x14ac:dyDescent="0.25">
      <c r="A734" s="1" t="s">
        <v>776</v>
      </c>
      <c r="B734" s="1" t="s">
        <v>18</v>
      </c>
      <c r="C734" s="1" t="s">
        <v>29</v>
      </c>
      <c r="D734" s="1">
        <v>33</v>
      </c>
      <c r="E734" s="1" t="s">
        <v>19</v>
      </c>
      <c r="F734" s="1">
        <v>4</v>
      </c>
      <c r="G734" s="1">
        <v>50835</v>
      </c>
      <c r="H734" s="1">
        <v>6</v>
      </c>
      <c r="I734" s="1">
        <v>43</v>
      </c>
      <c r="J734" s="1">
        <v>3</v>
      </c>
      <c r="K734" s="1">
        <v>86</v>
      </c>
      <c r="L734" s="1" t="s">
        <v>32</v>
      </c>
    </row>
    <row r="735" spans="1:12" x14ac:dyDescent="0.25">
      <c r="A735" s="1" t="s">
        <v>777</v>
      </c>
      <c r="B735" s="1" t="s">
        <v>83</v>
      </c>
      <c r="C735" s="1" t="s">
        <v>25</v>
      </c>
      <c r="D735" s="1">
        <v>24</v>
      </c>
      <c r="E735" s="1" t="s">
        <v>19</v>
      </c>
      <c r="F735" s="1">
        <v>2</v>
      </c>
      <c r="G735" s="1">
        <v>46387</v>
      </c>
      <c r="H735" s="1">
        <v>6</v>
      </c>
      <c r="I735" s="1">
        <v>41</v>
      </c>
      <c r="J735" s="1">
        <v>4</v>
      </c>
      <c r="K735" s="1">
        <v>96</v>
      </c>
      <c r="L735" s="1" t="s">
        <v>32</v>
      </c>
    </row>
    <row r="736" spans="1:12" x14ac:dyDescent="0.25">
      <c r="A736" s="1" t="s">
        <v>778</v>
      </c>
      <c r="B736" s="1" t="s">
        <v>40</v>
      </c>
      <c r="C736" s="1" t="s">
        <v>25</v>
      </c>
      <c r="D736" s="1">
        <v>23</v>
      </c>
      <c r="E736" s="1" t="s">
        <v>15</v>
      </c>
      <c r="F736" s="1">
        <v>10</v>
      </c>
      <c r="G736" s="1">
        <v>38423</v>
      </c>
      <c r="H736" s="1">
        <v>15</v>
      </c>
      <c r="I736" s="1">
        <v>39</v>
      </c>
      <c r="J736" s="1">
        <v>2</v>
      </c>
      <c r="K736" s="1">
        <v>89</v>
      </c>
      <c r="L736" s="1" t="s">
        <v>23</v>
      </c>
    </row>
    <row r="737" spans="1:12" x14ac:dyDescent="0.25">
      <c r="A737" s="1" t="s">
        <v>779</v>
      </c>
      <c r="B737" s="1" t="s">
        <v>75</v>
      </c>
      <c r="C737" s="1" t="s">
        <v>29</v>
      </c>
      <c r="D737" s="1">
        <v>37</v>
      </c>
      <c r="E737" s="1" t="s">
        <v>19</v>
      </c>
      <c r="F737" s="1">
        <v>12</v>
      </c>
      <c r="G737" s="1">
        <v>35524</v>
      </c>
      <c r="H737" s="1">
        <v>7</v>
      </c>
      <c r="I737" s="1">
        <v>37</v>
      </c>
      <c r="J737" s="1">
        <v>1</v>
      </c>
      <c r="K737" s="1">
        <v>96</v>
      </c>
      <c r="L737" s="1" t="s">
        <v>32</v>
      </c>
    </row>
    <row r="738" spans="1:12" x14ac:dyDescent="0.25">
      <c r="A738" s="1" t="s">
        <v>780</v>
      </c>
      <c r="B738" s="1" t="s">
        <v>89</v>
      </c>
      <c r="C738" s="1" t="s">
        <v>29</v>
      </c>
      <c r="D738" s="1">
        <v>31</v>
      </c>
      <c r="E738" s="1" t="s">
        <v>19</v>
      </c>
      <c r="F738" s="1">
        <v>4</v>
      </c>
      <c r="G738" s="1">
        <v>28364</v>
      </c>
      <c r="H738" s="1">
        <v>12</v>
      </c>
      <c r="I738" s="1">
        <v>35</v>
      </c>
      <c r="J738" s="1">
        <v>2</v>
      </c>
      <c r="K738" s="1">
        <v>100</v>
      </c>
      <c r="L738" s="1" t="s">
        <v>51</v>
      </c>
    </row>
    <row r="739" spans="1:12" x14ac:dyDescent="0.25">
      <c r="A739" s="1" t="s">
        <v>781</v>
      </c>
      <c r="B739" s="1" t="s">
        <v>75</v>
      </c>
      <c r="C739" s="1" t="s">
        <v>29</v>
      </c>
      <c r="D739" s="1">
        <v>23</v>
      </c>
      <c r="E739" s="1" t="s">
        <v>19</v>
      </c>
      <c r="F739" s="1">
        <v>13</v>
      </c>
      <c r="G739" s="1">
        <v>74819</v>
      </c>
      <c r="H739" s="1">
        <v>13</v>
      </c>
      <c r="I739" s="1">
        <v>43</v>
      </c>
      <c r="J739" s="1">
        <v>2</v>
      </c>
      <c r="K739" s="1">
        <v>94</v>
      </c>
      <c r="L739" s="1" t="s">
        <v>32</v>
      </c>
    </row>
    <row r="740" spans="1:12" x14ac:dyDescent="0.25">
      <c r="A740" s="1" t="s">
        <v>782</v>
      </c>
      <c r="B740" s="1" t="s">
        <v>21</v>
      </c>
      <c r="C740" s="1" t="s">
        <v>29</v>
      </c>
      <c r="D740" s="1">
        <v>26</v>
      </c>
      <c r="E740" s="1" t="s">
        <v>15</v>
      </c>
      <c r="F740" s="1">
        <v>10</v>
      </c>
      <c r="G740" s="1">
        <v>63222</v>
      </c>
      <c r="H740" s="1">
        <v>7</v>
      </c>
      <c r="I740" s="1">
        <v>47</v>
      </c>
      <c r="J740" s="1">
        <v>2</v>
      </c>
      <c r="K740" s="1">
        <v>87</v>
      </c>
      <c r="L740" s="1" t="s">
        <v>16</v>
      </c>
    </row>
    <row r="741" spans="1:12" x14ac:dyDescent="0.25">
      <c r="A741" s="1" t="s">
        <v>783</v>
      </c>
      <c r="B741" s="1" t="s">
        <v>45</v>
      </c>
      <c r="C741" s="1" t="s">
        <v>29</v>
      </c>
      <c r="D741" s="1">
        <v>29</v>
      </c>
      <c r="E741" s="1" t="s">
        <v>19</v>
      </c>
      <c r="F741" s="1">
        <v>8</v>
      </c>
      <c r="G741" s="1">
        <v>72233</v>
      </c>
      <c r="H741" s="1">
        <v>8</v>
      </c>
      <c r="I741" s="1">
        <v>44</v>
      </c>
      <c r="J741" s="1">
        <v>1</v>
      </c>
      <c r="K741" s="1">
        <v>88</v>
      </c>
      <c r="L741" s="1" t="s">
        <v>37</v>
      </c>
    </row>
    <row r="742" spans="1:12" x14ac:dyDescent="0.25">
      <c r="A742" s="1" t="s">
        <v>784</v>
      </c>
      <c r="B742" s="1" t="s">
        <v>18</v>
      </c>
      <c r="C742" s="1" t="s">
        <v>14</v>
      </c>
      <c r="D742" s="1">
        <v>28</v>
      </c>
      <c r="E742" s="1" t="s">
        <v>15</v>
      </c>
      <c r="F742" s="1">
        <v>13</v>
      </c>
      <c r="G742" s="1">
        <v>57958</v>
      </c>
      <c r="H742" s="1">
        <v>5</v>
      </c>
      <c r="I742" s="1">
        <v>45</v>
      </c>
      <c r="J742" s="1">
        <v>4</v>
      </c>
      <c r="K742" s="1">
        <v>94</v>
      </c>
      <c r="L742" s="1" t="s">
        <v>51</v>
      </c>
    </row>
    <row r="743" spans="1:12" x14ac:dyDescent="0.25">
      <c r="A743" s="1" t="s">
        <v>785</v>
      </c>
      <c r="B743" s="1" t="s">
        <v>65</v>
      </c>
      <c r="C743" s="1" t="s">
        <v>14</v>
      </c>
      <c r="D743" s="1">
        <v>34</v>
      </c>
      <c r="E743" s="1" t="s">
        <v>19</v>
      </c>
      <c r="F743" s="1">
        <v>13</v>
      </c>
      <c r="G743" s="1">
        <v>78164</v>
      </c>
      <c r="H743" s="1">
        <v>11</v>
      </c>
      <c r="I743" s="1">
        <v>46</v>
      </c>
      <c r="J743" s="1">
        <v>5</v>
      </c>
      <c r="K743" s="1">
        <v>100</v>
      </c>
      <c r="L743" s="1" t="s">
        <v>37</v>
      </c>
    </row>
    <row r="744" spans="1:12" x14ac:dyDescent="0.25">
      <c r="A744" s="1" t="s">
        <v>786</v>
      </c>
      <c r="B744" s="1" t="s">
        <v>63</v>
      </c>
      <c r="C744" s="1" t="s">
        <v>29</v>
      </c>
      <c r="D744" s="1">
        <v>35</v>
      </c>
      <c r="E744" s="1" t="s">
        <v>19</v>
      </c>
      <c r="F744" s="1">
        <v>15</v>
      </c>
      <c r="G744" s="1">
        <v>72829</v>
      </c>
      <c r="H744" s="1">
        <v>12</v>
      </c>
      <c r="I744" s="1">
        <v>38</v>
      </c>
      <c r="J744" s="1">
        <v>1</v>
      </c>
      <c r="K744" s="1">
        <v>89</v>
      </c>
      <c r="L744" s="1" t="s">
        <v>51</v>
      </c>
    </row>
    <row r="745" spans="1:12" x14ac:dyDescent="0.25">
      <c r="A745" s="1" t="s">
        <v>787</v>
      </c>
      <c r="B745" s="1" t="s">
        <v>45</v>
      </c>
      <c r="C745" s="1" t="s">
        <v>22</v>
      </c>
      <c r="D745" s="1">
        <v>40</v>
      </c>
      <c r="E745" s="1" t="s">
        <v>19</v>
      </c>
      <c r="F745" s="1">
        <v>6</v>
      </c>
      <c r="G745" s="1">
        <v>27347</v>
      </c>
      <c r="H745" s="1">
        <v>11</v>
      </c>
      <c r="I745" s="1">
        <v>35</v>
      </c>
      <c r="J745" s="1">
        <v>2</v>
      </c>
      <c r="K745" s="1">
        <v>91</v>
      </c>
      <c r="L745" s="1" t="s">
        <v>51</v>
      </c>
    </row>
    <row r="746" spans="1:12" x14ac:dyDescent="0.25">
      <c r="A746" s="1" t="s">
        <v>788</v>
      </c>
      <c r="B746" s="1" t="s">
        <v>13</v>
      </c>
      <c r="C746" s="1" t="s">
        <v>14</v>
      </c>
      <c r="D746" s="1">
        <v>22</v>
      </c>
      <c r="E746" s="1" t="s">
        <v>19</v>
      </c>
      <c r="F746" s="1">
        <v>14</v>
      </c>
      <c r="G746" s="1">
        <v>60946</v>
      </c>
      <c r="H746" s="1">
        <v>9</v>
      </c>
      <c r="I746" s="1">
        <v>45</v>
      </c>
      <c r="J746" s="1">
        <v>5</v>
      </c>
      <c r="K746" s="1">
        <v>93</v>
      </c>
      <c r="L746" s="1" t="s">
        <v>51</v>
      </c>
    </row>
    <row r="747" spans="1:12" x14ac:dyDescent="0.25">
      <c r="A747" s="1" t="s">
        <v>789</v>
      </c>
      <c r="B747" s="1" t="s">
        <v>45</v>
      </c>
      <c r="C747" s="1" t="s">
        <v>22</v>
      </c>
      <c r="D747" s="1">
        <v>26</v>
      </c>
      <c r="E747" s="1" t="s">
        <v>15</v>
      </c>
      <c r="F747" s="1">
        <v>13</v>
      </c>
      <c r="G747" s="1">
        <v>60238</v>
      </c>
      <c r="H747" s="1">
        <v>15</v>
      </c>
      <c r="I747" s="1">
        <v>43</v>
      </c>
      <c r="J747" s="1">
        <v>3</v>
      </c>
      <c r="K747" s="1">
        <v>94</v>
      </c>
      <c r="L747" s="1" t="s">
        <v>37</v>
      </c>
    </row>
    <row r="748" spans="1:12" x14ac:dyDescent="0.25">
      <c r="A748" s="1" t="s">
        <v>790</v>
      </c>
      <c r="B748" s="1" t="s">
        <v>21</v>
      </c>
      <c r="C748" s="1" t="s">
        <v>22</v>
      </c>
      <c r="D748" s="1">
        <v>40</v>
      </c>
      <c r="E748" s="1" t="s">
        <v>19</v>
      </c>
      <c r="F748" s="1">
        <v>13</v>
      </c>
      <c r="G748" s="1">
        <v>35225</v>
      </c>
      <c r="H748" s="1">
        <v>10</v>
      </c>
      <c r="I748" s="1">
        <v>36</v>
      </c>
      <c r="J748" s="1">
        <v>1</v>
      </c>
      <c r="K748" s="1">
        <v>92</v>
      </c>
      <c r="L748" s="1" t="s">
        <v>23</v>
      </c>
    </row>
    <row r="749" spans="1:12" x14ac:dyDescent="0.25">
      <c r="A749" s="1" t="s">
        <v>791</v>
      </c>
      <c r="B749" s="1" t="s">
        <v>77</v>
      </c>
      <c r="C749" s="1" t="s">
        <v>22</v>
      </c>
      <c r="D749" s="1">
        <v>38</v>
      </c>
      <c r="E749" s="1" t="s">
        <v>19</v>
      </c>
      <c r="F749" s="1">
        <v>12</v>
      </c>
      <c r="G749" s="1">
        <v>66664</v>
      </c>
      <c r="H749" s="1">
        <v>10</v>
      </c>
      <c r="I749" s="1">
        <v>47</v>
      </c>
      <c r="J749" s="1">
        <v>1</v>
      </c>
      <c r="K749" s="1">
        <v>100</v>
      </c>
      <c r="L749" s="1" t="s">
        <v>37</v>
      </c>
    </row>
    <row r="750" spans="1:12" x14ac:dyDescent="0.25">
      <c r="A750" s="1" t="s">
        <v>792</v>
      </c>
      <c r="B750" s="1" t="s">
        <v>70</v>
      </c>
      <c r="C750" s="1" t="s">
        <v>22</v>
      </c>
      <c r="D750" s="1">
        <v>35</v>
      </c>
      <c r="E750" s="1" t="s">
        <v>15</v>
      </c>
      <c r="F750" s="1">
        <v>5</v>
      </c>
      <c r="G750" s="1">
        <v>75063</v>
      </c>
      <c r="H750" s="1">
        <v>5</v>
      </c>
      <c r="I750" s="1">
        <v>35</v>
      </c>
      <c r="J750" s="1">
        <v>5</v>
      </c>
      <c r="K750" s="1">
        <v>99</v>
      </c>
      <c r="L750" s="1" t="s">
        <v>16</v>
      </c>
    </row>
    <row r="751" spans="1:12" x14ac:dyDescent="0.25">
      <c r="A751" s="1" t="s">
        <v>793</v>
      </c>
      <c r="B751" s="1" t="s">
        <v>65</v>
      </c>
      <c r="C751" s="1" t="s">
        <v>25</v>
      </c>
      <c r="D751" s="1">
        <v>37</v>
      </c>
      <c r="E751" s="1" t="s">
        <v>15</v>
      </c>
      <c r="F751" s="1">
        <v>2</v>
      </c>
      <c r="G751" s="1">
        <v>55675</v>
      </c>
      <c r="H751" s="1">
        <v>8</v>
      </c>
      <c r="I751" s="1">
        <v>48</v>
      </c>
      <c r="J751" s="1">
        <v>2</v>
      </c>
      <c r="K751" s="1">
        <v>98</v>
      </c>
      <c r="L751" s="1" t="s">
        <v>32</v>
      </c>
    </row>
    <row r="752" spans="1:12" x14ac:dyDescent="0.25">
      <c r="A752" s="1" t="s">
        <v>794</v>
      </c>
      <c r="B752" s="1" t="s">
        <v>77</v>
      </c>
      <c r="C752" s="1" t="s">
        <v>25</v>
      </c>
      <c r="D752" s="1">
        <v>35</v>
      </c>
      <c r="E752" s="1" t="s">
        <v>19</v>
      </c>
      <c r="F752" s="1">
        <v>2</v>
      </c>
      <c r="G752" s="1">
        <v>36294</v>
      </c>
      <c r="H752" s="1">
        <v>15</v>
      </c>
      <c r="I752" s="1">
        <v>45</v>
      </c>
      <c r="J752" s="1">
        <v>4</v>
      </c>
      <c r="K752" s="1">
        <v>87</v>
      </c>
      <c r="L752" s="1" t="s">
        <v>26</v>
      </c>
    </row>
    <row r="753" spans="1:12" x14ac:dyDescent="0.25">
      <c r="A753" s="1" t="s">
        <v>795</v>
      </c>
      <c r="B753" s="1" t="s">
        <v>75</v>
      </c>
      <c r="C753" s="1" t="s">
        <v>14</v>
      </c>
      <c r="D753" s="1">
        <v>37</v>
      </c>
      <c r="E753" s="1" t="s">
        <v>19</v>
      </c>
      <c r="F753" s="1">
        <v>15</v>
      </c>
      <c r="G753" s="1">
        <v>31449</v>
      </c>
      <c r="H753" s="1">
        <v>11</v>
      </c>
      <c r="I753" s="1">
        <v>49</v>
      </c>
      <c r="J753" s="1">
        <v>5</v>
      </c>
      <c r="K753" s="1">
        <v>95</v>
      </c>
      <c r="L753" s="1" t="s">
        <v>26</v>
      </c>
    </row>
    <row r="754" spans="1:12" x14ac:dyDescent="0.25">
      <c r="A754" s="1" t="s">
        <v>796</v>
      </c>
      <c r="B754" s="1" t="s">
        <v>53</v>
      </c>
      <c r="C754" s="1" t="s">
        <v>22</v>
      </c>
      <c r="D754" s="1">
        <v>29</v>
      </c>
      <c r="E754" s="1" t="s">
        <v>15</v>
      </c>
      <c r="F754" s="1">
        <v>9</v>
      </c>
      <c r="G754" s="1">
        <v>56505</v>
      </c>
      <c r="H754" s="1">
        <v>8</v>
      </c>
      <c r="I754" s="1">
        <v>50</v>
      </c>
      <c r="J754" s="1">
        <v>1</v>
      </c>
      <c r="K754" s="1">
        <v>95</v>
      </c>
      <c r="L754" s="1" t="s">
        <v>16</v>
      </c>
    </row>
    <row r="755" spans="1:12" x14ac:dyDescent="0.25">
      <c r="A755" s="1" t="s">
        <v>797</v>
      </c>
      <c r="B755" s="1" t="s">
        <v>94</v>
      </c>
      <c r="C755" s="1" t="s">
        <v>22</v>
      </c>
      <c r="D755" s="1">
        <v>36</v>
      </c>
      <c r="E755" s="1" t="s">
        <v>15</v>
      </c>
      <c r="F755" s="1">
        <v>8</v>
      </c>
      <c r="G755" s="1">
        <v>35416</v>
      </c>
      <c r="H755" s="1">
        <v>5</v>
      </c>
      <c r="I755" s="1">
        <v>44</v>
      </c>
      <c r="J755" s="1">
        <v>4</v>
      </c>
      <c r="K755" s="1">
        <v>94</v>
      </c>
      <c r="L755" s="1" t="s">
        <v>51</v>
      </c>
    </row>
    <row r="756" spans="1:12" x14ac:dyDescent="0.25">
      <c r="A756" s="1" t="s">
        <v>798</v>
      </c>
      <c r="B756" s="1" t="s">
        <v>77</v>
      </c>
      <c r="C756" s="1" t="s">
        <v>29</v>
      </c>
      <c r="D756" s="1">
        <v>24</v>
      </c>
      <c r="E756" s="1" t="s">
        <v>19</v>
      </c>
      <c r="F756" s="1">
        <v>10</v>
      </c>
      <c r="G756" s="1">
        <v>57445</v>
      </c>
      <c r="H756" s="1">
        <v>13</v>
      </c>
      <c r="I756" s="1">
        <v>39</v>
      </c>
      <c r="J756" s="1">
        <v>5</v>
      </c>
      <c r="K756" s="1">
        <v>95</v>
      </c>
      <c r="L756" s="1" t="s">
        <v>16</v>
      </c>
    </row>
    <row r="757" spans="1:12" x14ac:dyDescent="0.25">
      <c r="A757" s="1" t="s">
        <v>799</v>
      </c>
      <c r="B757" s="1" t="s">
        <v>43</v>
      </c>
      <c r="C757" s="1" t="s">
        <v>25</v>
      </c>
      <c r="D757" s="1">
        <v>30</v>
      </c>
      <c r="E757" s="1" t="s">
        <v>15</v>
      </c>
      <c r="F757" s="1">
        <v>6</v>
      </c>
      <c r="G757" s="1">
        <v>56977</v>
      </c>
      <c r="H757" s="1">
        <v>11</v>
      </c>
      <c r="I757" s="1">
        <v>37</v>
      </c>
      <c r="J757" s="1">
        <v>3</v>
      </c>
      <c r="K757" s="1">
        <v>95</v>
      </c>
      <c r="L757" s="1" t="s">
        <v>37</v>
      </c>
    </row>
    <row r="758" spans="1:12" x14ac:dyDescent="0.25">
      <c r="A758" s="1" t="s">
        <v>800</v>
      </c>
      <c r="B758" s="1" t="s">
        <v>83</v>
      </c>
      <c r="C758" s="1" t="s">
        <v>14</v>
      </c>
      <c r="D758" s="1">
        <v>25</v>
      </c>
      <c r="E758" s="1" t="s">
        <v>19</v>
      </c>
      <c r="F758" s="1">
        <v>15</v>
      </c>
      <c r="G758" s="1">
        <v>52308</v>
      </c>
      <c r="H758" s="1">
        <v>12</v>
      </c>
      <c r="I758" s="1">
        <v>43</v>
      </c>
      <c r="J758" s="1">
        <v>5</v>
      </c>
      <c r="K758" s="1">
        <v>90</v>
      </c>
      <c r="L758" s="1" t="s">
        <v>16</v>
      </c>
    </row>
    <row r="759" spans="1:12" x14ac:dyDescent="0.25">
      <c r="A759" s="1" t="s">
        <v>801</v>
      </c>
      <c r="B759" s="1" t="s">
        <v>28</v>
      </c>
      <c r="C759" s="1" t="s">
        <v>25</v>
      </c>
      <c r="D759" s="1">
        <v>35</v>
      </c>
      <c r="E759" s="1" t="s">
        <v>19</v>
      </c>
      <c r="F759" s="1">
        <v>1</v>
      </c>
      <c r="G759" s="1">
        <v>58532</v>
      </c>
      <c r="H759" s="1">
        <v>13</v>
      </c>
      <c r="I759" s="1">
        <v>38</v>
      </c>
      <c r="J759" s="1">
        <v>4</v>
      </c>
      <c r="K759" s="1">
        <v>90</v>
      </c>
      <c r="L759" s="1" t="s">
        <v>23</v>
      </c>
    </row>
    <row r="760" spans="1:12" x14ac:dyDescent="0.25">
      <c r="A760" s="1" t="s">
        <v>802</v>
      </c>
      <c r="B760" s="1" t="s">
        <v>94</v>
      </c>
      <c r="C760" s="1" t="s">
        <v>14</v>
      </c>
      <c r="D760" s="1">
        <v>26</v>
      </c>
      <c r="E760" s="1" t="s">
        <v>15</v>
      </c>
      <c r="F760" s="1">
        <v>8</v>
      </c>
      <c r="G760" s="1">
        <v>73165</v>
      </c>
      <c r="H760" s="1">
        <v>14</v>
      </c>
      <c r="I760" s="1">
        <v>37</v>
      </c>
      <c r="J760" s="1">
        <v>4</v>
      </c>
      <c r="K760" s="1">
        <v>100</v>
      </c>
      <c r="L760" s="1" t="s">
        <v>32</v>
      </c>
    </row>
    <row r="761" spans="1:12" x14ac:dyDescent="0.25">
      <c r="A761" s="1" t="s">
        <v>803</v>
      </c>
      <c r="B761" s="1" t="s">
        <v>77</v>
      </c>
      <c r="C761" s="1" t="s">
        <v>25</v>
      </c>
      <c r="D761" s="1">
        <v>23</v>
      </c>
      <c r="E761" s="1" t="s">
        <v>19</v>
      </c>
      <c r="F761" s="1">
        <v>5</v>
      </c>
      <c r="G761" s="1">
        <v>51900</v>
      </c>
      <c r="H761" s="1">
        <v>3</v>
      </c>
      <c r="I761" s="1">
        <v>47</v>
      </c>
      <c r="J761" s="1">
        <v>4</v>
      </c>
      <c r="K761" s="1">
        <v>96</v>
      </c>
      <c r="L761" s="1" t="s">
        <v>51</v>
      </c>
    </row>
    <row r="762" spans="1:12" x14ac:dyDescent="0.25">
      <c r="A762" s="1" t="s">
        <v>804</v>
      </c>
      <c r="B762" s="1" t="s">
        <v>94</v>
      </c>
      <c r="C762" s="1" t="s">
        <v>14</v>
      </c>
      <c r="D762" s="1">
        <v>27</v>
      </c>
      <c r="E762" s="1" t="s">
        <v>19</v>
      </c>
      <c r="F762" s="1">
        <v>7</v>
      </c>
      <c r="G762" s="1">
        <v>59942</v>
      </c>
      <c r="H762" s="1">
        <v>13</v>
      </c>
      <c r="I762" s="1">
        <v>39</v>
      </c>
      <c r="J762" s="1">
        <v>2</v>
      </c>
      <c r="K762" s="1">
        <v>90</v>
      </c>
      <c r="L762" s="1" t="s">
        <v>37</v>
      </c>
    </row>
    <row r="763" spans="1:12" x14ac:dyDescent="0.25">
      <c r="A763" s="1" t="s">
        <v>805</v>
      </c>
      <c r="B763" s="1" t="s">
        <v>28</v>
      </c>
      <c r="C763" s="1" t="s">
        <v>22</v>
      </c>
      <c r="D763" s="1">
        <v>28</v>
      </c>
      <c r="E763" s="1" t="s">
        <v>15</v>
      </c>
      <c r="F763" s="1">
        <v>4</v>
      </c>
      <c r="G763" s="1">
        <v>68844</v>
      </c>
      <c r="H763" s="1">
        <v>15</v>
      </c>
      <c r="I763" s="1">
        <v>37</v>
      </c>
      <c r="J763" s="1">
        <v>4</v>
      </c>
      <c r="K763" s="1">
        <v>91</v>
      </c>
      <c r="L763" s="1" t="s">
        <v>37</v>
      </c>
    </row>
    <row r="764" spans="1:12" x14ac:dyDescent="0.25">
      <c r="A764" s="1" t="s">
        <v>806</v>
      </c>
      <c r="B764" s="1" t="s">
        <v>81</v>
      </c>
      <c r="C764" s="1" t="s">
        <v>29</v>
      </c>
      <c r="D764" s="1">
        <v>22</v>
      </c>
      <c r="E764" s="1" t="s">
        <v>19</v>
      </c>
      <c r="F764" s="1">
        <v>12</v>
      </c>
      <c r="G764" s="1">
        <v>39989</v>
      </c>
      <c r="H764" s="1">
        <v>15</v>
      </c>
      <c r="I764" s="1">
        <v>38</v>
      </c>
      <c r="J764" s="1">
        <v>4</v>
      </c>
      <c r="K764" s="1">
        <v>94</v>
      </c>
      <c r="L764" s="1" t="s">
        <v>26</v>
      </c>
    </row>
    <row r="765" spans="1:12" x14ac:dyDescent="0.25">
      <c r="A765" s="1" t="s">
        <v>807</v>
      </c>
      <c r="B765" s="1" t="s">
        <v>40</v>
      </c>
      <c r="C765" s="1" t="s">
        <v>25</v>
      </c>
      <c r="D765" s="1">
        <v>37</v>
      </c>
      <c r="E765" s="1" t="s">
        <v>15</v>
      </c>
      <c r="F765" s="1">
        <v>5</v>
      </c>
      <c r="G765" s="1">
        <v>32548</v>
      </c>
      <c r="H765" s="1">
        <v>10</v>
      </c>
      <c r="I765" s="1">
        <v>45</v>
      </c>
      <c r="J765" s="1">
        <v>5</v>
      </c>
      <c r="K765" s="1">
        <v>86</v>
      </c>
      <c r="L765" s="1" t="s">
        <v>26</v>
      </c>
    </row>
    <row r="766" spans="1:12" x14ac:dyDescent="0.25">
      <c r="A766" s="1" t="s">
        <v>808</v>
      </c>
      <c r="B766" s="1" t="s">
        <v>63</v>
      </c>
      <c r="C766" s="1" t="s">
        <v>22</v>
      </c>
      <c r="D766" s="1">
        <v>28</v>
      </c>
      <c r="E766" s="1" t="s">
        <v>15</v>
      </c>
      <c r="F766" s="1">
        <v>11</v>
      </c>
      <c r="G766" s="1">
        <v>64181</v>
      </c>
      <c r="H766" s="1">
        <v>15</v>
      </c>
      <c r="I766" s="1">
        <v>41</v>
      </c>
      <c r="J766" s="1">
        <v>4</v>
      </c>
      <c r="K766" s="1">
        <v>89</v>
      </c>
      <c r="L766" s="1" t="s">
        <v>51</v>
      </c>
    </row>
    <row r="767" spans="1:12" x14ac:dyDescent="0.25">
      <c r="A767" s="1" t="s">
        <v>809</v>
      </c>
      <c r="B767" s="1" t="s">
        <v>21</v>
      </c>
      <c r="C767" s="1" t="s">
        <v>14</v>
      </c>
      <c r="D767" s="1">
        <v>38</v>
      </c>
      <c r="E767" s="1" t="s">
        <v>19</v>
      </c>
      <c r="F767" s="1">
        <v>9</v>
      </c>
      <c r="G767" s="1">
        <v>43320</v>
      </c>
      <c r="H767" s="1">
        <v>10</v>
      </c>
      <c r="I767" s="1">
        <v>39</v>
      </c>
      <c r="J767" s="1">
        <v>3</v>
      </c>
      <c r="K767" s="1">
        <v>99</v>
      </c>
      <c r="L767" s="1" t="s">
        <v>26</v>
      </c>
    </row>
    <row r="768" spans="1:12" x14ac:dyDescent="0.25">
      <c r="A768" s="1" t="s">
        <v>810</v>
      </c>
      <c r="B768" s="1" t="s">
        <v>36</v>
      </c>
      <c r="C768" s="1" t="s">
        <v>29</v>
      </c>
      <c r="D768" s="1">
        <v>33</v>
      </c>
      <c r="E768" s="1" t="s">
        <v>19</v>
      </c>
      <c r="F768" s="1">
        <v>11</v>
      </c>
      <c r="G768" s="1">
        <v>59755</v>
      </c>
      <c r="H768" s="1">
        <v>3</v>
      </c>
      <c r="I768" s="1">
        <v>40</v>
      </c>
      <c r="J768" s="1">
        <v>5</v>
      </c>
      <c r="K768" s="1">
        <v>92</v>
      </c>
      <c r="L768" s="1" t="s">
        <v>32</v>
      </c>
    </row>
    <row r="769" spans="1:12" x14ac:dyDescent="0.25">
      <c r="A769" s="1" t="s">
        <v>811</v>
      </c>
      <c r="B769" s="1" t="s">
        <v>28</v>
      </c>
      <c r="C769" s="1" t="s">
        <v>29</v>
      </c>
      <c r="D769" s="1">
        <v>32</v>
      </c>
      <c r="E769" s="1" t="s">
        <v>19</v>
      </c>
      <c r="F769" s="1">
        <v>12</v>
      </c>
      <c r="G769" s="1">
        <v>70242</v>
      </c>
      <c r="H769" s="1">
        <v>6</v>
      </c>
      <c r="I769" s="1">
        <v>36</v>
      </c>
      <c r="J769" s="1">
        <v>1</v>
      </c>
      <c r="K769" s="1">
        <v>87</v>
      </c>
      <c r="L769" s="1" t="s">
        <v>26</v>
      </c>
    </row>
    <row r="770" spans="1:12" x14ac:dyDescent="0.25">
      <c r="A770" s="1" t="s">
        <v>812</v>
      </c>
      <c r="B770" s="1" t="s">
        <v>83</v>
      </c>
      <c r="C770" s="1" t="s">
        <v>22</v>
      </c>
      <c r="D770" s="1">
        <v>25</v>
      </c>
      <c r="E770" s="1" t="s">
        <v>19</v>
      </c>
      <c r="F770" s="1">
        <v>5</v>
      </c>
      <c r="G770" s="1">
        <v>25059</v>
      </c>
      <c r="H770" s="1">
        <v>13</v>
      </c>
      <c r="I770" s="1">
        <v>49</v>
      </c>
      <c r="J770" s="1">
        <v>2</v>
      </c>
      <c r="K770" s="1">
        <v>97</v>
      </c>
      <c r="L770" s="1" t="s">
        <v>32</v>
      </c>
    </row>
    <row r="771" spans="1:12" x14ac:dyDescent="0.25">
      <c r="A771" s="1" t="s">
        <v>813</v>
      </c>
      <c r="B771" s="1" t="s">
        <v>81</v>
      </c>
      <c r="C771" s="1" t="s">
        <v>14</v>
      </c>
      <c r="D771" s="1">
        <v>31</v>
      </c>
      <c r="E771" s="1" t="s">
        <v>19</v>
      </c>
      <c r="F771" s="1">
        <v>14</v>
      </c>
      <c r="G771" s="1">
        <v>65770</v>
      </c>
      <c r="H771" s="1">
        <v>6</v>
      </c>
      <c r="I771" s="1">
        <v>39</v>
      </c>
      <c r="J771" s="1">
        <v>3</v>
      </c>
      <c r="K771" s="1">
        <v>97</v>
      </c>
      <c r="L771" s="1" t="s">
        <v>37</v>
      </c>
    </row>
    <row r="772" spans="1:12" x14ac:dyDescent="0.25">
      <c r="A772" s="1" t="s">
        <v>814</v>
      </c>
      <c r="B772" s="1" t="s">
        <v>77</v>
      </c>
      <c r="C772" s="1" t="s">
        <v>25</v>
      </c>
      <c r="D772" s="1">
        <v>38</v>
      </c>
      <c r="E772" s="1" t="s">
        <v>19</v>
      </c>
      <c r="F772" s="1">
        <v>12</v>
      </c>
      <c r="G772" s="1">
        <v>63711</v>
      </c>
      <c r="H772" s="1">
        <v>15</v>
      </c>
      <c r="I772" s="1">
        <v>50</v>
      </c>
      <c r="J772" s="1">
        <v>3</v>
      </c>
      <c r="K772" s="1">
        <v>94</v>
      </c>
      <c r="L772" s="1" t="s">
        <v>37</v>
      </c>
    </row>
    <row r="773" spans="1:12" x14ac:dyDescent="0.25">
      <c r="A773" s="1" t="s">
        <v>815</v>
      </c>
      <c r="B773" s="1" t="s">
        <v>36</v>
      </c>
      <c r="C773" s="1" t="s">
        <v>25</v>
      </c>
      <c r="D773" s="1">
        <v>27</v>
      </c>
      <c r="E773" s="1" t="s">
        <v>19</v>
      </c>
      <c r="F773" s="1">
        <v>5</v>
      </c>
      <c r="G773" s="1">
        <v>65198</v>
      </c>
      <c r="H773" s="1">
        <v>3</v>
      </c>
      <c r="I773" s="1">
        <v>38</v>
      </c>
      <c r="J773" s="1">
        <v>1</v>
      </c>
      <c r="K773" s="1">
        <v>92</v>
      </c>
      <c r="L773" s="1" t="s">
        <v>26</v>
      </c>
    </row>
    <row r="774" spans="1:12" x14ac:dyDescent="0.25">
      <c r="A774" s="1" t="s">
        <v>816</v>
      </c>
      <c r="B774" s="1" t="s">
        <v>34</v>
      </c>
      <c r="C774" s="1" t="s">
        <v>14</v>
      </c>
      <c r="D774" s="1">
        <v>32</v>
      </c>
      <c r="E774" s="1" t="s">
        <v>19</v>
      </c>
      <c r="F774" s="1">
        <v>8</v>
      </c>
      <c r="G774" s="1">
        <v>29324</v>
      </c>
      <c r="H774" s="1">
        <v>13</v>
      </c>
      <c r="I774" s="1">
        <v>36</v>
      </c>
      <c r="J774" s="1">
        <v>5</v>
      </c>
      <c r="K774" s="1">
        <v>97</v>
      </c>
      <c r="L774" s="1" t="s">
        <v>32</v>
      </c>
    </row>
    <row r="775" spans="1:12" x14ac:dyDescent="0.25">
      <c r="A775" s="1" t="s">
        <v>817</v>
      </c>
      <c r="B775" s="1" t="s">
        <v>40</v>
      </c>
      <c r="C775" s="1" t="s">
        <v>25</v>
      </c>
      <c r="D775" s="1">
        <v>39</v>
      </c>
      <c r="E775" s="1" t="s">
        <v>15</v>
      </c>
      <c r="F775" s="1">
        <v>15</v>
      </c>
      <c r="G775" s="1">
        <v>65233</v>
      </c>
      <c r="H775" s="1">
        <v>15</v>
      </c>
      <c r="I775" s="1">
        <v>42</v>
      </c>
      <c r="J775" s="1">
        <v>1</v>
      </c>
      <c r="K775" s="1">
        <v>96</v>
      </c>
      <c r="L775" s="1" t="s">
        <v>32</v>
      </c>
    </row>
    <row r="776" spans="1:12" x14ac:dyDescent="0.25">
      <c r="A776" s="1" t="s">
        <v>818</v>
      </c>
      <c r="B776" s="1" t="s">
        <v>18</v>
      </c>
      <c r="C776" s="1" t="s">
        <v>29</v>
      </c>
      <c r="D776" s="1">
        <v>24</v>
      </c>
      <c r="E776" s="1" t="s">
        <v>15</v>
      </c>
      <c r="F776" s="1">
        <v>2</v>
      </c>
      <c r="G776" s="1">
        <v>43037</v>
      </c>
      <c r="H776" s="1">
        <v>4</v>
      </c>
      <c r="I776" s="1">
        <v>48</v>
      </c>
      <c r="J776" s="1">
        <v>4</v>
      </c>
      <c r="K776" s="1">
        <v>90</v>
      </c>
      <c r="L776" s="1" t="s">
        <v>23</v>
      </c>
    </row>
    <row r="777" spans="1:12" x14ac:dyDescent="0.25">
      <c r="A777" s="1" t="s">
        <v>819</v>
      </c>
      <c r="B777" s="1" t="s">
        <v>89</v>
      </c>
      <c r="C777" s="1" t="s">
        <v>29</v>
      </c>
      <c r="D777" s="1">
        <v>40</v>
      </c>
      <c r="E777" s="1" t="s">
        <v>19</v>
      </c>
      <c r="F777" s="1">
        <v>5</v>
      </c>
      <c r="G777" s="1">
        <v>28572</v>
      </c>
      <c r="H777" s="1">
        <v>6</v>
      </c>
      <c r="I777" s="1">
        <v>48</v>
      </c>
      <c r="J777" s="1">
        <v>3</v>
      </c>
      <c r="K777" s="1">
        <v>91</v>
      </c>
      <c r="L777" s="1" t="s">
        <v>37</v>
      </c>
    </row>
    <row r="778" spans="1:12" x14ac:dyDescent="0.25">
      <c r="A778" s="1" t="s">
        <v>820</v>
      </c>
      <c r="B778" s="1" t="s">
        <v>53</v>
      </c>
      <c r="C778" s="1" t="s">
        <v>29</v>
      </c>
      <c r="D778" s="1">
        <v>38</v>
      </c>
      <c r="E778" s="1" t="s">
        <v>15</v>
      </c>
      <c r="F778" s="1">
        <v>2</v>
      </c>
      <c r="G778" s="1">
        <v>54853</v>
      </c>
      <c r="H778" s="1">
        <v>6</v>
      </c>
      <c r="I778" s="1">
        <v>50</v>
      </c>
      <c r="J778" s="1">
        <v>3</v>
      </c>
      <c r="K778" s="1">
        <v>89</v>
      </c>
      <c r="L778" s="1" t="s">
        <v>37</v>
      </c>
    </row>
    <row r="779" spans="1:12" x14ac:dyDescent="0.25">
      <c r="A779" s="1" t="s">
        <v>821</v>
      </c>
      <c r="B779" s="1" t="s">
        <v>77</v>
      </c>
      <c r="C779" s="1" t="s">
        <v>25</v>
      </c>
      <c r="D779" s="1">
        <v>32</v>
      </c>
      <c r="E779" s="1" t="s">
        <v>19</v>
      </c>
      <c r="F779" s="1">
        <v>2</v>
      </c>
      <c r="G779" s="1">
        <v>48319</v>
      </c>
      <c r="H779" s="1">
        <v>10</v>
      </c>
      <c r="I779" s="1">
        <v>37</v>
      </c>
      <c r="J779" s="1">
        <v>1</v>
      </c>
      <c r="K779" s="1">
        <v>86</v>
      </c>
      <c r="L779" s="1" t="s">
        <v>51</v>
      </c>
    </row>
    <row r="780" spans="1:12" x14ac:dyDescent="0.25">
      <c r="A780" s="1" t="s">
        <v>822</v>
      </c>
      <c r="B780" s="1" t="s">
        <v>21</v>
      </c>
      <c r="C780" s="1" t="s">
        <v>14</v>
      </c>
      <c r="D780" s="1">
        <v>24</v>
      </c>
      <c r="E780" s="1" t="s">
        <v>15</v>
      </c>
      <c r="F780" s="1">
        <v>13</v>
      </c>
      <c r="G780" s="1">
        <v>46527</v>
      </c>
      <c r="H780" s="1">
        <v>3</v>
      </c>
      <c r="I780" s="1">
        <v>38</v>
      </c>
      <c r="J780" s="1">
        <v>1</v>
      </c>
      <c r="K780" s="1">
        <v>91</v>
      </c>
      <c r="L780" s="1" t="s">
        <v>26</v>
      </c>
    </row>
    <row r="781" spans="1:12" x14ac:dyDescent="0.25">
      <c r="A781" s="1" t="s">
        <v>823</v>
      </c>
      <c r="B781" s="1" t="s">
        <v>43</v>
      </c>
      <c r="C781" s="1" t="s">
        <v>14</v>
      </c>
      <c r="D781" s="1">
        <v>32</v>
      </c>
      <c r="E781" s="1" t="s">
        <v>15</v>
      </c>
      <c r="F781" s="1">
        <v>13</v>
      </c>
      <c r="G781" s="1">
        <v>50387</v>
      </c>
      <c r="H781" s="1">
        <v>7</v>
      </c>
      <c r="I781" s="1">
        <v>44</v>
      </c>
      <c r="J781" s="1">
        <v>4</v>
      </c>
      <c r="K781" s="1">
        <v>89</v>
      </c>
      <c r="L781" s="1" t="s">
        <v>37</v>
      </c>
    </row>
    <row r="782" spans="1:12" x14ac:dyDescent="0.25">
      <c r="A782" s="1" t="s">
        <v>824</v>
      </c>
      <c r="B782" s="1" t="s">
        <v>53</v>
      </c>
      <c r="C782" s="1" t="s">
        <v>25</v>
      </c>
      <c r="D782" s="1">
        <v>36</v>
      </c>
      <c r="E782" s="1" t="s">
        <v>15</v>
      </c>
      <c r="F782" s="1">
        <v>10</v>
      </c>
      <c r="G782" s="1">
        <v>45329</v>
      </c>
      <c r="H782" s="1">
        <v>10</v>
      </c>
      <c r="I782" s="1">
        <v>45</v>
      </c>
      <c r="J782" s="1">
        <v>5</v>
      </c>
      <c r="K782" s="1">
        <v>88</v>
      </c>
      <c r="L782" s="1" t="s">
        <v>23</v>
      </c>
    </row>
    <row r="783" spans="1:12" x14ac:dyDescent="0.25">
      <c r="A783" s="1" t="s">
        <v>825</v>
      </c>
      <c r="B783" s="1" t="s">
        <v>83</v>
      </c>
      <c r="C783" s="1" t="s">
        <v>22</v>
      </c>
      <c r="D783" s="1">
        <v>34</v>
      </c>
      <c r="E783" s="1" t="s">
        <v>19</v>
      </c>
      <c r="F783" s="1">
        <v>5</v>
      </c>
      <c r="G783" s="1">
        <v>42880</v>
      </c>
      <c r="H783" s="1">
        <v>8</v>
      </c>
      <c r="I783" s="1">
        <v>43</v>
      </c>
      <c r="J783" s="1">
        <v>4</v>
      </c>
      <c r="K783" s="1">
        <v>92</v>
      </c>
      <c r="L783" s="1" t="s">
        <v>37</v>
      </c>
    </row>
    <row r="784" spans="1:12" x14ac:dyDescent="0.25">
      <c r="A784" s="1" t="s">
        <v>826</v>
      </c>
      <c r="B784" s="1" t="s">
        <v>43</v>
      </c>
      <c r="C784" s="1" t="s">
        <v>22</v>
      </c>
      <c r="D784" s="1">
        <v>24</v>
      </c>
      <c r="E784" s="1" t="s">
        <v>19</v>
      </c>
      <c r="F784" s="1">
        <v>11</v>
      </c>
      <c r="G784" s="1">
        <v>56689</v>
      </c>
      <c r="H784" s="1">
        <v>7</v>
      </c>
      <c r="I784" s="1">
        <v>40</v>
      </c>
      <c r="J784" s="1">
        <v>2</v>
      </c>
      <c r="K784" s="1">
        <v>96</v>
      </c>
      <c r="L784" s="1" t="s">
        <v>23</v>
      </c>
    </row>
    <row r="785" spans="1:12" x14ac:dyDescent="0.25">
      <c r="A785" s="1" t="s">
        <v>827</v>
      </c>
      <c r="B785" s="1" t="s">
        <v>13</v>
      </c>
      <c r="C785" s="1" t="s">
        <v>25</v>
      </c>
      <c r="D785" s="1">
        <v>37</v>
      </c>
      <c r="E785" s="1" t="s">
        <v>15</v>
      </c>
      <c r="F785" s="1">
        <v>8</v>
      </c>
      <c r="G785" s="1">
        <v>66787</v>
      </c>
      <c r="H785" s="1">
        <v>6</v>
      </c>
      <c r="I785" s="1">
        <v>50</v>
      </c>
      <c r="J785" s="1">
        <v>2</v>
      </c>
      <c r="K785" s="1">
        <v>91</v>
      </c>
      <c r="L785" s="1" t="s">
        <v>26</v>
      </c>
    </row>
    <row r="786" spans="1:12" x14ac:dyDescent="0.25">
      <c r="A786" s="1" t="s">
        <v>828</v>
      </c>
      <c r="B786" s="1" t="s">
        <v>81</v>
      </c>
      <c r="C786" s="1" t="s">
        <v>25</v>
      </c>
      <c r="D786" s="1">
        <v>33</v>
      </c>
      <c r="E786" s="1" t="s">
        <v>15</v>
      </c>
      <c r="F786" s="1">
        <v>6</v>
      </c>
      <c r="G786" s="1">
        <v>43122</v>
      </c>
      <c r="H786" s="1">
        <v>3</v>
      </c>
      <c r="I786" s="1">
        <v>44</v>
      </c>
      <c r="J786" s="1">
        <v>3</v>
      </c>
      <c r="K786" s="1">
        <v>93</v>
      </c>
      <c r="L786" s="1" t="s">
        <v>32</v>
      </c>
    </row>
    <row r="787" spans="1:12" x14ac:dyDescent="0.25">
      <c r="A787" s="1" t="s">
        <v>829</v>
      </c>
      <c r="B787" s="1" t="s">
        <v>13</v>
      </c>
      <c r="C787" s="1" t="s">
        <v>22</v>
      </c>
      <c r="D787" s="1">
        <v>32</v>
      </c>
      <c r="E787" s="1" t="s">
        <v>15</v>
      </c>
      <c r="F787" s="1">
        <v>12</v>
      </c>
      <c r="G787" s="1">
        <v>32457</v>
      </c>
      <c r="H787" s="1">
        <v>3</v>
      </c>
      <c r="I787" s="1">
        <v>50</v>
      </c>
      <c r="J787" s="1">
        <v>1</v>
      </c>
      <c r="K787" s="1">
        <v>86</v>
      </c>
      <c r="L787" s="1" t="s">
        <v>23</v>
      </c>
    </row>
    <row r="788" spans="1:12" x14ac:dyDescent="0.25">
      <c r="A788" s="1" t="s">
        <v>830</v>
      </c>
      <c r="B788" s="1" t="s">
        <v>63</v>
      </c>
      <c r="C788" s="1" t="s">
        <v>22</v>
      </c>
      <c r="D788" s="1">
        <v>22</v>
      </c>
      <c r="E788" s="1" t="s">
        <v>19</v>
      </c>
      <c r="F788" s="1">
        <v>1</v>
      </c>
      <c r="G788" s="1">
        <v>70571</v>
      </c>
      <c r="H788" s="1">
        <v>12</v>
      </c>
      <c r="I788" s="1">
        <v>42</v>
      </c>
      <c r="J788" s="1">
        <v>4</v>
      </c>
      <c r="K788" s="1">
        <v>95</v>
      </c>
      <c r="L788" s="1" t="s">
        <v>51</v>
      </c>
    </row>
    <row r="789" spans="1:12" x14ac:dyDescent="0.25">
      <c r="A789" s="1" t="s">
        <v>831</v>
      </c>
      <c r="B789" s="1" t="s">
        <v>53</v>
      </c>
      <c r="C789" s="1" t="s">
        <v>29</v>
      </c>
      <c r="D789" s="1">
        <v>38</v>
      </c>
      <c r="E789" s="1" t="s">
        <v>15</v>
      </c>
      <c r="F789" s="1">
        <v>3</v>
      </c>
      <c r="G789" s="1">
        <v>39338</v>
      </c>
      <c r="H789" s="1">
        <v>14</v>
      </c>
      <c r="I789" s="1">
        <v>37</v>
      </c>
      <c r="J789" s="1">
        <v>5</v>
      </c>
      <c r="K789" s="1">
        <v>91</v>
      </c>
      <c r="L789" s="1" t="s">
        <v>32</v>
      </c>
    </row>
    <row r="790" spans="1:12" x14ac:dyDescent="0.25">
      <c r="A790" s="1" t="s">
        <v>832</v>
      </c>
      <c r="B790" s="1" t="s">
        <v>94</v>
      </c>
      <c r="C790" s="1" t="s">
        <v>25</v>
      </c>
      <c r="D790" s="1">
        <v>35</v>
      </c>
      <c r="E790" s="1" t="s">
        <v>15</v>
      </c>
      <c r="F790" s="1">
        <v>15</v>
      </c>
      <c r="G790" s="1">
        <v>35468</v>
      </c>
      <c r="H790" s="1">
        <v>11</v>
      </c>
      <c r="I790" s="1">
        <v>38</v>
      </c>
      <c r="J790" s="1">
        <v>4</v>
      </c>
      <c r="K790" s="1">
        <v>90</v>
      </c>
      <c r="L790" s="1" t="s">
        <v>23</v>
      </c>
    </row>
    <row r="791" spans="1:12" x14ac:dyDescent="0.25">
      <c r="A791" s="1" t="s">
        <v>833</v>
      </c>
      <c r="B791" s="1" t="s">
        <v>34</v>
      </c>
      <c r="C791" s="1" t="s">
        <v>29</v>
      </c>
      <c r="D791" s="1">
        <v>26</v>
      </c>
      <c r="E791" s="1" t="s">
        <v>19</v>
      </c>
      <c r="F791" s="1">
        <v>10</v>
      </c>
      <c r="G791" s="1">
        <v>77673</v>
      </c>
      <c r="H791" s="1">
        <v>12</v>
      </c>
      <c r="I791" s="1">
        <v>44</v>
      </c>
      <c r="J791" s="1">
        <v>4</v>
      </c>
      <c r="K791" s="1">
        <v>96</v>
      </c>
      <c r="L791" s="1" t="s">
        <v>26</v>
      </c>
    </row>
    <row r="792" spans="1:12" x14ac:dyDescent="0.25">
      <c r="A792" s="1" t="s">
        <v>834</v>
      </c>
      <c r="B792" s="1" t="s">
        <v>13</v>
      </c>
      <c r="C792" s="1" t="s">
        <v>25</v>
      </c>
      <c r="D792" s="1">
        <v>39</v>
      </c>
      <c r="E792" s="1" t="s">
        <v>15</v>
      </c>
      <c r="F792" s="1">
        <v>7</v>
      </c>
      <c r="G792" s="1">
        <v>26573</v>
      </c>
      <c r="H792" s="1">
        <v>8</v>
      </c>
      <c r="I792" s="1">
        <v>37</v>
      </c>
      <c r="J792" s="1">
        <v>3</v>
      </c>
      <c r="K792" s="1">
        <v>93</v>
      </c>
      <c r="L792" s="1" t="s">
        <v>16</v>
      </c>
    </row>
    <row r="793" spans="1:12" x14ac:dyDescent="0.25">
      <c r="A793" s="1" t="s">
        <v>835</v>
      </c>
      <c r="B793" s="1" t="s">
        <v>21</v>
      </c>
      <c r="C793" s="1" t="s">
        <v>14</v>
      </c>
      <c r="D793" s="1">
        <v>39</v>
      </c>
      <c r="E793" s="1" t="s">
        <v>15</v>
      </c>
      <c r="F793" s="1">
        <v>8</v>
      </c>
      <c r="G793" s="1">
        <v>50036</v>
      </c>
      <c r="H793" s="1">
        <v>12</v>
      </c>
      <c r="I793" s="1">
        <v>39</v>
      </c>
      <c r="J793" s="1">
        <v>4</v>
      </c>
      <c r="K793" s="1">
        <v>87</v>
      </c>
      <c r="L793" s="1" t="s">
        <v>51</v>
      </c>
    </row>
    <row r="794" spans="1:12" x14ac:dyDescent="0.25">
      <c r="A794" s="1" t="s">
        <v>836</v>
      </c>
      <c r="B794" s="1" t="s">
        <v>13</v>
      </c>
      <c r="C794" s="1" t="s">
        <v>14</v>
      </c>
      <c r="D794" s="1">
        <v>22</v>
      </c>
      <c r="E794" s="1" t="s">
        <v>15</v>
      </c>
      <c r="F794" s="1">
        <v>9</v>
      </c>
      <c r="G794" s="1">
        <v>71429</v>
      </c>
      <c r="H794" s="1">
        <v>6</v>
      </c>
      <c r="I794" s="1">
        <v>39</v>
      </c>
      <c r="J794" s="1">
        <v>1</v>
      </c>
      <c r="K794" s="1">
        <v>100</v>
      </c>
      <c r="L794" s="1" t="s">
        <v>51</v>
      </c>
    </row>
    <row r="795" spans="1:12" x14ac:dyDescent="0.25">
      <c r="A795" s="1" t="s">
        <v>837</v>
      </c>
      <c r="B795" s="1" t="s">
        <v>53</v>
      </c>
      <c r="C795" s="1" t="s">
        <v>25</v>
      </c>
      <c r="D795" s="1">
        <v>25</v>
      </c>
      <c r="E795" s="1" t="s">
        <v>15</v>
      </c>
      <c r="F795" s="1">
        <v>7</v>
      </c>
      <c r="G795" s="1">
        <v>55753</v>
      </c>
      <c r="H795" s="1">
        <v>6</v>
      </c>
      <c r="I795" s="1">
        <v>49</v>
      </c>
      <c r="J795" s="1">
        <v>1</v>
      </c>
      <c r="K795" s="1">
        <v>96</v>
      </c>
      <c r="L795" s="1" t="s">
        <v>32</v>
      </c>
    </row>
    <row r="796" spans="1:12" x14ac:dyDescent="0.25">
      <c r="A796" s="1" t="s">
        <v>838</v>
      </c>
      <c r="B796" s="1" t="s">
        <v>70</v>
      </c>
      <c r="C796" s="1" t="s">
        <v>25</v>
      </c>
      <c r="D796" s="1">
        <v>28</v>
      </c>
      <c r="E796" s="1" t="s">
        <v>19</v>
      </c>
      <c r="F796" s="1">
        <v>6</v>
      </c>
      <c r="G796" s="1">
        <v>32629</v>
      </c>
      <c r="H796" s="1">
        <v>11</v>
      </c>
      <c r="I796" s="1">
        <v>47</v>
      </c>
      <c r="J796" s="1">
        <v>3</v>
      </c>
      <c r="K796" s="1">
        <v>96</v>
      </c>
      <c r="L796" s="1" t="s">
        <v>26</v>
      </c>
    </row>
    <row r="797" spans="1:12" x14ac:dyDescent="0.25">
      <c r="A797" s="1" t="s">
        <v>839</v>
      </c>
      <c r="B797" s="1" t="s">
        <v>28</v>
      </c>
      <c r="C797" s="1" t="s">
        <v>14</v>
      </c>
      <c r="D797" s="1">
        <v>30</v>
      </c>
      <c r="E797" s="1" t="s">
        <v>19</v>
      </c>
      <c r="F797" s="1">
        <v>4</v>
      </c>
      <c r="G797" s="1">
        <v>26852</v>
      </c>
      <c r="H797" s="1">
        <v>8</v>
      </c>
      <c r="I797" s="1">
        <v>40</v>
      </c>
      <c r="J797" s="1">
        <v>5</v>
      </c>
      <c r="K797" s="1">
        <v>90</v>
      </c>
      <c r="L797" s="1" t="s">
        <v>37</v>
      </c>
    </row>
    <row r="798" spans="1:12" x14ac:dyDescent="0.25">
      <c r="A798" s="1" t="s">
        <v>840</v>
      </c>
      <c r="B798" s="1" t="s">
        <v>31</v>
      </c>
      <c r="C798" s="1" t="s">
        <v>25</v>
      </c>
      <c r="D798" s="1">
        <v>37</v>
      </c>
      <c r="E798" s="1" t="s">
        <v>19</v>
      </c>
      <c r="F798" s="1">
        <v>1</v>
      </c>
      <c r="G798" s="1">
        <v>32958</v>
      </c>
      <c r="H798" s="1">
        <v>6</v>
      </c>
      <c r="I798" s="1">
        <v>49</v>
      </c>
      <c r="J798" s="1">
        <v>1</v>
      </c>
      <c r="K798" s="1">
        <v>95</v>
      </c>
      <c r="L798" s="1" t="s">
        <v>37</v>
      </c>
    </row>
    <row r="799" spans="1:12" x14ac:dyDescent="0.25">
      <c r="A799" s="1" t="s">
        <v>841</v>
      </c>
      <c r="B799" s="1" t="s">
        <v>43</v>
      </c>
      <c r="C799" s="1" t="s">
        <v>14</v>
      </c>
      <c r="D799" s="1">
        <v>28</v>
      </c>
      <c r="E799" s="1" t="s">
        <v>19</v>
      </c>
      <c r="F799" s="1">
        <v>12</v>
      </c>
      <c r="G799" s="1">
        <v>58874</v>
      </c>
      <c r="H799" s="1">
        <v>13</v>
      </c>
      <c r="I799" s="1">
        <v>47</v>
      </c>
      <c r="J799" s="1">
        <v>2</v>
      </c>
      <c r="K799" s="1">
        <v>99</v>
      </c>
      <c r="L799" s="1" t="s">
        <v>32</v>
      </c>
    </row>
    <row r="800" spans="1:12" x14ac:dyDescent="0.25">
      <c r="A800" s="1" t="s">
        <v>842</v>
      </c>
      <c r="B800" s="1" t="s">
        <v>81</v>
      </c>
      <c r="C800" s="1" t="s">
        <v>22</v>
      </c>
      <c r="D800" s="1">
        <v>31</v>
      </c>
      <c r="E800" s="1" t="s">
        <v>15</v>
      </c>
      <c r="F800" s="1">
        <v>3</v>
      </c>
      <c r="G800" s="1">
        <v>63199</v>
      </c>
      <c r="H800" s="1">
        <v>7</v>
      </c>
      <c r="I800" s="1">
        <v>48</v>
      </c>
      <c r="J800" s="1">
        <v>3</v>
      </c>
      <c r="K800" s="1">
        <v>97</v>
      </c>
      <c r="L800" s="1" t="s">
        <v>16</v>
      </c>
    </row>
    <row r="801" spans="1:12" x14ac:dyDescent="0.25">
      <c r="A801" s="1" t="s">
        <v>843</v>
      </c>
      <c r="B801" s="1" t="s">
        <v>81</v>
      </c>
      <c r="C801" s="1" t="s">
        <v>29</v>
      </c>
      <c r="D801" s="1">
        <v>33</v>
      </c>
      <c r="E801" s="1" t="s">
        <v>19</v>
      </c>
      <c r="F801" s="1">
        <v>7</v>
      </c>
      <c r="G801" s="1">
        <v>51353</v>
      </c>
      <c r="H801" s="1">
        <v>10</v>
      </c>
      <c r="I801" s="1">
        <v>46</v>
      </c>
      <c r="J801" s="1">
        <v>2</v>
      </c>
      <c r="K801" s="1">
        <v>96</v>
      </c>
      <c r="L801" s="1" t="s">
        <v>32</v>
      </c>
    </row>
    <row r="802" spans="1:12" x14ac:dyDescent="0.25">
      <c r="A802" s="1" t="s">
        <v>844</v>
      </c>
      <c r="B802" s="1" t="s">
        <v>75</v>
      </c>
      <c r="C802" s="1" t="s">
        <v>29</v>
      </c>
      <c r="D802" s="1">
        <v>37</v>
      </c>
      <c r="E802" s="1" t="s">
        <v>15</v>
      </c>
      <c r="F802" s="1">
        <v>7</v>
      </c>
      <c r="G802" s="1">
        <v>64028</v>
      </c>
      <c r="H802" s="1">
        <v>8</v>
      </c>
      <c r="I802" s="1">
        <v>50</v>
      </c>
      <c r="J802" s="1">
        <v>5</v>
      </c>
      <c r="K802" s="1">
        <v>90</v>
      </c>
      <c r="L802" s="1" t="s">
        <v>51</v>
      </c>
    </row>
    <row r="803" spans="1:12" x14ac:dyDescent="0.25">
      <c r="A803" s="1" t="s">
        <v>845</v>
      </c>
      <c r="B803" s="1" t="s">
        <v>21</v>
      </c>
      <c r="C803" s="1" t="s">
        <v>29</v>
      </c>
      <c r="D803" s="1">
        <v>32</v>
      </c>
      <c r="E803" s="1" t="s">
        <v>19</v>
      </c>
      <c r="F803" s="1">
        <v>11</v>
      </c>
      <c r="G803" s="1">
        <v>63673</v>
      </c>
      <c r="H803" s="1">
        <v>5</v>
      </c>
      <c r="I803" s="1">
        <v>42</v>
      </c>
      <c r="J803" s="1">
        <v>1</v>
      </c>
      <c r="K803" s="1">
        <v>87</v>
      </c>
      <c r="L803" s="1" t="s">
        <v>51</v>
      </c>
    </row>
    <row r="804" spans="1:12" x14ac:dyDescent="0.25">
      <c r="A804" s="1" t="s">
        <v>846</v>
      </c>
      <c r="B804" s="1" t="s">
        <v>83</v>
      </c>
      <c r="C804" s="1" t="s">
        <v>14</v>
      </c>
      <c r="D804" s="1">
        <v>34</v>
      </c>
      <c r="E804" s="1" t="s">
        <v>19</v>
      </c>
      <c r="F804" s="1">
        <v>6</v>
      </c>
      <c r="G804" s="1">
        <v>58956</v>
      </c>
      <c r="H804" s="1">
        <v>3</v>
      </c>
      <c r="I804" s="1">
        <v>49</v>
      </c>
      <c r="J804" s="1">
        <v>4</v>
      </c>
      <c r="K804" s="1">
        <v>91</v>
      </c>
      <c r="L804" s="1" t="s">
        <v>51</v>
      </c>
    </row>
    <row r="805" spans="1:12" x14ac:dyDescent="0.25">
      <c r="A805" s="1" t="s">
        <v>847</v>
      </c>
      <c r="B805" s="1" t="s">
        <v>21</v>
      </c>
      <c r="C805" s="1" t="s">
        <v>14</v>
      </c>
      <c r="D805" s="1">
        <v>39</v>
      </c>
      <c r="E805" s="1" t="s">
        <v>15</v>
      </c>
      <c r="F805" s="1">
        <v>4</v>
      </c>
      <c r="G805" s="1">
        <v>32375</v>
      </c>
      <c r="H805" s="1">
        <v>10</v>
      </c>
      <c r="I805" s="1">
        <v>37</v>
      </c>
      <c r="J805" s="1">
        <v>1</v>
      </c>
      <c r="K805" s="1">
        <v>92</v>
      </c>
      <c r="L805" s="1" t="s">
        <v>23</v>
      </c>
    </row>
    <row r="806" spans="1:12" x14ac:dyDescent="0.25">
      <c r="A806" s="1" t="s">
        <v>848</v>
      </c>
      <c r="B806" s="1" t="s">
        <v>75</v>
      </c>
      <c r="C806" s="1" t="s">
        <v>14</v>
      </c>
      <c r="D806" s="1">
        <v>27</v>
      </c>
      <c r="E806" s="1" t="s">
        <v>19</v>
      </c>
      <c r="F806" s="1">
        <v>12</v>
      </c>
      <c r="G806" s="1">
        <v>60342</v>
      </c>
      <c r="H806" s="1">
        <v>8</v>
      </c>
      <c r="I806" s="1">
        <v>50</v>
      </c>
      <c r="J806" s="1">
        <v>4</v>
      </c>
      <c r="K806" s="1">
        <v>95</v>
      </c>
      <c r="L806" s="1" t="s">
        <v>23</v>
      </c>
    </row>
    <row r="807" spans="1:12" x14ac:dyDescent="0.25">
      <c r="A807" s="1" t="s">
        <v>849</v>
      </c>
      <c r="B807" s="1" t="s">
        <v>28</v>
      </c>
      <c r="C807" s="1" t="s">
        <v>22</v>
      </c>
      <c r="D807" s="1">
        <v>27</v>
      </c>
      <c r="E807" s="1" t="s">
        <v>15</v>
      </c>
      <c r="F807" s="1">
        <v>2</v>
      </c>
      <c r="G807" s="1">
        <v>45767</v>
      </c>
      <c r="H807" s="1">
        <v>4</v>
      </c>
      <c r="I807" s="1">
        <v>47</v>
      </c>
      <c r="J807" s="1">
        <v>5</v>
      </c>
      <c r="K807" s="1">
        <v>87</v>
      </c>
      <c r="L807" s="1" t="s">
        <v>23</v>
      </c>
    </row>
    <row r="808" spans="1:12" x14ac:dyDescent="0.25">
      <c r="A808" s="1" t="s">
        <v>850</v>
      </c>
      <c r="B808" s="1" t="s">
        <v>77</v>
      </c>
      <c r="C808" s="1" t="s">
        <v>25</v>
      </c>
      <c r="D808" s="1">
        <v>33</v>
      </c>
      <c r="E808" s="1" t="s">
        <v>15</v>
      </c>
      <c r="F808" s="1">
        <v>13</v>
      </c>
      <c r="G808" s="1">
        <v>52816</v>
      </c>
      <c r="H808" s="1">
        <v>10</v>
      </c>
      <c r="I808" s="1">
        <v>36</v>
      </c>
      <c r="J808" s="1">
        <v>4</v>
      </c>
      <c r="K808" s="1">
        <v>85</v>
      </c>
      <c r="L808" s="1" t="s">
        <v>26</v>
      </c>
    </row>
    <row r="809" spans="1:12" x14ac:dyDescent="0.25">
      <c r="A809" s="1" t="s">
        <v>851</v>
      </c>
      <c r="B809" s="1" t="s">
        <v>81</v>
      </c>
      <c r="C809" s="1" t="s">
        <v>25</v>
      </c>
      <c r="D809" s="1">
        <v>36</v>
      </c>
      <c r="E809" s="1" t="s">
        <v>19</v>
      </c>
      <c r="F809" s="1">
        <v>10</v>
      </c>
      <c r="G809" s="1">
        <v>56872</v>
      </c>
      <c r="H809" s="1">
        <v>8</v>
      </c>
      <c r="I809" s="1">
        <v>38</v>
      </c>
      <c r="J809" s="1">
        <v>2</v>
      </c>
      <c r="K809" s="1">
        <v>85</v>
      </c>
      <c r="L809" s="1" t="s">
        <v>26</v>
      </c>
    </row>
    <row r="810" spans="1:12" x14ac:dyDescent="0.25">
      <c r="A810" s="1" t="s">
        <v>852</v>
      </c>
      <c r="B810" s="1" t="s">
        <v>31</v>
      </c>
      <c r="C810" s="1" t="s">
        <v>22</v>
      </c>
      <c r="D810" s="1">
        <v>40</v>
      </c>
      <c r="E810" s="1" t="s">
        <v>19</v>
      </c>
      <c r="F810" s="1">
        <v>6</v>
      </c>
      <c r="G810" s="1">
        <v>55610</v>
      </c>
      <c r="H810" s="1">
        <v>10</v>
      </c>
      <c r="I810" s="1">
        <v>47</v>
      </c>
      <c r="J810" s="1">
        <v>1</v>
      </c>
      <c r="K810" s="1">
        <v>90</v>
      </c>
      <c r="L810" s="1" t="s">
        <v>37</v>
      </c>
    </row>
    <row r="811" spans="1:12" x14ac:dyDescent="0.25">
      <c r="A811" s="1" t="s">
        <v>853</v>
      </c>
      <c r="B811" s="1" t="s">
        <v>70</v>
      </c>
      <c r="C811" s="1" t="s">
        <v>22</v>
      </c>
      <c r="D811" s="1">
        <v>32</v>
      </c>
      <c r="E811" s="1" t="s">
        <v>15</v>
      </c>
      <c r="F811" s="1">
        <v>7</v>
      </c>
      <c r="G811" s="1">
        <v>49181</v>
      </c>
      <c r="H811" s="1">
        <v>4</v>
      </c>
      <c r="I811" s="1">
        <v>37</v>
      </c>
      <c r="J811" s="1">
        <v>2</v>
      </c>
      <c r="K811" s="1">
        <v>93</v>
      </c>
      <c r="L811" s="1" t="s">
        <v>16</v>
      </c>
    </row>
    <row r="812" spans="1:12" x14ac:dyDescent="0.25">
      <c r="A812" s="1" t="s">
        <v>854</v>
      </c>
      <c r="B812" s="1" t="s">
        <v>53</v>
      </c>
      <c r="C812" s="1" t="s">
        <v>14</v>
      </c>
      <c r="D812" s="1">
        <v>35</v>
      </c>
      <c r="E812" s="1" t="s">
        <v>15</v>
      </c>
      <c r="F812" s="1">
        <v>6</v>
      </c>
      <c r="G812" s="1">
        <v>43715</v>
      </c>
      <c r="H812" s="1">
        <v>14</v>
      </c>
      <c r="I812" s="1">
        <v>49</v>
      </c>
      <c r="J812" s="1">
        <v>1</v>
      </c>
      <c r="K812" s="1">
        <v>92</v>
      </c>
      <c r="L812" s="1" t="s">
        <v>51</v>
      </c>
    </row>
    <row r="813" spans="1:12" x14ac:dyDescent="0.25">
      <c r="A813" s="1" t="s">
        <v>855</v>
      </c>
      <c r="B813" s="1" t="s">
        <v>65</v>
      </c>
      <c r="C813" s="1" t="s">
        <v>25</v>
      </c>
      <c r="D813" s="1">
        <v>40</v>
      </c>
      <c r="E813" s="1" t="s">
        <v>19</v>
      </c>
      <c r="F813" s="1">
        <v>10</v>
      </c>
      <c r="G813" s="1">
        <v>69960</v>
      </c>
      <c r="H813" s="1">
        <v>12</v>
      </c>
      <c r="I813" s="1">
        <v>38</v>
      </c>
      <c r="J813" s="1">
        <v>1</v>
      </c>
      <c r="K813" s="1">
        <v>89</v>
      </c>
      <c r="L813" s="1" t="s">
        <v>32</v>
      </c>
    </row>
    <row r="814" spans="1:12" x14ac:dyDescent="0.25">
      <c r="A814" s="1" t="s">
        <v>856</v>
      </c>
      <c r="B814" s="1" t="s">
        <v>77</v>
      </c>
      <c r="C814" s="1" t="s">
        <v>14</v>
      </c>
      <c r="D814" s="1">
        <v>23</v>
      </c>
      <c r="E814" s="1" t="s">
        <v>15</v>
      </c>
      <c r="F814" s="1">
        <v>2</v>
      </c>
      <c r="G814" s="1">
        <v>47483</v>
      </c>
      <c r="H814" s="1">
        <v>4</v>
      </c>
      <c r="I814" s="1">
        <v>40</v>
      </c>
      <c r="J814" s="1">
        <v>1</v>
      </c>
      <c r="K814" s="1">
        <v>88</v>
      </c>
      <c r="L814" s="1" t="s">
        <v>37</v>
      </c>
    </row>
    <row r="815" spans="1:12" x14ac:dyDescent="0.25">
      <c r="A815" s="1" t="s">
        <v>857</v>
      </c>
      <c r="B815" s="1" t="s">
        <v>28</v>
      </c>
      <c r="C815" s="1" t="s">
        <v>25</v>
      </c>
      <c r="D815" s="1">
        <v>22</v>
      </c>
      <c r="E815" s="1" t="s">
        <v>15</v>
      </c>
      <c r="F815" s="1">
        <v>6</v>
      </c>
      <c r="G815" s="1">
        <v>78682</v>
      </c>
      <c r="H815" s="1">
        <v>11</v>
      </c>
      <c r="I815" s="1">
        <v>46</v>
      </c>
      <c r="J815" s="1">
        <v>1</v>
      </c>
      <c r="K815" s="1">
        <v>95</v>
      </c>
      <c r="L815" s="1" t="s">
        <v>37</v>
      </c>
    </row>
    <row r="816" spans="1:12" x14ac:dyDescent="0.25">
      <c r="A816" s="1" t="s">
        <v>858</v>
      </c>
      <c r="B816" s="1" t="s">
        <v>75</v>
      </c>
      <c r="C816" s="1" t="s">
        <v>25</v>
      </c>
      <c r="D816" s="1">
        <v>36</v>
      </c>
      <c r="E816" s="1" t="s">
        <v>15</v>
      </c>
      <c r="F816" s="1">
        <v>1</v>
      </c>
      <c r="G816" s="1">
        <v>40418</v>
      </c>
      <c r="H816" s="1">
        <v>15</v>
      </c>
      <c r="I816" s="1">
        <v>43</v>
      </c>
      <c r="J816" s="1">
        <v>1</v>
      </c>
      <c r="K816" s="1">
        <v>96</v>
      </c>
      <c r="L816" s="1" t="s">
        <v>26</v>
      </c>
    </row>
    <row r="817" spans="1:12" x14ac:dyDescent="0.25">
      <c r="A817" s="1" t="s">
        <v>859</v>
      </c>
      <c r="B817" s="1" t="s">
        <v>83</v>
      </c>
      <c r="C817" s="1" t="s">
        <v>14</v>
      </c>
      <c r="D817" s="1">
        <v>26</v>
      </c>
      <c r="E817" s="1" t="s">
        <v>19</v>
      </c>
      <c r="F817" s="1">
        <v>13</v>
      </c>
      <c r="G817" s="1">
        <v>55717</v>
      </c>
      <c r="H817" s="1">
        <v>14</v>
      </c>
      <c r="I817" s="1">
        <v>42</v>
      </c>
      <c r="J817" s="1">
        <v>4</v>
      </c>
      <c r="K817" s="1">
        <v>87</v>
      </c>
      <c r="L817" s="1" t="s">
        <v>51</v>
      </c>
    </row>
    <row r="818" spans="1:12" x14ac:dyDescent="0.25">
      <c r="A818" s="1" t="s">
        <v>860</v>
      </c>
      <c r="B818" s="1" t="s">
        <v>94</v>
      </c>
      <c r="C818" s="1" t="s">
        <v>29</v>
      </c>
      <c r="D818" s="1">
        <v>24</v>
      </c>
      <c r="E818" s="1" t="s">
        <v>19</v>
      </c>
      <c r="F818" s="1">
        <v>11</v>
      </c>
      <c r="G818" s="1">
        <v>36309</v>
      </c>
      <c r="H818" s="1">
        <v>13</v>
      </c>
      <c r="I818" s="1">
        <v>50</v>
      </c>
      <c r="J818" s="1">
        <v>5</v>
      </c>
      <c r="K818" s="1">
        <v>92</v>
      </c>
      <c r="L818" s="1" t="s">
        <v>51</v>
      </c>
    </row>
    <row r="819" spans="1:12" x14ac:dyDescent="0.25">
      <c r="A819" s="1" t="s">
        <v>861</v>
      </c>
      <c r="B819" s="1" t="s">
        <v>63</v>
      </c>
      <c r="C819" s="1" t="s">
        <v>22</v>
      </c>
      <c r="D819" s="1">
        <v>32</v>
      </c>
      <c r="E819" s="1" t="s">
        <v>19</v>
      </c>
      <c r="F819" s="1">
        <v>14</v>
      </c>
      <c r="G819" s="1">
        <v>64803</v>
      </c>
      <c r="H819" s="1">
        <v>11</v>
      </c>
      <c r="I819" s="1">
        <v>44</v>
      </c>
      <c r="J819" s="1">
        <v>4</v>
      </c>
      <c r="K819" s="1">
        <v>92</v>
      </c>
      <c r="L819" s="1" t="s">
        <v>26</v>
      </c>
    </row>
    <row r="820" spans="1:12" x14ac:dyDescent="0.25">
      <c r="A820" s="1" t="s">
        <v>862</v>
      </c>
      <c r="B820" s="1" t="s">
        <v>28</v>
      </c>
      <c r="C820" s="1" t="s">
        <v>29</v>
      </c>
      <c r="D820" s="1">
        <v>39</v>
      </c>
      <c r="E820" s="1" t="s">
        <v>15</v>
      </c>
      <c r="F820" s="1">
        <v>8</v>
      </c>
      <c r="G820" s="1">
        <v>26504</v>
      </c>
      <c r="H820" s="1">
        <v>13</v>
      </c>
      <c r="I820" s="1">
        <v>49</v>
      </c>
      <c r="J820" s="1">
        <v>3</v>
      </c>
      <c r="K820" s="1">
        <v>85</v>
      </c>
      <c r="L820" s="1" t="s">
        <v>23</v>
      </c>
    </row>
    <row r="821" spans="1:12" x14ac:dyDescent="0.25">
      <c r="A821" s="1" t="s">
        <v>863</v>
      </c>
      <c r="B821" s="1" t="s">
        <v>89</v>
      </c>
      <c r="C821" s="1" t="s">
        <v>14</v>
      </c>
      <c r="D821" s="1">
        <v>37</v>
      </c>
      <c r="E821" s="1" t="s">
        <v>19</v>
      </c>
      <c r="F821" s="1">
        <v>7</v>
      </c>
      <c r="G821" s="1">
        <v>65122</v>
      </c>
      <c r="H821" s="1">
        <v>6</v>
      </c>
      <c r="I821" s="1">
        <v>41</v>
      </c>
      <c r="J821" s="1">
        <v>4</v>
      </c>
      <c r="K821" s="1">
        <v>89</v>
      </c>
      <c r="L821" s="1" t="s">
        <v>37</v>
      </c>
    </row>
    <row r="822" spans="1:12" x14ac:dyDescent="0.25">
      <c r="A822" s="1" t="s">
        <v>864</v>
      </c>
      <c r="B822" s="1" t="s">
        <v>70</v>
      </c>
      <c r="C822" s="1" t="s">
        <v>14</v>
      </c>
      <c r="D822" s="1">
        <v>30</v>
      </c>
      <c r="E822" s="1" t="s">
        <v>15</v>
      </c>
      <c r="F822" s="1">
        <v>5</v>
      </c>
      <c r="G822" s="1">
        <v>78576</v>
      </c>
      <c r="H822" s="1">
        <v>9</v>
      </c>
      <c r="I822" s="1">
        <v>41</v>
      </c>
      <c r="J822" s="1">
        <v>4</v>
      </c>
      <c r="K822" s="1">
        <v>91</v>
      </c>
      <c r="L822" s="1" t="s">
        <v>26</v>
      </c>
    </row>
    <row r="823" spans="1:12" x14ac:dyDescent="0.25">
      <c r="A823" s="1" t="s">
        <v>865</v>
      </c>
      <c r="B823" s="1" t="s">
        <v>36</v>
      </c>
      <c r="C823" s="1" t="s">
        <v>14</v>
      </c>
      <c r="D823" s="1">
        <v>39</v>
      </c>
      <c r="E823" s="1" t="s">
        <v>19</v>
      </c>
      <c r="F823" s="1">
        <v>12</v>
      </c>
      <c r="G823" s="1">
        <v>78803</v>
      </c>
      <c r="H823" s="1">
        <v>12</v>
      </c>
      <c r="I823" s="1">
        <v>47</v>
      </c>
      <c r="J823" s="1">
        <v>5</v>
      </c>
      <c r="K823" s="1">
        <v>88</v>
      </c>
      <c r="L823" s="1" t="s">
        <v>37</v>
      </c>
    </row>
    <row r="824" spans="1:12" x14ac:dyDescent="0.25">
      <c r="A824" s="1" t="s">
        <v>866</v>
      </c>
      <c r="B824" s="1" t="s">
        <v>45</v>
      </c>
      <c r="C824" s="1" t="s">
        <v>14</v>
      </c>
      <c r="D824" s="1">
        <v>23</v>
      </c>
      <c r="E824" s="1" t="s">
        <v>15</v>
      </c>
      <c r="F824" s="1">
        <v>6</v>
      </c>
      <c r="G824" s="1">
        <v>52431</v>
      </c>
      <c r="H824" s="1">
        <v>6</v>
      </c>
      <c r="I824" s="1">
        <v>44</v>
      </c>
      <c r="J824" s="1">
        <v>5</v>
      </c>
      <c r="K824" s="1">
        <v>100</v>
      </c>
      <c r="L824" s="1" t="s">
        <v>37</v>
      </c>
    </row>
    <row r="825" spans="1:12" x14ac:dyDescent="0.25">
      <c r="A825" s="1" t="s">
        <v>867</v>
      </c>
      <c r="B825" s="1" t="s">
        <v>75</v>
      </c>
      <c r="C825" s="1" t="s">
        <v>29</v>
      </c>
      <c r="D825" s="1">
        <v>38</v>
      </c>
      <c r="E825" s="1" t="s">
        <v>19</v>
      </c>
      <c r="F825" s="1">
        <v>2</v>
      </c>
      <c r="G825" s="1">
        <v>69734</v>
      </c>
      <c r="H825" s="1">
        <v>13</v>
      </c>
      <c r="I825" s="1">
        <v>38</v>
      </c>
      <c r="J825" s="1">
        <v>5</v>
      </c>
      <c r="K825" s="1">
        <v>89</v>
      </c>
      <c r="L825" s="1" t="s">
        <v>26</v>
      </c>
    </row>
    <row r="826" spans="1:12" x14ac:dyDescent="0.25">
      <c r="A826" s="1" t="s">
        <v>868</v>
      </c>
      <c r="B826" s="1" t="s">
        <v>43</v>
      </c>
      <c r="C826" s="1" t="s">
        <v>22</v>
      </c>
      <c r="D826" s="1">
        <v>40</v>
      </c>
      <c r="E826" s="1" t="s">
        <v>15</v>
      </c>
      <c r="F826" s="1">
        <v>2</v>
      </c>
      <c r="G826" s="1">
        <v>59916</v>
      </c>
      <c r="H826" s="1">
        <v>10</v>
      </c>
      <c r="I826" s="1">
        <v>35</v>
      </c>
      <c r="J826" s="1">
        <v>1</v>
      </c>
      <c r="K826" s="1">
        <v>98</v>
      </c>
      <c r="L826" s="1" t="s">
        <v>23</v>
      </c>
    </row>
    <row r="827" spans="1:12" x14ac:dyDescent="0.25">
      <c r="A827" s="1" t="s">
        <v>869</v>
      </c>
      <c r="B827" s="1" t="s">
        <v>31</v>
      </c>
      <c r="C827" s="1" t="s">
        <v>22</v>
      </c>
      <c r="D827" s="1">
        <v>36</v>
      </c>
      <c r="E827" s="1" t="s">
        <v>15</v>
      </c>
      <c r="F827" s="1">
        <v>15</v>
      </c>
      <c r="G827" s="1">
        <v>42203</v>
      </c>
      <c r="H827" s="1">
        <v>8</v>
      </c>
      <c r="I827" s="1">
        <v>50</v>
      </c>
      <c r="J827" s="1">
        <v>3</v>
      </c>
      <c r="K827" s="1">
        <v>90</v>
      </c>
      <c r="L827" s="1" t="s">
        <v>23</v>
      </c>
    </row>
    <row r="828" spans="1:12" x14ac:dyDescent="0.25">
      <c r="A828" s="1" t="s">
        <v>870</v>
      </c>
      <c r="B828" s="1" t="s">
        <v>13</v>
      </c>
      <c r="C828" s="1" t="s">
        <v>22</v>
      </c>
      <c r="D828" s="1">
        <v>39</v>
      </c>
      <c r="E828" s="1" t="s">
        <v>19</v>
      </c>
      <c r="F828" s="1">
        <v>2</v>
      </c>
      <c r="G828" s="1">
        <v>32567</v>
      </c>
      <c r="H828" s="1">
        <v>12</v>
      </c>
      <c r="I828" s="1">
        <v>43</v>
      </c>
      <c r="J828" s="1">
        <v>1</v>
      </c>
      <c r="K828" s="1">
        <v>93</v>
      </c>
      <c r="L828" s="1" t="s">
        <v>51</v>
      </c>
    </row>
    <row r="829" spans="1:12" x14ac:dyDescent="0.25">
      <c r="A829" s="1" t="s">
        <v>871</v>
      </c>
      <c r="B829" s="1" t="s">
        <v>13</v>
      </c>
      <c r="C829" s="1" t="s">
        <v>22</v>
      </c>
      <c r="D829" s="1">
        <v>40</v>
      </c>
      <c r="E829" s="1" t="s">
        <v>15</v>
      </c>
      <c r="F829" s="1">
        <v>9</v>
      </c>
      <c r="G829" s="1">
        <v>58225</v>
      </c>
      <c r="H829" s="1">
        <v>3</v>
      </c>
      <c r="I829" s="1">
        <v>47</v>
      </c>
      <c r="J829" s="1">
        <v>2</v>
      </c>
      <c r="K829" s="1">
        <v>88</v>
      </c>
      <c r="L829" s="1" t="s">
        <v>26</v>
      </c>
    </row>
    <row r="830" spans="1:12" x14ac:dyDescent="0.25">
      <c r="A830" s="1" t="s">
        <v>872</v>
      </c>
      <c r="B830" s="1" t="s">
        <v>94</v>
      </c>
      <c r="C830" s="1" t="s">
        <v>25</v>
      </c>
      <c r="D830" s="1">
        <v>28</v>
      </c>
      <c r="E830" s="1" t="s">
        <v>19</v>
      </c>
      <c r="F830" s="1">
        <v>1</v>
      </c>
      <c r="G830" s="1">
        <v>71342</v>
      </c>
      <c r="H830" s="1">
        <v>11</v>
      </c>
      <c r="I830" s="1">
        <v>41</v>
      </c>
      <c r="J830" s="1">
        <v>1</v>
      </c>
      <c r="K830" s="1">
        <v>89</v>
      </c>
      <c r="L830" s="1" t="s">
        <v>51</v>
      </c>
    </row>
    <row r="831" spans="1:12" x14ac:dyDescent="0.25">
      <c r="A831" s="1" t="s">
        <v>873</v>
      </c>
      <c r="B831" s="1" t="s">
        <v>75</v>
      </c>
      <c r="C831" s="1" t="s">
        <v>29</v>
      </c>
      <c r="D831" s="1">
        <v>36</v>
      </c>
      <c r="E831" s="1" t="s">
        <v>19</v>
      </c>
      <c r="F831" s="1">
        <v>12</v>
      </c>
      <c r="G831" s="1">
        <v>49197</v>
      </c>
      <c r="H831" s="1">
        <v>3</v>
      </c>
      <c r="I831" s="1">
        <v>40</v>
      </c>
      <c r="J831" s="1">
        <v>4</v>
      </c>
      <c r="K831" s="1">
        <v>100</v>
      </c>
      <c r="L831" s="1" t="s">
        <v>32</v>
      </c>
    </row>
    <row r="832" spans="1:12" x14ac:dyDescent="0.25">
      <c r="A832" s="1" t="s">
        <v>874</v>
      </c>
      <c r="B832" s="1" t="s">
        <v>13</v>
      </c>
      <c r="C832" s="1" t="s">
        <v>14</v>
      </c>
      <c r="D832" s="1">
        <v>22</v>
      </c>
      <c r="E832" s="1" t="s">
        <v>19</v>
      </c>
      <c r="F832" s="1">
        <v>9</v>
      </c>
      <c r="G832" s="1">
        <v>78748</v>
      </c>
      <c r="H832" s="1">
        <v>3</v>
      </c>
      <c r="I832" s="1">
        <v>39</v>
      </c>
      <c r="J832" s="1">
        <v>1</v>
      </c>
      <c r="K832" s="1">
        <v>91</v>
      </c>
      <c r="L832" s="1" t="s">
        <v>32</v>
      </c>
    </row>
    <row r="833" spans="1:12" x14ac:dyDescent="0.25">
      <c r="A833" s="1" t="s">
        <v>875</v>
      </c>
      <c r="B833" s="1" t="s">
        <v>13</v>
      </c>
      <c r="C833" s="1" t="s">
        <v>22</v>
      </c>
      <c r="D833" s="1">
        <v>25</v>
      </c>
      <c r="E833" s="1" t="s">
        <v>19</v>
      </c>
      <c r="F833" s="1">
        <v>2</v>
      </c>
      <c r="G833" s="1">
        <v>47078</v>
      </c>
      <c r="H833" s="1">
        <v>9</v>
      </c>
      <c r="I833" s="1">
        <v>49</v>
      </c>
      <c r="J833" s="1">
        <v>3</v>
      </c>
      <c r="K833" s="1">
        <v>100</v>
      </c>
      <c r="L833" s="1" t="s">
        <v>23</v>
      </c>
    </row>
    <row r="834" spans="1:12" x14ac:dyDescent="0.25">
      <c r="A834" s="1" t="s">
        <v>876</v>
      </c>
      <c r="B834" s="1" t="s">
        <v>31</v>
      </c>
      <c r="C834" s="1" t="s">
        <v>25</v>
      </c>
      <c r="D834" s="1">
        <v>29</v>
      </c>
      <c r="E834" s="1" t="s">
        <v>19</v>
      </c>
      <c r="F834" s="1">
        <v>13</v>
      </c>
      <c r="G834" s="1">
        <v>37227</v>
      </c>
      <c r="H834" s="1">
        <v>3</v>
      </c>
      <c r="I834" s="1">
        <v>46</v>
      </c>
      <c r="J834" s="1">
        <v>5</v>
      </c>
      <c r="K834" s="1">
        <v>86</v>
      </c>
      <c r="L834" s="1" t="s">
        <v>26</v>
      </c>
    </row>
    <row r="835" spans="1:12" x14ac:dyDescent="0.25">
      <c r="A835" s="1" t="s">
        <v>877</v>
      </c>
      <c r="B835" s="1" t="s">
        <v>70</v>
      </c>
      <c r="C835" s="1" t="s">
        <v>25</v>
      </c>
      <c r="D835" s="1">
        <v>27</v>
      </c>
      <c r="E835" s="1" t="s">
        <v>19</v>
      </c>
      <c r="F835" s="1">
        <v>12</v>
      </c>
      <c r="G835" s="1">
        <v>65112</v>
      </c>
      <c r="H835" s="1">
        <v>15</v>
      </c>
      <c r="I835" s="1">
        <v>39</v>
      </c>
      <c r="J835" s="1">
        <v>1</v>
      </c>
      <c r="K835" s="1">
        <v>87</v>
      </c>
      <c r="L835" s="1" t="s">
        <v>26</v>
      </c>
    </row>
    <row r="836" spans="1:12" x14ac:dyDescent="0.25">
      <c r="A836" s="1" t="s">
        <v>878</v>
      </c>
      <c r="B836" s="1" t="s">
        <v>36</v>
      </c>
      <c r="C836" s="1" t="s">
        <v>22</v>
      </c>
      <c r="D836" s="1">
        <v>39</v>
      </c>
      <c r="E836" s="1" t="s">
        <v>15</v>
      </c>
      <c r="F836" s="1">
        <v>4</v>
      </c>
      <c r="G836" s="1">
        <v>42304</v>
      </c>
      <c r="H836" s="1">
        <v>7</v>
      </c>
      <c r="I836" s="1">
        <v>45</v>
      </c>
      <c r="J836" s="1">
        <v>1</v>
      </c>
      <c r="K836" s="1">
        <v>93</v>
      </c>
      <c r="L836" s="1" t="s">
        <v>16</v>
      </c>
    </row>
    <row r="837" spans="1:12" x14ac:dyDescent="0.25">
      <c r="A837" s="1" t="s">
        <v>879</v>
      </c>
      <c r="B837" s="1" t="s">
        <v>43</v>
      </c>
      <c r="C837" s="1" t="s">
        <v>25</v>
      </c>
      <c r="D837" s="1">
        <v>35</v>
      </c>
      <c r="E837" s="1" t="s">
        <v>19</v>
      </c>
      <c r="F837" s="1">
        <v>13</v>
      </c>
      <c r="G837" s="1">
        <v>50592</v>
      </c>
      <c r="H837" s="1">
        <v>12</v>
      </c>
      <c r="I837" s="1">
        <v>42</v>
      </c>
      <c r="J837" s="1">
        <v>4</v>
      </c>
      <c r="K837" s="1">
        <v>89</v>
      </c>
      <c r="L837" s="1" t="s">
        <v>51</v>
      </c>
    </row>
    <row r="838" spans="1:12" x14ac:dyDescent="0.25">
      <c r="A838" s="1" t="s">
        <v>880</v>
      </c>
      <c r="B838" s="1" t="s">
        <v>28</v>
      </c>
      <c r="C838" s="1" t="s">
        <v>22</v>
      </c>
      <c r="D838" s="1">
        <v>26</v>
      </c>
      <c r="E838" s="1" t="s">
        <v>15</v>
      </c>
      <c r="F838" s="1">
        <v>13</v>
      </c>
      <c r="G838" s="1">
        <v>68675</v>
      </c>
      <c r="H838" s="1">
        <v>11</v>
      </c>
      <c r="I838" s="1">
        <v>41</v>
      </c>
      <c r="J838" s="1">
        <v>5</v>
      </c>
      <c r="K838" s="1">
        <v>92</v>
      </c>
      <c r="L838" s="1" t="s">
        <v>26</v>
      </c>
    </row>
    <row r="839" spans="1:12" x14ac:dyDescent="0.25">
      <c r="A839" s="1" t="s">
        <v>881</v>
      </c>
      <c r="B839" s="1" t="s">
        <v>34</v>
      </c>
      <c r="C839" s="1" t="s">
        <v>25</v>
      </c>
      <c r="D839" s="1">
        <v>38</v>
      </c>
      <c r="E839" s="1" t="s">
        <v>15</v>
      </c>
      <c r="F839" s="1">
        <v>11</v>
      </c>
      <c r="G839" s="1">
        <v>75787</v>
      </c>
      <c r="H839" s="1">
        <v>6</v>
      </c>
      <c r="I839" s="1">
        <v>38</v>
      </c>
      <c r="J839" s="1">
        <v>4</v>
      </c>
      <c r="K839" s="1">
        <v>88</v>
      </c>
      <c r="L839" s="1" t="s">
        <v>32</v>
      </c>
    </row>
    <row r="840" spans="1:12" x14ac:dyDescent="0.25">
      <c r="A840" s="1" t="s">
        <v>882</v>
      </c>
      <c r="B840" s="1" t="s">
        <v>28</v>
      </c>
      <c r="C840" s="1" t="s">
        <v>22</v>
      </c>
      <c r="D840" s="1">
        <v>23</v>
      </c>
      <c r="E840" s="1" t="s">
        <v>15</v>
      </c>
      <c r="F840" s="1">
        <v>3</v>
      </c>
      <c r="G840" s="1">
        <v>68014</v>
      </c>
      <c r="H840" s="1">
        <v>8</v>
      </c>
      <c r="I840" s="1">
        <v>38</v>
      </c>
      <c r="J840" s="1">
        <v>2</v>
      </c>
      <c r="K840" s="1">
        <v>98</v>
      </c>
      <c r="L840" s="1" t="s">
        <v>16</v>
      </c>
    </row>
    <row r="841" spans="1:12" x14ac:dyDescent="0.25">
      <c r="A841" s="1" t="s">
        <v>883</v>
      </c>
      <c r="B841" s="1" t="s">
        <v>83</v>
      </c>
      <c r="C841" s="1" t="s">
        <v>25</v>
      </c>
      <c r="D841" s="1">
        <v>23</v>
      </c>
      <c r="E841" s="1" t="s">
        <v>19</v>
      </c>
      <c r="F841" s="1">
        <v>8</v>
      </c>
      <c r="G841" s="1">
        <v>65686</v>
      </c>
      <c r="H841" s="1">
        <v>4</v>
      </c>
      <c r="I841" s="1">
        <v>46</v>
      </c>
      <c r="J841" s="1">
        <v>4</v>
      </c>
      <c r="K841" s="1">
        <v>94</v>
      </c>
      <c r="L841" s="1" t="s">
        <v>37</v>
      </c>
    </row>
    <row r="842" spans="1:12" x14ac:dyDescent="0.25">
      <c r="A842" s="1" t="s">
        <v>884</v>
      </c>
      <c r="B842" s="1" t="s">
        <v>65</v>
      </c>
      <c r="C842" s="1" t="s">
        <v>22</v>
      </c>
      <c r="D842" s="1">
        <v>24</v>
      </c>
      <c r="E842" s="1" t="s">
        <v>19</v>
      </c>
      <c r="F842" s="1">
        <v>1</v>
      </c>
      <c r="G842" s="1">
        <v>44268</v>
      </c>
      <c r="H842" s="1">
        <v>3</v>
      </c>
      <c r="I842" s="1">
        <v>36</v>
      </c>
      <c r="J842" s="1">
        <v>3</v>
      </c>
      <c r="K842" s="1">
        <v>88</v>
      </c>
      <c r="L842" s="1" t="s">
        <v>51</v>
      </c>
    </row>
    <row r="843" spans="1:12" x14ac:dyDescent="0.25">
      <c r="A843" s="1" t="s">
        <v>885</v>
      </c>
      <c r="B843" s="1" t="s">
        <v>81</v>
      </c>
      <c r="C843" s="1" t="s">
        <v>22</v>
      </c>
      <c r="D843" s="1">
        <v>38</v>
      </c>
      <c r="E843" s="1" t="s">
        <v>19</v>
      </c>
      <c r="F843" s="1">
        <v>14</v>
      </c>
      <c r="G843" s="1">
        <v>46340</v>
      </c>
      <c r="H843" s="1">
        <v>13</v>
      </c>
      <c r="I843" s="1">
        <v>48</v>
      </c>
      <c r="J843" s="1">
        <v>2</v>
      </c>
      <c r="K843" s="1">
        <v>95</v>
      </c>
      <c r="L843" s="1" t="s">
        <v>16</v>
      </c>
    </row>
    <row r="844" spans="1:12" x14ac:dyDescent="0.25">
      <c r="A844" s="1" t="s">
        <v>886</v>
      </c>
      <c r="B844" s="1" t="s">
        <v>18</v>
      </c>
      <c r="C844" s="1" t="s">
        <v>22</v>
      </c>
      <c r="D844" s="1">
        <v>32</v>
      </c>
      <c r="E844" s="1" t="s">
        <v>15</v>
      </c>
      <c r="F844" s="1">
        <v>7</v>
      </c>
      <c r="G844" s="1">
        <v>51630</v>
      </c>
      <c r="H844" s="1">
        <v>15</v>
      </c>
      <c r="I844" s="1">
        <v>46</v>
      </c>
      <c r="J844" s="1">
        <v>3</v>
      </c>
      <c r="K844" s="1">
        <v>85</v>
      </c>
      <c r="L844" s="1" t="s">
        <v>51</v>
      </c>
    </row>
    <row r="845" spans="1:12" x14ac:dyDescent="0.25">
      <c r="A845" s="1" t="s">
        <v>887</v>
      </c>
      <c r="B845" s="1" t="s">
        <v>89</v>
      </c>
      <c r="C845" s="1" t="s">
        <v>22</v>
      </c>
      <c r="D845" s="1">
        <v>27</v>
      </c>
      <c r="E845" s="1" t="s">
        <v>15</v>
      </c>
      <c r="F845" s="1">
        <v>4</v>
      </c>
      <c r="G845" s="1">
        <v>66701</v>
      </c>
      <c r="H845" s="1">
        <v>6</v>
      </c>
      <c r="I845" s="1">
        <v>45</v>
      </c>
      <c r="J845" s="1">
        <v>1</v>
      </c>
      <c r="K845" s="1">
        <v>97</v>
      </c>
      <c r="L845" s="1" t="s">
        <v>23</v>
      </c>
    </row>
    <row r="846" spans="1:12" x14ac:dyDescent="0.25">
      <c r="A846" s="1" t="s">
        <v>888</v>
      </c>
      <c r="B846" s="1" t="s">
        <v>70</v>
      </c>
      <c r="C846" s="1" t="s">
        <v>22</v>
      </c>
      <c r="D846" s="1">
        <v>29</v>
      </c>
      <c r="E846" s="1" t="s">
        <v>19</v>
      </c>
      <c r="F846" s="1">
        <v>9</v>
      </c>
      <c r="G846" s="1">
        <v>28079</v>
      </c>
      <c r="H846" s="1">
        <v>4</v>
      </c>
      <c r="I846" s="1">
        <v>50</v>
      </c>
      <c r="J846" s="1">
        <v>4</v>
      </c>
      <c r="K846" s="1">
        <v>86</v>
      </c>
      <c r="L846" s="1" t="s">
        <v>37</v>
      </c>
    </row>
    <row r="847" spans="1:12" x14ac:dyDescent="0.25">
      <c r="A847" s="1" t="s">
        <v>889</v>
      </c>
      <c r="B847" s="1" t="s">
        <v>63</v>
      </c>
      <c r="C847" s="1" t="s">
        <v>14</v>
      </c>
      <c r="D847" s="1">
        <v>28</v>
      </c>
      <c r="E847" s="1" t="s">
        <v>19</v>
      </c>
      <c r="F847" s="1">
        <v>5</v>
      </c>
      <c r="G847" s="1">
        <v>54843</v>
      </c>
      <c r="H847" s="1">
        <v>8</v>
      </c>
      <c r="I847" s="1">
        <v>44</v>
      </c>
      <c r="J847" s="1">
        <v>1</v>
      </c>
      <c r="K847" s="1">
        <v>100</v>
      </c>
      <c r="L847" s="1" t="s">
        <v>32</v>
      </c>
    </row>
    <row r="848" spans="1:12" x14ac:dyDescent="0.25">
      <c r="A848" s="1" t="s">
        <v>890</v>
      </c>
      <c r="B848" s="1" t="s">
        <v>53</v>
      </c>
      <c r="C848" s="1" t="s">
        <v>14</v>
      </c>
      <c r="D848" s="1">
        <v>24</v>
      </c>
      <c r="E848" s="1" t="s">
        <v>15</v>
      </c>
      <c r="F848" s="1">
        <v>9</v>
      </c>
      <c r="G848" s="1">
        <v>35988</v>
      </c>
      <c r="H848" s="1">
        <v>9</v>
      </c>
      <c r="I848" s="1">
        <v>35</v>
      </c>
      <c r="J848" s="1">
        <v>2</v>
      </c>
      <c r="K848" s="1">
        <v>90</v>
      </c>
      <c r="L848" s="1" t="s">
        <v>26</v>
      </c>
    </row>
    <row r="849" spans="1:12" x14ac:dyDescent="0.25">
      <c r="A849" s="1" t="s">
        <v>891</v>
      </c>
      <c r="B849" s="1" t="s">
        <v>75</v>
      </c>
      <c r="C849" s="1" t="s">
        <v>29</v>
      </c>
      <c r="D849" s="1">
        <v>24</v>
      </c>
      <c r="E849" s="1" t="s">
        <v>15</v>
      </c>
      <c r="F849" s="1">
        <v>11</v>
      </c>
      <c r="G849" s="1">
        <v>30124</v>
      </c>
      <c r="H849" s="1">
        <v>5</v>
      </c>
      <c r="I849" s="1">
        <v>38</v>
      </c>
      <c r="J849" s="1">
        <v>5</v>
      </c>
      <c r="K849" s="1">
        <v>90</v>
      </c>
      <c r="L849" s="1" t="s">
        <v>51</v>
      </c>
    </row>
    <row r="850" spans="1:12" x14ac:dyDescent="0.25">
      <c r="A850" s="1" t="s">
        <v>892</v>
      </c>
      <c r="B850" s="1" t="s">
        <v>13</v>
      </c>
      <c r="C850" s="1" t="s">
        <v>22</v>
      </c>
      <c r="D850" s="1">
        <v>38</v>
      </c>
      <c r="E850" s="1" t="s">
        <v>19</v>
      </c>
      <c r="F850" s="1">
        <v>3</v>
      </c>
      <c r="G850" s="1">
        <v>46069</v>
      </c>
      <c r="H850" s="1">
        <v>12</v>
      </c>
      <c r="I850" s="1">
        <v>45</v>
      </c>
      <c r="J850" s="1">
        <v>1</v>
      </c>
      <c r="K850" s="1">
        <v>85</v>
      </c>
      <c r="L850" s="1" t="s">
        <v>37</v>
      </c>
    </row>
    <row r="851" spans="1:12" x14ac:dyDescent="0.25">
      <c r="A851" s="1" t="s">
        <v>893</v>
      </c>
      <c r="B851" s="1" t="s">
        <v>94</v>
      </c>
      <c r="C851" s="1" t="s">
        <v>29</v>
      </c>
      <c r="D851" s="1">
        <v>39</v>
      </c>
      <c r="E851" s="1" t="s">
        <v>15</v>
      </c>
      <c r="F851" s="1">
        <v>14</v>
      </c>
      <c r="G851" s="1">
        <v>49969</v>
      </c>
      <c r="H851" s="1">
        <v>10</v>
      </c>
      <c r="I851" s="1">
        <v>41</v>
      </c>
      <c r="J851" s="1">
        <v>1</v>
      </c>
      <c r="K851" s="1">
        <v>94</v>
      </c>
      <c r="L851" s="1" t="s">
        <v>51</v>
      </c>
    </row>
    <row r="852" spans="1:12" x14ac:dyDescent="0.25">
      <c r="A852" s="1" t="s">
        <v>894</v>
      </c>
      <c r="B852" s="1" t="s">
        <v>70</v>
      </c>
      <c r="C852" s="1" t="s">
        <v>14</v>
      </c>
      <c r="D852" s="1">
        <v>38</v>
      </c>
      <c r="E852" s="1" t="s">
        <v>19</v>
      </c>
      <c r="F852" s="1">
        <v>9</v>
      </c>
      <c r="G852" s="1">
        <v>47827</v>
      </c>
      <c r="H852" s="1">
        <v>3</v>
      </c>
      <c r="I852" s="1">
        <v>48</v>
      </c>
      <c r="J852" s="1">
        <v>1</v>
      </c>
      <c r="K852" s="1">
        <v>95</v>
      </c>
      <c r="L852" s="1" t="s">
        <v>26</v>
      </c>
    </row>
    <row r="853" spans="1:12" x14ac:dyDescent="0.25">
      <c r="A853" s="1" t="s">
        <v>895</v>
      </c>
      <c r="B853" s="1" t="s">
        <v>53</v>
      </c>
      <c r="C853" s="1" t="s">
        <v>14</v>
      </c>
      <c r="D853" s="1">
        <v>38</v>
      </c>
      <c r="E853" s="1" t="s">
        <v>19</v>
      </c>
      <c r="F853" s="1">
        <v>2</v>
      </c>
      <c r="G853" s="1">
        <v>62234</v>
      </c>
      <c r="H853" s="1">
        <v>11</v>
      </c>
      <c r="I853" s="1">
        <v>50</v>
      </c>
      <c r="J853" s="1">
        <v>4</v>
      </c>
      <c r="K853" s="1">
        <v>94</v>
      </c>
      <c r="L853" s="1" t="s">
        <v>32</v>
      </c>
    </row>
    <row r="854" spans="1:12" x14ac:dyDescent="0.25">
      <c r="A854" s="1" t="s">
        <v>896</v>
      </c>
      <c r="B854" s="1" t="s">
        <v>75</v>
      </c>
      <c r="C854" s="1" t="s">
        <v>14</v>
      </c>
      <c r="D854" s="1">
        <v>27</v>
      </c>
      <c r="E854" s="1" t="s">
        <v>19</v>
      </c>
      <c r="F854" s="1">
        <v>14</v>
      </c>
      <c r="G854" s="1">
        <v>25613</v>
      </c>
      <c r="H854" s="1">
        <v>4</v>
      </c>
      <c r="I854" s="1">
        <v>38</v>
      </c>
      <c r="J854" s="1">
        <v>2</v>
      </c>
      <c r="K854" s="1">
        <v>87</v>
      </c>
      <c r="L854" s="1" t="s">
        <v>26</v>
      </c>
    </row>
    <row r="855" spans="1:12" x14ac:dyDescent="0.25">
      <c r="A855" s="1" t="s">
        <v>897</v>
      </c>
      <c r="B855" s="1" t="s">
        <v>83</v>
      </c>
      <c r="C855" s="1" t="s">
        <v>29</v>
      </c>
      <c r="D855" s="1">
        <v>30</v>
      </c>
      <c r="E855" s="1" t="s">
        <v>15</v>
      </c>
      <c r="F855" s="1">
        <v>3</v>
      </c>
      <c r="G855" s="1">
        <v>26438</v>
      </c>
      <c r="H855" s="1">
        <v>14</v>
      </c>
      <c r="I855" s="1">
        <v>48</v>
      </c>
      <c r="J855" s="1">
        <v>3</v>
      </c>
      <c r="K855" s="1">
        <v>94</v>
      </c>
      <c r="L855" s="1" t="s">
        <v>37</v>
      </c>
    </row>
    <row r="856" spans="1:12" x14ac:dyDescent="0.25">
      <c r="A856" s="1" t="s">
        <v>898</v>
      </c>
      <c r="B856" s="1" t="s">
        <v>21</v>
      </c>
      <c r="C856" s="1" t="s">
        <v>25</v>
      </c>
      <c r="D856" s="1">
        <v>26</v>
      </c>
      <c r="E856" s="1" t="s">
        <v>19</v>
      </c>
      <c r="F856" s="1">
        <v>11</v>
      </c>
      <c r="G856" s="1">
        <v>57734</v>
      </c>
      <c r="H856" s="1">
        <v>5</v>
      </c>
      <c r="I856" s="1">
        <v>49</v>
      </c>
      <c r="J856" s="1">
        <v>3</v>
      </c>
      <c r="K856" s="1">
        <v>90</v>
      </c>
      <c r="L856" s="1" t="s">
        <v>23</v>
      </c>
    </row>
    <row r="857" spans="1:12" x14ac:dyDescent="0.25">
      <c r="A857" s="1" t="s">
        <v>899</v>
      </c>
      <c r="B857" s="1" t="s">
        <v>18</v>
      </c>
      <c r="C857" s="1" t="s">
        <v>29</v>
      </c>
      <c r="D857" s="1">
        <v>25</v>
      </c>
      <c r="E857" s="1" t="s">
        <v>15</v>
      </c>
      <c r="F857" s="1">
        <v>5</v>
      </c>
      <c r="G857" s="1">
        <v>69535</v>
      </c>
      <c r="H857" s="1">
        <v>13</v>
      </c>
      <c r="I857" s="1">
        <v>38</v>
      </c>
      <c r="J857" s="1">
        <v>5</v>
      </c>
      <c r="K857" s="1">
        <v>93</v>
      </c>
      <c r="L857" s="1" t="s">
        <v>37</v>
      </c>
    </row>
    <row r="858" spans="1:12" x14ac:dyDescent="0.25">
      <c r="A858" s="1" t="s">
        <v>900</v>
      </c>
      <c r="B858" s="1" t="s">
        <v>63</v>
      </c>
      <c r="C858" s="1" t="s">
        <v>25</v>
      </c>
      <c r="D858" s="1">
        <v>40</v>
      </c>
      <c r="E858" s="1" t="s">
        <v>15</v>
      </c>
      <c r="F858" s="1">
        <v>10</v>
      </c>
      <c r="G858" s="1">
        <v>31457</v>
      </c>
      <c r="H858" s="1">
        <v>8</v>
      </c>
      <c r="I858" s="1">
        <v>44</v>
      </c>
      <c r="J858" s="1">
        <v>4</v>
      </c>
      <c r="K858" s="1">
        <v>91</v>
      </c>
      <c r="L858" s="1" t="s">
        <v>26</v>
      </c>
    </row>
    <row r="859" spans="1:12" x14ac:dyDescent="0.25">
      <c r="A859" s="1" t="s">
        <v>901</v>
      </c>
      <c r="B859" s="1" t="s">
        <v>75</v>
      </c>
      <c r="C859" s="1" t="s">
        <v>25</v>
      </c>
      <c r="D859" s="1">
        <v>25</v>
      </c>
      <c r="E859" s="1" t="s">
        <v>19</v>
      </c>
      <c r="F859" s="1">
        <v>6</v>
      </c>
      <c r="G859" s="1">
        <v>35911</v>
      </c>
      <c r="H859" s="1">
        <v>6</v>
      </c>
      <c r="I859" s="1">
        <v>41</v>
      </c>
      <c r="J859" s="1">
        <v>2</v>
      </c>
      <c r="K859" s="1">
        <v>86</v>
      </c>
      <c r="L859" s="1" t="s">
        <v>37</v>
      </c>
    </row>
    <row r="860" spans="1:12" x14ac:dyDescent="0.25">
      <c r="A860" s="1" t="s">
        <v>902</v>
      </c>
      <c r="B860" s="1" t="s">
        <v>13</v>
      </c>
      <c r="C860" s="1" t="s">
        <v>22</v>
      </c>
      <c r="D860" s="1">
        <v>36</v>
      </c>
      <c r="E860" s="1" t="s">
        <v>15</v>
      </c>
      <c r="F860" s="1">
        <v>15</v>
      </c>
      <c r="G860" s="1">
        <v>42741</v>
      </c>
      <c r="H860" s="1">
        <v>11</v>
      </c>
      <c r="I860" s="1">
        <v>40</v>
      </c>
      <c r="J860" s="1">
        <v>2</v>
      </c>
      <c r="K860" s="1">
        <v>96</v>
      </c>
      <c r="L860" s="1" t="s">
        <v>26</v>
      </c>
    </row>
    <row r="861" spans="1:12" x14ac:dyDescent="0.25">
      <c r="A861" s="1" t="s">
        <v>903</v>
      </c>
      <c r="B861" s="1" t="s">
        <v>89</v>
      </c>
      <c r="C861" s="1" t="s">
        <v>29</v>
      </c>
      <c r="D861" s="1">
        <v>38</v>
      </c>
      <c r="E861" s="1" t="s">
        <v>15</v>
      </c>
      <c r="F861" s="1">
        <v>9</v>
      </c>
      <c r="G861" s="1">
        <v>34348</v>
      </c>
      <c r="H861" s="1">
        <v>4</v>
      </c>
      <c r="I861" s="1">
        <v>45</v>
      </c>
      <c r="J861" s="1">
        <v>4</v>
      </c>
      <c r="K861" s="1">
        <v>92</v>
      </c>
      <c r="L861" s="1" t="s">
        <v>26</v>
      </c>
    </row>
    <row r="862" spans="1:12" x14ac:dyDescent="0.25">
      <c r="A862" s="1" t="s">
        <v>904</v>
      </c>
      <c r="B862" s="1" t="s">
        <v>40</v>
      </c>
      <c r="C862" s="1" t="s">
        <v>22</v>
      </c>
      <c r="D862" s="1">
        <v>24</v>
      </c>
      <c r="E862" s="1" t="s">
        <v>15</v>
      </c>
      <c r="F862" s="1">
        <v>2</v>
      </c>
      <c r="G862" s="1">
        <v>62648</v>
      </c>
      <c r="H862" s="1">
        <v>3</v>
      </c>
      <c r="I862" s="1">
        <v>43</v>
      </c>
      <c r="J862" s="1">
        <v>2</v>
      </c>
      <c r="K862" s="1">
        <v>87</v>
      </c>
      <c r="L862" s="1" t="s">
        <v>23</v>
      </c>
    </row>
    <row r="863" spans="1:12" x14ac:dyDescent="0.25">
      <c r="A863" s="1" t="s">
        <v>905</v>
      </c>
      <c r="B863" s="1" t="s">
        <v>21</v>
      </c>
      <c r="C863" s="1" t="s">
        <v>29</v>
      </c>
      <c r="D863" s="1">
        <v>40</v>
      </c>
      <c r="E863" s="1" t="s">
        <v>15</v>
      </c>
      <c r="F863" s="1">
        <v>4</v>
      </c>
      <c r="G863" s="1">
        <v>38931</v>
      </c>
      <c r="H863" s="1">
        <v>15</v>
      </c>
      <c r="I863" s="1">
        <v>48</v>
      </c>
      <c r="J863" s="1">
        <v>5</v>
      </c>
      <c r="K863" s="1">
        <v>91</v>
      </c>
      <c r="L863" s="1" t="s">
        <v>32</v>
      </c>
    </row>
    <row r="864" spans="1:12" x14ac:dyDescent="0.25">
      <c r="A864" s="1" t="s">
        <v>906</v>
      </c>
      <c r="B864" s="1" t="s">
        <v>28</v>
      </c>
      <c r="C864" s="1" t="s">
        <v>25</v>
      </c>
      <c r="D864" s="1">
        <v>25</v>
      </c>
      <c r="E864" s="1" t="s">
        <v>15</v>
      </c>
      <c r="F864" s="1">
        <v>14</v>
      </c>
      <c r="G864" s="1">
        <v>32843</v>
      </c>
      <c r="H864" s="1">
        <v>3</v>
      </c>
      <c r="I864" s="1">
        <v>40</v>
      </c>
      <c r="J864" s="1">
        <v>4</v>
      </c>
      <c r="K864" s="1">
        <v>100</v>
      </c>
      <c r="L864" s="1" t="s">
        <v>16</v>
      </c>
    </row>
    <row r="865" spans="1:12" x14ac:dyDescent="0.25">
      <c r="A865" s="1" t="s">
        <v>907</v>
      </c>
      <c r="B865" s="1" t="s">
        <v>13</v>
      </c>
      <c r="C865" s="1" t="s">
        <v>22</v>
      </c>
      <c r="D865" s="1">
        <v>30</v>
      </c>
      <c r="E865" s="1" t="s">
        <v>15</v>
      </c>
      <c r="F865" s="1">
        <v>10</v>
      </c>
      <c r="G865" s="1">
        <v>36410</v>
      </c>
      <c r="H865" s="1">
        <v>5</v>
      </c>
      <c r="I865" s="1">
        <v>36</v>
      </c>
      <c r="J865" s="1">
        <v>1</v>
      </c>
      <c r="K865" s="1">
        <v>93</v>
      </c>
      <c r="L865" s="1" t="s">
        <v>26</v>
      </c>
    </row>
    <row r="866" spans="1:12" x14ac:dyDescent="0.25">
      <c r="A866" s="1" t="s">
        <v>908</v>
      </c>
      <c r="B866" s="1" t="s">
        <v>83</v>
      </c>
      <c r="C866" s="1" t="s">
        <v>29</v>
      </c>
      <c r="D866" s="1">
        <v>29</v>
      </c>
      <c r="E866" s="1" t="s">
        <v>15</v>
      </c>
      <c r="F866" s="1">
        <v>11</v>
      </c>
      <c r="G866" s="1">
        <v>74878</v>
      </c>
      <c r="H866" s="1">
        <v>3</v>
      </c>
      <c r="I866" s="1">
        <v>49</v>
      </c>
      <c r="J866" s="1">
        <v>4</v>
      </c>
      <c r="K866" s="1">
        <v>87</v>
      </c>
      <c r="L866" s="1" t="s">
        <v>26</v>
      </c>
    </row>
    <row r="867" spans="1:12" x14ac:dyDescent="0.25">
      <c r="A867" s="1" t="s">
        <v>909</v>
      </c>
      <c r="B867" s="1" t="s">
        <v>77</v>
      </c>
      <c r="C867" s="1" t="s">
        <v>25</v>
      </c>
      <c r="D867" s="1">
        <v>22</v>
      </c>
      <c r="E867" s="1" t="s">
        <v>19</v>
      </c>
      <c r="F867" s="1">
        <v>10</v>
      </c>
      <c r="G867" s="1">
        <v>78397</v>
      </c>
      <c r="H867" s="1">
        <v>5</v>
      </c>
      <c r="I867" s="1">
        <v>37</v>
      </c>
      <c r="J867" s="1">
        <v>5</v>
      </c>
      <c r="K867" s="1">
        <v>100</v>
      </c>
      <c r="L867" s="1" t="s">
        <v>16</v>
      </c>
    </row>
    <row r="868" spans="1:12" x14ac:dyDescent="0.25">
      <c r="A868" s="1" t="s">
        <v>910</v>
      </c>
      <c r="B868" s="1" t="s">
        <v>18</v>
      </c>
      <c r="C868" s="1" t="s">
        <v>29</v>
      </c>
      <c r="D868" s="1">
        <v>37</v>
      </c>
      <c r="E868" s="1" t="s">
        <v>19</v>
      </c>
      <c r="F868" s="1">
        <v>13</v>
      </c>
      <c r="G868" s="1">
        <v>59079</v>
      </c>
      <c r="H868" s="1">
        <v>15</v>
      </c>
      <c r="I868" s="1">
        <v>45</v>
      </c>
      <c r="J868" s="1">
        <v>5</v>
      </c>
      <c r="K868" s="1">
        <v>92</v>
      </c>
      <c r="L868" s="1" t="s">
        <v>32</v>
      </c>
    </row>
    <row r="869" spans="1:12" x14ac:dyDescent="0.25">
      <c r="A869" s="1" t="s">
        <v>911</v>
      </c>
      <c r="B869" s="1" t="s">
        <v>34</v>
      </c>
      <c r="C869" s="1" t="s">
        <v>14</v>
      </c>
      <c r="D869" s="1">
        <v>40</v>
      </c>
      <c r="E869" s="1" t="s">
        <v>19</v>
      </c>
      <c r="F869" s="1">
        <v>13</v>
      </c>
      <c r="G869" s="1">
        <v>49299</v>
      </c>
      <c r="H869" s="1">
        <v>5</v>
      </c>
      <c r="I869" s="1">
        <v>38</v>
      </c>
      <c r="J869" s="1">
        <v>3</v>
      </c>
      <c r="K869" s="1">
        <v>95</v>
      </c>
      <c r="L869" s="1" t="s">
        <v>37</v>
      </c>
    </row>
    <row r="870" spans="1:12" x14ac:dyDescent="0.25">
      <c r="A870" s="1" t="s">
        <v>912</v>
      </c>
      <c r="B870" s="1" t="s">
        <v>63</v>
      </c>
      <c r="C870" s="1" t="s">
        <v>22</v>
      </c>
      <c r="D870" s="1">
        <v>31</v>
      </c>
      <c r="E870" s="1" t="s">
        <v>19</v>
      </c>
      <c r="F870" s="1">
        <v>2</v>
      </c>
      <c r="G870" s="1">
        <v>30550</v>
      </c>
      <c r="H870" s="1">
        <v>9</v>
      </c>
      <c r="I870" s="1">
        <v>48</v>
      </c>
      <c r="J870" s="1">
        <v>2</v>
      </c>
      <c r="K870" s="1">
        <v>90</v>
      </c>
      <c r="L870" s="1" t="s">
        <v>37</v>
      </c>
    </row>
    <row r="871" spans="1:12" x14ac:dyDescent="0.25">
      <c r="A871" s="1" t="s">
        <v>913</v>
      </c>
      <c r="B871" s="1" t="s">
        <v>94</v>
      </c>
      <c r="C871" s="1" t="s">
        <v>25</v>
      </c>
      <c r="D871" s="1">
        <v>35</v>
      </c>
      <c r="E871" s="1" t="s">
        <v>15</v>
      </c>
      <c r="F871" s="1">
        <v>1</v>
      </c>
      <c r="G871" s="1">
        <v>52211</v>
      </c>
      <c r="H871" s="1">
        <v>14</v>
      </c>
      <c r="I871" s="1">
        <v>37</v>
      </c>
      <c r="J871" s="1">
        <v>5</v>
      </c>
      <c r="K871" s="1">
        <v>95</v>
      </c>
      <c r="L871" s="1" t="s">
        <v>16</v>
      </c>
    </row>
    <row r="872" spans="1:12" x14ac:dyDescent="0.25">
      <c r="A872" s="1" t="s">
        <v>914</v>
      </c>
      <c r="B872" s="1" t="s">
        <v>13</v>
      </c>
      <c r="C872" s="1" t="s">
        <v>22</v>
      </c>
      <c r="D872" s="1">
        <v>36</v>
      </c>
      <c r="E872" s="1" t="s">
        <v>19</v>
      </c>
      <c r="F872" s="1">
        <v>14</v>
      </c>
      <c r="G872" s="1">
        <v>52708</v>
      </c>
      <c r="H872" s="1">
        <v>8</v>
      </c>
      <c r="I872" s="1">
        <v>42</v>
      </c>
      <c r="J872" s="1">
        <v>2</v>
      </c>
      <c r="K872" s="1">
        <v>89</v>
      </c>
      <c r="L872" s="1" t="s">
        <v>23</v>
      </c>
    </row>
    <row r="873" spans="1:12" x14ac:dyDescent="0.25">
      <c r="A873" s="1" t="s">
        <v>915</v>
      </c>
      <c r="B873" s="1" t="s">
        <v>43</v>
      </c>
      <c r="C873" s="1" t="s">
        <v>22</v>
      </c>
      <c r="D873" s="1">
        <v>34</v>
      </c>
      <c r="E873" s="1" t="s">
        <v>19</v>
      </c>
      <c r="F873" s="1">
        <v>4</v>
      </c>
      <c r="G873" s="1">
        <v>51177</v>
      </c>
      <c r="H873" s="1">
        <v>10</v>
      </c>
      <c r="I873" s="1">
        <v>40</v>
      </c>
      <c r="J873" s="1">
        <v>2</v>
      </c>
      <c r="K873" s="1">
        <v>89</v>
      </c>
      <c r="L873" s="1" t="s">
        <v>23</v>
      </c>
    </row>
    <row r="874" spans="1:12" x14ac:dyDescent="0.25">
      <c r="A874" s="1" t="s">
        <v>916</v>
      </c>
      <c r="B874" s="1" t="s">
        <v>21</v>
      </c>
      <c r="C874" s="1" t="s">
        <v>22</v>
      </c>
      <c r="D874" s="1">
        <v>34</v>
      </c>
      <c r="E874" s="1" t="s">
        <v>19</v>
      </c>
      <c r="F874" s="1">
        <v>13</v>
      </c>
      <c r="G874" s="1">
        <v>73661</v>
      </c>
      <c r="H874" s="1">
        <v>6</v>
      </c>
      <c r="I874" s="1">
        <v>40</v>
      </c>
      <c r="J874" s="1">
        <v>4</v>
      </c>
      <c r="K874" s="1">
        <v>98</v>
      </c>
      <c r="L874" s="1" t="s">
        <v>16</v>
      </c>
    </row>
    <row r="875" spans="1:12" x14ac:dyDescent="0.25">
      <c r="A875" s="1" t="s">
        <v>917</v>
      </c>
      <c r="B875" s="1" t="s">
        <v>31</v>
      </c>
      <c r="C875" s="1" t="s">
        <v>14</v>
      </c>
      <c r="D875" s="1">
        <v>24</v>
      </c>
      <c r="E875" s="1" t="s">
        <v>19</v>
      </c>
      <c r="F875" s="1">
        <v>14</v>
      </c>
      <c r="G875" s="1">
        <v>46480</v>
      </c>
      <c r="H875" s="1">
        <v>12</v>
      </c>
      <c r="I875" s="1">
        <v>43</v>
      </c>
      <c r="J875" s="1">
        <v>1</v>
      </c>
      <c r="K875" s="1">
        <v>88</v>
      </c>
      <c r="L875" s="1" t="s">
        <v>37</v>
      </c>
    </row>
    <row r="876" spans="1:12" x14ac:dyDescent="0.25">
      <c r="A876" s="1" t="s">
        <v>918</v>
      </c>
      <c r="B876" s="1" t="s">
        <v>75</v>
      </c>
      <c r="C876" s="1" t="s">
        <v>25</v>
      </c>
      <c r="D876" s="1">
        <v>34</v>
      </c>
      <c r="E876" s="1" t="s">
        <v>19</v>
      </c>
      <c r="F876" s="1">
        <v>4</v>
      </c>
      <c r="G876" s="1">
        <v>66208</v>
      </c>
      <c r="H876" s="1">
        <v>3</v>
      </c>
      <c r="I876" s="1">
        <v>43</v>
      </c>
      <c r="J876" s="1">
        <v>5</v>
      </c>
      <c r="K876" s="1">
        <v>95</v>
      </c>
      <c r="L876" s="1" t="s">
        <v>32</v>
      </c>
    </row>
    <row r="877" spans="1:12" x14ac:dyDescent="0.25">
      <c r="A877" s="1" t="s">
        <v>919</v>
      </c>
      <c r="B877" s="1" t="s">
        <v>83</v>
      </c>
      <c r="C877" s="1" t="s">
        <v>22</v>
      </c>
      <c r="D877" s="1">
        <v>30</v>
      </c>
      <c r="E877" s="1" t="s">
        <v>15</v>
      </c>
      <c r="F877" s="1">
        <v>8</v>
      </c>
      <c r="G877" s="1">
        <v>27270</v>
      </c>
      <c r="H877" s="1">
        <v>5</v>
      </c>
      <c r="I877" s="1">
        <v>39</v>
      </c>
      <c r="J877" s="1">
        <v>4</v>
      </c>
      <c r="K877" s="1">
        <v>96</v>
      </c>
      <c r="L877" s="1" t="s">
        <v>32</v>
      </c>
    </row>
    <row r="878" spans="1:12" x14ac:dyDescent="0.25">
      <c r="A878" s="1" t="s">
        <v>920</v>
      </c>
      <c r="B878" s="1" t="s">
        <v>43</v>
      </c>
      <c r="C878" s="1" t="s">
        <v>25</v>
      </c>
      <c r="D878" s="1">
        <v>34</v>
      </c>
      <c r="E878" s="1" t="s">
        <v>19</v>
      </c>
      <c r="F878" s="1">
        <v>10</v>
      </c>
      <c r="G878" s="1">
        <v>56170</v>
      </c>
      <c r="H878" s="1">
        <v>12</v>
      </c>
      <c r="I878" s="1">
        <v>43</v>
      </c>
      <c r="J878" s="1">
        <v>3</v>
      </c>
      <c r="K878" s="1">
        <v>89</v>
      </c>
      <c r="L878" s="1" t="s">
        <v>23</v>
      </c>
    </row>
    <row r="879" spans="1:12" x14ac:dyDescent="0.25">
      <c r="A879" s="1" t="s">
        <v>921</v>
      </c>
      <c r="B879" s="1" t="s">
        <v>89</v>
      </c>
      <c r="C879" s="1" t="s">
        <v>14</v>
      </c>
      <c r="D879" s="1">
        <v>34</v>
      </c>
      <c r="E879" s="1" t="s">
        <v>15</v>
      </c>
      <c r="F879" s="1">
        <v>9</v>
      </c>
      <c r="G879" s="1">
        <v>67051</v>
      </c>
      <c r="H879" s="1">
        <v>5</v>
      </c>
      <c r="I879" s="1">
        <v>46</v>
      </c>
      <c r="J879" s="1">
        <v>1</v>
      </c>
      <c r="K879" s="1">
        <v>92</v>
      </c>
      <c r="L879" s="1" t="s">
        <v>51</v>
      </c>
    </row>
    <row r="880" spans="1:12" x14ac:dyDescent="0.25">
      <c r="A880" s="1" t="s">
        <v>922</v>
      </c>
      <c r="B880" s="1" t="s">
        <v>43</v>
      </c>
      <c r="C880" s="1" t="s">
        <v>22</v>
      </c>
      <c r="D880" s="1">
        <v>33</v>
      </c>
      <c r="E880" s="1" t="s">
        <v>15</v>
      </c>
      <c r="F880" s="1">
        <v>13</v>
      </c>
      <c r="G880" s="1">
        <v>79884</v>
      </c>
      <c r="H880" s="1">
        <v>12</v>
      </c>
      <c r="I880" s="1">
        <v>46</v>
      </c>
      <c r="J880" s="1">
        <v>2</v>
      </c>
      <c r="K880" s="1">
        <v>91</v>
      </c>
      <c r="L880" s="1" t="s">
        <v>23</v>
      </c>
    </row>
    <row r="881" spans="1:12" x14ac:dyDescent="0.25">
      <c r="A881" s="1" t="s">
        <v>923</v>
      </c>
      <c r="B881" s="1" t="s">
        <v>13</v>
      </c>
      <c r="C881" s="1" t="s">
        <v>22</v>
      </c>
      <c r="D881" s="1">
        <v>33</v>
      </c>
      <c r="E881" s="1" t="s">
        <v>15</v>
      </c>
      <c r="F881" s="1">
        <v>2</v>
      </c>
      <c r="G881" s="1">
        <v>59797</v>
      </c>
      <c r="H881" s="1">
        <v>8</v>
      </c>
      <c r="I881" s="1">
        <v>44</v>
      </c>
      <c r="J881" s="1">
        <v>3</v>
      </c>
      <c r="K881" s="1">
        <v>92</v>
      </c>
      <c r="L881" s="1" t="s">
        <v>51</v>
      </c>
    </row>
    <row r="882" spans="1:12" x14ac:dyDescent="0.25">
      <c r="A882" s="1" t="s">
        <v>924</v>
      </c>
      <c r="B882" s="1" t="s">
        <v>77</v>
      </c>
      <c r="C882" s="1" t="s">
        <v>25</v>
      </c>
      <c r="D882" s="1">
        <v>24</v>
      </c>
      <c r="E882" s="1" t="s">
        <v>15</v>
      </c>
      <c r="F882" s="1">
        <v>1</v>
      </c>
      <c r="G882" s="1">
        <v>71209</v>
      </c>
      <c r="H882" s="1">
        <v>6</v>
      </c>
      <c r="I882" s="1">
        <v>43</v>
      </c>
      <c r="J882" s="1">
        <v>2</v>
      </c>
      <c r="K882" s="1">
        <v>93</v>
      </c>
      <c r="L882" s="1" t="s">
        <v>26</v>
      </c>
    </row>
    <row r="883" spans="1:12" x14ac:dyDescent="0.25">
      <c r="A883" s="1" t="s">
        <v>925</v>
      </c>
      <c r="B883" s="1" t="s">
        <v>18</v>
      </c>
      <c r="C883" s="1" t="s">
        <v>25</v>
      </c>
      <c r="D883" s="1">
        <v>39</v>
      </c>
      <c r="E883" s="1" t="s">
        <v>19</v>
      </c>
      <c r="F883" s="1">
        <v>8</v>
      </c>
      <c r="G883" s="1">
        <v>79461</v>
      </c>
      <c r="H883" s="1">
        <v>15</v>
      </c>
      <c r="I883" s="1">
        <v>37</v>
      </c>
      <c r="J883" s="1">
        <v>5</v>
      </c>
      <c r="K883" s="1">
        <v>93</v>
      </c>
      <c r="L883" s="1" t="s">
        <v>37</v>
      </c>
    </row>
    <row r="884" spans="1:12" x14ac:dyDescent="0.25">
      <c r="A884" s="1" t="s">
        <v>926</v>
      </c>
      <c r="B884" s="1" t="s">
        <v>63</v>
      </c>
      <c r="C884" s="1" t="s">
        <v>14</v>
      </c>
      <c r="D884" s="1">
        <v>25</v>
      </c>
      <c r="E884" s="1" t="s">
        <v>19</v>
      </c>
      <c r="F884" s="1">
        <v>3</v>
      </c>
      <c r="G884" s="1">
        <v>40052</v>
      </c>
      <c r="H884" s="1">
        <v>13</v>
      </c>
      <c r="I884" s="1">
        <v>38</v>
      </c>
      <c r="J884" s="1">
        <v>5</v>
      </c>
      <c r="K884" s="1">
        <v>92</v>
      </c>
      <c r="L884" s="1" t="s">
        <v>16</v>
      </c>
    </row>
    <row r="885" spans="1:12" x14ac:dyDescent="0.25">
      <c r="A885" s="1" t="s">
        <v>927</v>
      </c>
      <c r="B885" s="1" t="s">
        <v>89</v>
      </c>
      <c r="C885" s="1" t="s">
        <v>22</v>
      </c>
      <c r="D885" s="1">
        <v>36</v>
      </c>
      <c r="E885" s="1" t="s">
        <v>15</v>
      </c>
      <c r="F885" s="1">
        <v>14</v>
      </c>
      <c r="G885" s="1">
        <v>27030</v>
      </c>
      <c r="H885" s="1">
        <v>5</v>
      </c>
      <c r="I885" s="1">
        <v>35</v>
      </c>
      <c r="J885" s="1">
        <v>3</v>
      </c>
      <c r="K885" s="1">
        <v>98</v>
      </c>
      <c r="L885" s="1" t="s">
        <v>37</v>
      </c>
    </row>
    <row r="886" spans="1:12" x14ac:dyDescent="0.25">
      <c r="A886" s="1" t="s">
        <v>928</v>
      </c>
      <c r="B886" s="1" t="s">
        <v>65</v>
      </c>
      <c r="C886" s="1" t="s">
        <v>14</v>
      </c>
      <c r="D886" s="1">
        <v>33</v>
      </c>
      <c r="E886" s="1" t="s">
        <v>19</v>
      </c>
      <c r="F886" s="1">
        <v>11</v>
      </c>
      <c r="G886" s="1">
        <v>79450</v>
      </c>
      <c r="H886" s="1">
        <v>9</v>
      </c>
      <c r="I886" s="1">
        <v>50</v>
      </c>
      <c r="J886" s="1">
        <v>3</v>
      </c>
      <c r="K886" s="1">
        <v>93</v>
      </c>
      <c r="L886" s="1" t="s">
        <v>32</v>
      </c>
    </row>
    <row r="887" spans="1:12" x14ac:dyDescent="0.25">
      <c r="A887" s="1" t="s">
        <v>929</v>
      </c>
      <c r="B887" s="1" t="s">
        <v>13</v>
      </c>
      <c r="C887" s="1" t="s">
        <v>22</v>
      </c>
      <c r="D887" s="1">
        <v>25</v>
      </c>
      <c r="E887" s="1" t="s">
        <v>19</v>
      </c>
      <c r="F887" s="1">
        <v>3</v>
      </c>
      <c r="G887" s="1">
        <v>65518</v>
      </c>
      <c r="H887" s="1">
        <v>10</v>
      </c>
      <c r="I887" s="1">
        <v>45</v>
      </c>
      <c r="J887" s="1">
        <v>1</v>
      </c>
      <c r="K887" s="1">
        <v>89</v>
      </c>
      <c r="L887" s="1" t="s">
        <v>16</v>
      </c>
    </row>
    <row r="888" spans="1:12" x14ac:dyDescent="0.25">
      <c r="A888" s="1" t="s">
        <v>930</v>
      </c>
      <c r="B888" s="1" t="s">
        <v>34</v>
      </c>
      <c r="C888" s="1" t="s">
        <v>25</v>
      </c>
      <c r="D888" s="1">
        <v>33</v>
      </c>
      <c r="E888" s="1" t="s">
        <v>19</v>
      </c>
      <c r="F888" s="1">
        <v>11</v>
      </c>
      <c r="G888" s="1">
        <v>42144</v>
      </c>
      <c r="H888" s="1">
        <v>6</v>
      </c>
      <c r="I888" s="1">
        <v>41</v>
      </c>
      <c r="J888" s="1">
        <v>5</v>
      </c>
      <c r="K888" s="1">
        <v>94</v>
      </c>
      <c r="L888" s="1" t="s">
        <v>51</v>
      </c>
    </row>
    <row r="889" spans="1:12" x14ac:dyDescent="0.25">
      <c r="A889" s="1" t="s">
        <v>931</v>
      </c>
      <c r="B889" s="1" t="s">
        <v>36</v>
      </c>
      <c r="C889" s="1" t="s">
        <v>25</v>
      </c>
      <c r="D889" s="1">
        <v>38</v>
      </c>
      <c r="E889" s="1" t="s">
        <v>15</v>
      </c>
      <c r="F889" s="1">
        <v>11</v>
      </c>
      <c r="G889" s="1">
        <v>25367</v>
      </c>
      <c r="H889" s="1">
        <v>6</v>
      </c>
      <c r="I889" s="1">
        <v>36</v>
      </c>
      <c r="J889" s="1">
        <v>5</v>
      </c>
      <c r="K889" s="1">
        <v>97</v>
      </c>
      <c r="L889" s="1" t="s">
        <v>32</v>
      </c>
    </row>
    <row r="890" spans="1:12" x14ac:dyDescent="0.25">
      <c r="A890" s="1" t="s">
        <v>932</v>
      </c>
      <c r="B890" s="1" t="s">
        <v>65</v>
      </c>
      <c r="C890" s="1" t="s">
        <v>25</v>
      </c>
      <c r="D890" s="1">
        <v>36</v>
      </c>
      <c r="E890" s="1" t="s">
        <v>15</v>
      </c>
      <c r="F890" s="1">
        <v>14</v>
      </c>
      <c r="G890" s="1">
        <v>45459</v>
      </c>
      <c r="H890" s="1">
        <v>11</v>
      </c>
      <c r="I890" s="1">
        <v>41</v>
      </c>
      <c r="J890" s="1">
        <v>5</v>
      </c>
      <c r="K890" s="1">
        <v>98</v>
      </c>
      <c r="L890" s="1" t="s">
        <v>26</v>
      </c>
    </row>
    <row r="891" spans="1:12" x14ac:dyDescent="0.25">
      <c r="A891" s="1" t="s">
        <v>933</v>
      </c>
      <c r="B891" s="1" t="s">
        <v>21</v>
      </c>
      <c r="C891" s="1" t="s">
        <v>25</v>
      </c>
      <c r="D891" s="1">
        <v>22</v>
      </c>
      <c r="E891" s="1" t="s">
        <v>15</v>
      </c>
      <c r="F891" s="1">
        <v>6</v>
      </c>
      <c r="G891" s="1">
        <v>57781</v>
      </c>
      <c r="H891" s="1">
        <v>11</v>
      </c>
      <c r="I891" s="1">
        <v>48</v>
      </c>
      <c r="J891" s="1">
        <v>5</v>
      </c>
      <c r="K891" s="1">
        <v>99</v>
      </c>
      <c r="L891" s="1" t="s">
        <v>23</v>
      </c>
    </row>
    <row r="892" spans="1:12" x14ac:dyDescent="0.25">
      <c r="A892" s="1" t="s">
        <v>934</v>
      </c>
      <c r="B892" s="1" t="s">
        <v>81</v>
      </c>
      <c r="C892" s="1" t="s">
        <v>14</v>
      </c>
      <c r="D892" s="1">
        <v>26</v>
      </c>
      <c r="E892" s="1" t="s">
        <v>15</v>
      </c>
      <c r="F892" s="1">
        <v>1</v>
      </c>
      <c r="G892" s="1">
        <v>59711</v>
      </c>
      <c r="H892" s="1">
        <v>6</v>
      </c>
      <c r="I892" s="1">
        <v>50</v>
      </c>
      <c r="J892" s="1">
        <v>1</v>
      </c>
      <c r="K892" s="1">
        <v>100</v>
      </c>
      <c r="L892" s="1" t="s">
        <v>37</v>
      </c>
    </row>
    <row r="893" spans="1:12" x14ac:dyDescent="0.25">
      <c r="A893" s="1" t="s">
        <v>935</v>
      </c>
      <c r="B893" s="1" t="s">
        <v>18</v>
      </c>
      <c r="C893" s="1" t="s">
        <v>29</v>
      </c>
      <c r="D893" s="1">
        <v>35</v>
      </c>
      <c r="E893" s="1" t="s">
        <v>15</v>
      </c>
      <c r="F893" s="1">
        <v>3</v>
      </c>
      <c r="G893" s="1">
        <v>76718</v>
      </c>
      <c r="H893" s="1">
        <v>14</v>
      </c>
      <c r="I893" s="1">
        <v>49</v>
      </c>
      <c r="J893" s="1">
        <v>1</v>
      </c>
      <c r="K893" s="1">
        <v>91</v>
      </c>
      <c r="L893" s="1" t="s">
        <v>16</v>
      </c>
    </row>
    <row r="894" spans="1:12" x14ac:dyDescent="0.25">
      <c r="A894" s="1" t="s">
        <v>936</v>
      </c>
      <c r="B894" s="1" t="s">
        <v>75</v>
      </c>
      <c r="C894" s="1" t="s">
        <v>14</v>
      </c>
      <c r="D894" s="1">
        <v>25</v>
      </c>
      <c r="E894" s="1" t="s">
        <v>19</v>
      </c>
      <c r="F894" s="1">
        <v>9</v>
      </c>
      <c r="G894" s="1">
        <v>42299</v>
      </c>
      <c r="H894" s="1">
        <v>4</v>
      </c>
      <c r="I894" s="1">
        <v>45</v>
      </c>
      <c r="J894" s="1">
        <v>4</v>
      </c>
      <c r="K894" s="1">
        <v>96</v>
      </c>
      <c r="L894" s="1" t="s">
        <v>23</v>
      </c>
    </row>
    <row r="895" spans="1:12" x14ac:dyDescent="0.25">
      <c r="A895" s="1" t="s">
        <v>937</v>
      </c>
      <c r="B895" s="1" t="s">
        <v>53</v>
      </c>
      <c r="C895" s="1" t="s">
        <v>22</v>
      </c>
      <c r="D895" s="1">
        <v>27</v>
      </c>
      <c r="E895" s="1" t="s">
        <v>19</v>
      </c>
      <c r="F895" s="1">
        <v>8</v>
      </c>
      <c r="G895" s="1">
        <v>34398</v>
      </c>
      <c r="H895" s="1">
        <v>12</v>
      </c>
      <c r="I895" s="1">
        <v>48</v>
      </c>
      <c r="J895" s="1">
        <v>1</v>
      </c>
      <c r="K895" s="1">
        <v>90</v>
      </c>
      <c r="L895" s="1" t="s">
        <v>32</v>
      </c>
    </row>
    <row r="896" spans="1:12" x14ac:dyDescent="0.25">
      <c r="A896" s="1" t="s">
        <v>938</v>
      </c>
      <c r="B896" s="1" t="s">
        <v>34</v>
      </c>
      <c r="C896" s="1" t="s">
        <v>14</v>
      </c>
      <c r="D896" s="1">
        <v>30</v>
      </c>
      <c r="E896" s="1" t="s">
        <v>15</v>
      </c>
      <c r="F896" s="1">
        <v>2</v>
      </c>
      <c r="G896" s="1">
        <v>59574</v>
      </c>
      <c r="H896" s="1">
        <v>12</v>
      </c>
      <c r="I896" s="1">
        <v>37</v>
      </c>
      <c r="J896" s="1">
        <v>3</v>
      </c>
      <c r="K896" s="1">
        <v>96</v>
      </c>
      <c r="L896" s="1" t="s">
        <v>23</v>
      </c>
    </row>
    <row r="897" spans="1:12" x14ac:dyDescent="0.25">
      <c r="A897" s="1" t="s">
        <v>939</v>
      </c>
      <c r="B897" s="1" t="s">
        <v>45</v>
      </c>
      <c r="C897" s="1" t="s">
        <v>29</v>
      </c>
      <c r="D897" s="1">
        <v>30</v>
      </c>
      <c r="E897" s="1" t="s">
        <v>19</v>
      </c>
      <c r="F897" s="1">
        <v>13</v>
      </c>
      <c r="G897" s="1">
        <v>43285</v>
      </c>
      <c r="H897" s="1">
        <v>15</v>
      </c>
      <c r="I897" s="1">
        <v>37</v>
      </c>
      <c r="J897" s="1">
        <v>3</v>
      </c>
      <c r="K897" s="1">
        <v>91</v>
      </c>
      <c r="L897" s="1" t="s">
        <v>23</v>
      </c>
    </row>
    <row r="898" spans="1:12" x14ac:dyDescent="0.25">
      <c r="A898" s="1" t="s">
        <v>940</v>
      </c>
      <c r="B898" s="1" t="s">
        <v>18</v>
      </c>
      <c r="C898" s="1" t="s">
        <v>14</v>
      </c>
      <c r="D898" s="1">
        <v>34</v>
      </c>
      <c r="E898" s="1" t="s">
        <v>15</v>
      </c>
      <c r="F898" s="1">
        <v>9</v>
      </c>
      <c r="G898" s="1">
        <v>34915</v>
      </c>
      <c r="H898" s="1">
        <v>6</v>
      </c>
      <c r="I898" s="1">
        <v>50</v>
      </c>
      <c r="J898" s="1">
        <v>5</v>
      </c>
      <c r="K898" s="1">
        <v>91</v>
      </c>
      <c r="L898" s="1" t="s">
        <v>26</v>
      </c>
    </row>
    <row r="899" spans="1:12" x14ac:dyDescent="0.25">
      <c r="A899" s="1" t="s">
        <v>941</v>
      </c>
      <c r="B899" s="1" t="s">
        <v>34</v>
      </c>
      <c r="C899" s="1" t="s">
        <v>25</v>
      </c>
      <c r="D899" s="1">
        <v>36</v>
      </c>
      <c r="E899" s="1" t="s">
        <v>15</v>
      </c>
      <c r="F899" s="1">
        <v>12</v>
      </c>
      <c r="G899" s="1">
        <v>34653</v>
      </c>
      <c r="H899" s="1">
        <v>13</v>
      </c>
      <c r="I899" s="1">
        <v>39</v>
      </c>
      <c r="J899" s="1">
        <v>1</v>
      </c>
      <c r="K899" s="1">
        <v>100</v>
      </c>
      <c r="L899" s="1" t="s">
        <v>32</v>
      </c>
    </row>
    <row r="900" spans="1:12" x14ac:dyDescent="0.25">
      <c r="A900" s="1" t="s">
        <v>942</v>
      </c>
      <c r="B900" s="1" t="s">
        <v>45</v>
      </c>
      <c r="C900" s="1" t="s">
        <v>29</v>
      </c>
      <c r="D900" s="1">
        <v>35</v>
      </c>
      <c r="E900" s="1" t="s">
        <v>15</v>
      </c>
      <c r="F900" s="1">
        <v>8</v>
      </c>
      <c r="G900" s="1">
        <v>33895</v>
      </c>
      <c r="H900" s="1">
        <v>6</v>
      </c>
      <c r="I900" s="1">
        <v>42</v>
      </c>
      <c r="J900" s="1">
        <v>5</v>
      </c>
      <c r="K900" s="1">
        <v>97</v>
      </c>
      <c r="L900" s="1" t="s">
        <v>26</v>
      </c>
    </row>
    <row r="901" spans="1:12" x14ac:dyDescent="0.25">
      <c r="A901" s="1" t="s">
        <v>943</v>
      </c>
      <c r="B901" s="1" t="s">
        <v>75</v>
      </c>
      <c r="C901" s="1" t="s">
        <v>25</v>
      </c>
      <c r="D901" s="1">
        <v>28</v>
      </c>
      <c r="E901" s="1" t="s">
        <v>19</v>
      </c>
      <c r="F901" s="1">
        <v>15</v>
      </c>
      <c r="G901" s="1">
        <v>29421</v>
      </c>
      <c r="H901" s="1">
        <v>15</v>
      </c>
      <c r="I901" s="1">
        <v>42</v>
      </c>
      <c r="J901" s="1">
        <v>2</v>
      </c>
      <c r="K901" s="1">
        <v>88</v>
      </c>
      <c r="L901" s="1" t="s">
        <v>37</v>
      </c>
    </row>
    <row r="902" spans="1:12" x14ac:dyDescent="0.25">
      <c r="A902" s="1" t="s">
        <v>944</v>
      </c>
      <c r="B902" s="1" t="s">
        <v>45</v>
      </c>
      <c r="C902" s="1" t="s">
        <v>29</v>
      </c>
      <c r="D902" s="1">
        <v>38</v>
      </c>
      <c r="E902" s="1" t="s">
        <v>15</v>
      </c>
      <c r="F902" s="1">
        <v>12</v>
      </c>
      <c r="G902" s="1">
        <v>78427</v>
      </c>
      <c r="H902" s="1">
        <v>9</v>
      </c>
      <c r="I902" s="1">
        <v>47</v>
      </c>
      <c r="J902" s="1">
        <v>4</v>
      </c>
      <c r="K902" s="1">
        <v>86</v>
      </c>
      <c r="L902" s="1" t="s">
        <v>51</v>
      </c>
    </row>
    <row r="903" spans="1:12" x14ac:dyDescent="0.25">
      <c r="A903" s="1" t="s">
        <v>945</v>
      </c>
      <c r="B903" s="1" t="s">
        <v>65</v>
      </c>
      <c r="C903" s="1" t="s">
        <v>22</v>
      </c>
      <c r="D903" s="1">
        <v>24</v>
      </c>
      <c r="E903" s="1" t="s">
        <v>15</v>
      </c>
      <c r="F903" s="1">
        <v>7</v>
      </c>
      <c r="G903" s="1">
        <v>60513</v>
      </c>
      <c r="H903" s="1">
        <v>8</v>
      </c>
      <c r="I903" s="1">
        <v>41</v>
      </c>
      <c r="J903" s="1">
        <v>1</v>
      </c>
      <c r="K903" s="1">
        <v>91</v>
      </c>
      <c r="L903" s="1" t="s">
        <v>37</v>
      </c>
    </row>
    <row r="904" spans="1:12" x14ac:dyDescent="0.25">
      <c r="A904" s="1" t="s">
        <v>946</v>
      </c>
      <c r="B904" s="1" t="s">
        <v>70</v>
      </c>
      <c r="C904" s="1" t="s">
        <v>14</v>
      </c>
      <c r="D904" s="1">
        <v>28</v>
      </c>
      <c r="E904" s="1" t="s">
        <v>19</v>
      </c>
      <c r="F904" s="1">
        <v>5</v>
      </c>
      <c r="G904" s="1">
        <v>60090</v>
      </c>
      <c r="H904" s="1">
        <v>13</v>
      </c>
      <c r="I904" s="1">
        <v>44</v>
      </c>
      <c r="J904" s="1">
        <v>5</v>
      </c>
      <c r="K904" s="1">
        <v>93</v>
      </c>
      <c r="L904" s="1" t="s">
        <v>32</v>
      </c>
    </row>
    <row r="905" spans="1:12" x14ac:dyDescent="0.25">
      <c r="A905" s="1" t="s">
        <v>947</v>
      </c>
      <c r="B905" s="1" t="s">
        <v>75</v>
      </c>
      <c r="C905" s="1" t="s">
        <v>22</v>
      </c>
      <c r="D905" s="1">
        <v>27</v>
      </c>
      <c r="E905" s="1" t="s">
        <v>15</v>
      </c>
      <c r="F905" s="1">
        <v>13</v>
      </c>
      <c r="G905" s="1">
        <v>32093</v>
      </c>
      <c r="H905" s="1">
        <v>4</v>
      </c>
      <c r="I905" s="1">
        <v>46</v>
      </c>
      <c r="J905" s="1">
        <v>5</v>
      </c>
      <c r="K905" s="1">
        <v>98</v>
      </c>
      <c r="L905" s="1" t="s">
        <v>16</v>
      </c>
    </row>
    <row r="906" spans="1:12" x14ac:dyDescent="0.25">
      <c r="A906" s="1" t="s">
        <v>948</v>
      </c>
      <c r="B906" s="1" t="s">
        <v>13</v>
      </c>
      <c r="C906" s="1" t="s">
        <v>29</v>
      </c>
      <c r="D906" s="1">
        <v>25</v>
      </c>
      <c r="E906" s="1" t="s">
        <v>15</v>
      </c>
      <c r="F906" s="1">
        <v>13</v>
      </c>
      <c r="G906" s="1">
        <v>50968</v>
      </c>
      <c r="H906" s="1">
        <v>12</v>
      </c>
      <c r="I906" s="1">
        <v>42</v>
      </c>
      <c r="J906" s="1">
        <v>3</v>
      </c>
      <c r="K906" s="1">
        <v>98</v>
      </c>
      <c r="L906" s="1" t="s">
        <v>32</v>
      </c>
    </row>
    <row r="907" spans="1:12" x14ac:dyDescent="0.25">
      <c r="A907" s="1" t="s">
        <v>949</v>
      </c>
      <c r="B907" s="1" t="s">
        <v>77</v>
      </c>
      <c r="C907" s="1" t="s">
        <v>25</v>
      </c>
      <c r="D907" s="1">
        <v>39</v>
      </c>
      <c r="E907" s="1" t="s">
        <v>15</v>
      </c>
      <c r="F907" s="1">
        <v>5</v>
      </c>
      <c r="G907" s="1">
        <v>25893</v>
      </c>
      <c r="H907" s="1">
        <v>15</v>
      </c>
      <c r="I907" s="1">
        <v>35</v>
      </c>
      <c r="J907" s="1">
        <v>4</v>
      </c>
      <c r="K907" s="1">
        <v>88</v>
      </c>
      <c r="L907" s="1" t="s">
        <v>23</v>
      </c>
    </row>
    <row r="908" spans="1:12" x14ac:dyDescent="0.25">
      <c r="A908" s="1" t="s">
        <v>950</v>
      </c>
      <c r="B908" s="1" t="s">
        <v>70</v>
      </c>
      <c r="C908" s="1" t="s">
        <v>22</v>
      </c>
      <c r="D908" s="1">
        <v>32</v>
      </c>
      <c r="E908" s="1" t="s">
        <v>19</v>
      </c>
      <c r="F908" s="1">
        <v>14</v>
      </c>
      <c r="G908" s="1">
        <v>74934</v>
      </c>
      <c r="H908" s="1">
        <v>11</v>
      </c>
      <c r="I908" s="1">
        <v>40</v>
      </c>
      <c r="J908" s="1">
        <v>5</v>
      </c>
      <c r="K908" s="1">
        <v>98</v>
      </c>
      <c r="L908" s="1" t="s">
        <v>16</v>
      </c>
    </row>
    <row r="909" spans="1:12" x14ac:dyDescent="0.25">
      <c r="A909" s="1" t="s">
        <v>951</v>
      </c>
      <c r="B909" s="1" t="s">
        <v>40</v>
      </c>
      <c r="C909" s="1" t="s">
        <v>25</v>
      </c>
      <c r="D909" s="1">
        <v>40</v>
      </c>
      <c r="E909" s="1" t="s">
        <v>15</v>
      </c>
      <c r="F909" s="1">
        <v>7</v>
      </c>
      <c r="G909" s="1">
        <v>79077</v>
      </c>
      <c r="H909" s="1">
        <v>9</v>
      </c>
      <c r="I909" s="1">
        <v>50</v>
      </c>
      <c r="J909" s="1">
        <v>4</v>
      </c>
      <c r="K909" s="1">
        <v>94</v>
      </c>
      <c r="L909" s="1" t="s">
        <v>23</v>
      </c>
    </row>
    <row r="910" spans="1:12" x14ac:dyDescent="0.25">
      <c r="A910" s="1" t="s">
        <v>952</v>
      </c>
      <c r="B910" s="1" t="s">
        <v>70</v>
      </c>
      <c r="C910" s="1" t="s">
        <v>25</v>
      </c>
      <c r="D910" s="1">
        <v>34</v>
      </c>
      <c r="E910" s="1" t="s">
        <v>19</v>
      </c>
      <c r="F910" s="1">
        <v>6</v>
      </c>
      <c r="G910" s="1">
        <v>62532</v>
      </c>
      <c r="H910" s="1">
        <v>13</v>
      </c>
      <c r="I910" s="1">
        <v>50</v>
      </c>
      <c r="J910" s="1">
        <v>3</v>
      </c>
      <c r="K910" s="1">
        <v>86</v>
      </c>
      <c r="L910" s="1" t="s">
        <v>16</v>
      </c>
    </row>
    <row r="911" spans="1:12" x14ac:dyDescent="0.25">
      <c r="A911" s="1" t="s">
        <v>953</v>
      </c>
      <c r="B911" s="1" t="s">
        <v>53</v>
      </c>
      <c r="C911" s="1" t="s">
        <v>25</v>
      </c>
      <c r="D911" s="1">
        <v>39</v>
      </c>
      <c r="E911" s="1" t="s">
        <v>19</v>
      </c>
      <c r="F911" s="1">
        <v>1</v>
      </c>
      <c r="G911" s="1">
        <v>30478</v>
      </c>
      <c r="H911" s="1">
        <v>15</v>
      </c>
      <c r="I911" s="1">
        <v>49</v>
      </c>
      <c r="J911" s="1">
        <v>3</v>
      </c>
      <c r="K911" s="1">
        <v>86</v>
      </c>
      <c r="L911" s="1" t="s">
        <v>16</v>
      </c>
    </row>
    <row r="912" spans="1:12" x14ac:dyDescent="0.25">
      <c r="A912" s="1" t="s">
        <v>954</v>
      </c>
      <c r="B912" s="1" t="s">
        <v>34</v>
      </c>
      <c r="C912" s="1" t="s">
        <v>22</v>
      </c>
      <c r="D912" s="1">
        <v>27</v>
      </c>
      <c r="E912" s="1" t="s">
        <v>15</v>
      </c>
      <c r="F912" s="1">
        <v>1</v>
      </c>
      <c r="G912" s="1">
        <v>71524</v>
      </c>
      <c r="H912" s="1">
        <v>7</v>
      </c>
      <c r="I912" s="1">
        <v>35</v>
      </c>
      <c r="J912" s="1">
        <v>1</v>
      </c>
      <c r="K912" s="1">
        <v>92</v>
      </c>
      <c r="L912" s="1" t="s">
        <v>32</v>
      </c>
    </row>
    <row r="913" spans="1:12" x14ac:dyDescent="0.25">
      <c r="A913" s="1" t="s">
        <v>955</v>
      </c>
      <c r="B913" s="1" t="s">
        <v>34</v>
      </c>
      <c r="C913" s="1" t="s">
        <v>14</v>
      </c>
      <c r="D913" s="1">
        <v>22</v>
      </c>
      <c r="E913" s="1" t="s">
        <v>15</v>
      </c>
      <c r="F913" s="1">
        <v>3</v>
      </c>
      <c r="G913" s="1">
        <v>75077</v>
      </c>
      <c r="H913" s="1">
        <v>14</v>
      </c>
      <c r="I913" s="1">
        <v>39</v>
      </c>
      <c r="J913" s="1">
        <v>1</v>
      </c>
      <c r="K913" s="1">
        <v>97</v>
      </c>
      <c r="L913" s="1" t="s">
        <v>23</v>
      </c>
    </row>
    <row r="914" spans="1:12" x14ac:dyDescent="0.25">
      <c r="A914" s="1" t="s">
        <v>956</v>
      </c>
      <c r="B914" s="1" t="s">
        <v>13</v>
      </c>
      <c r="C914" s="1" t="s">
        <v>22</v>
      </c>
      <c r="D914" s="1">
        <v>26</v>
      </c>
      <c r="E914" s="1" t="s">
        <v>15</v>
      </c>
      <c r="F914" s="1">
        <v>10</v>
      </c>
      <c r="G914" s="1">
        <v>25885</v>
      </c>
      <c r="H914" s="1">
        <v>3</v>
      </c>
      <c r="I914" s="1">
        <v>47</v>
      </c>
      <c r="J914" s="1">
        <v>4</v>
      </c>
      <c r="K914" s="1">
        <v>90</v>
      </c>
      <c r="L914" s="1" t="s">
        <v>32</v>
      </c>
    </row>
    <row r="915" spans="1:12" x14ac:dyDescent="0.25">
      <c r="A915" s="1" t="s">
        <v>957</v>
      </c>
      <c r="B915" s="1" t="s">
        <v>28</v>
      </c>
      <c r="C915" s="1" t="s">
        <v>22</v>
      </c>
      <c r="D915" s="1">
        <v>28</v>
      </c>
      <c r="E915" s="1" t="s">
        <v>15</v>
      </c>
      <c r="F915" s="1">
        <v>13</v>
      </c>
      <c r="G915" s="1">
        <v>43105</v>
      </c>
      <c r="H915" s="1">
        <v>15</v>
      </c>
      <c r="I915" s="1">
        <v>38</v>
      </c>
      <c r="J915" s="1">
        <v>3</v>
      </c>
      <c r="K915" s="1">
        <v>100</v>
      </c>
      <c r="L915" s="1" t="s">
        <v>26</v>
      </c>
    </row>
    <row r="916" spans="1:12" x14ac:dyDescent="0.25">
      <c r="A916" s="1" t="s">
        <v>958</v>
      </c>
      <c r="B916" s="1" t="s">
        <v>13</v>
      </c>
      <c r="C916" s="1" t="s">
        <v>25</v>
      </c>
      <c r="D916" s="1">
        <v>26</v>
      </c>
      <c r="E916" s="1" t="s">
        <v>19</v>
      </c>
      <c r="F916" s="1">
        <v>10</v>
      </c>
      <c r="G916" s="1">
        <v>45333</v>
      </c>
      <c r="H916" s="1">
        <v>12</v>
      </c>
      <c r="I916" s="1">
        <v>43</v>
      </c>
      <c r="J916" s="1">
        <v>3</v>
      </c>
      <c r="K916" s="1">
        <v>93</v>
      </c>
      <c r="L916" s="1" t="s">
        <v>16</v>
      </c>
    </row>
    <row r="917" spans="1:12" x14ac:dyDescent="0.25">
      <c r="A917" s="1" t="s">
        <v>959</v>
      </c>
      <c r="B917" s="1" t="s">
        <v>63</v>
      </c>
      <c r="C917" s="1" t="s">
        <v>14</v>
      </c>
      <c r="D917" s="1">
        <v>32</v>
      </c>
      <c r="E917" s="1" t="s">
        <v>15</v>
      </c>
      <c r="F917" s="1">
        <v>12</v>
      </c>
      <c r="G917" s="1">
        <v>37246</v>
      </c>
      <c r="H917" s="1">
        <v>12</v>
      </c>
      <c r="I917" s="1">
        <v>40</v>
      </c>
      <c r="J917" s="1">
        <v>5</v>
      </c>
      <c r="K917" s="1">
        <v>97</v>
      </c>
      <c r="L917" s="1" t="s">
        <v>23</v>
      </c>
    </row>
    <row r="918" spans="1:12" x14ac:dyDescent="0.25">
      <c r="A918" s="1" t="s">
        <v>960</v>
      </c>
      <c r="B918" s="1" t="s">
        <v>34</v>
      </c>
      <c r="C918" s="1" t="s">
        <v>14</v>
      </c>
      <c r="D918" s="1">
        <v>39</v>
      </c>
      <c r="E918" s="1" t="s">
        <v>15</v>
      </c>
      <c r="F918" s="1">
        <v>11</v>
      </c>
      <c r="G918" s="1">
        <v>70671</v>
      </c>
      <c r="H918" s="1">
        <v>12</v>
      </c>
      <c r="I918" s="1">
        <v>46</v>
      </c>
      <c r="J918" s="1">
        <v>2</v>
      </c>
      <c r="K918" s="1">
        <v>85</v>
      </c>
      <c r="L918" s="1" t="s">
        <v>16</v>
      </c>
    </row>
    <row r="919" spans="1:12" x14ac:dyDescent="0.25">
      <c r="A919" s="1" t="s">
        <v>961</v>
      </c>
      <c r="B919" s="1" t="s">
        <v>77</v>
      </c>
      <c r="C919" s="1" t="s">
        <v>22</v>
      </c>
      <c r="D919" s="1">
        <v>23</v>
      </c>
      <c r="E919" s="1" t="s">
        <v>19</v>
      </c>
      <c r="F919" s="1">
        <v>1</v>
      </c>
      <c r="G919" s="1">
        <v>36249</v>
      </c>
      <c r="H919" s="1">
        <v>7</v>
      </c>
      <c r="I919" s="1">
        <v>37</v>
      </c>
      <c r="J919" s="1">
        <v>4</v>
      </c>
      <c r="K919" s="1">
        <v>87</v>
      </c>
      <c r="L919" s="1" t="s">
        <v>37</v>
      </c>
    </row>
    <row r="920" spans="1:12" x14ac:dyDescent="0.25">
      <c r="A920" s="1" t="s">
        <v>962</v>
      </c>
      <c r="B920" s="1" t="s">
        <v>13</v>
      </c>
      <c r="C920" s="1" t="s">
        <v>25</v>
      </c>
      <c r="D920" s="1">
        <v>37</v>
      </c>
      <c r="E920" s="1" t="s">
        <v>19</v>
      </c>
      <c r="F920" s="1">
        <v>9</v>
      </c>
      <c r="G920" s="1">
        <v>67695</v>
      </c>
      <c r="H920" s="1">
        <v>11</v>
      </c>
      <c r="I920" s="1">
        <v>35</v>
      </c>
      <c r="J920" s="1">
        <v>5</v>
      </c>
      <c r="K920" s="1">
        <v>86</v>
      </c>
      <c r="L920" s="1" t="s">
        <v>23</v>
      </c>
    </row>
    <row r="921" spans="1:12" x14ac:dyDescent="0.25">
      <c r="A921" s="1" t="s">
        <v>963</v>
      </c>
      <c r="B921" s="1" t="s">
        <v>45</v>
      </c>
      <c r="C921" s="1" t="s">
        <v>25</v>
      </c>
      <c r="D921" s="1">
        <v>38</v>
      </c>
      <c r="E921" s="1" t="s">
        <v>15</v>
      </c>
      <c r="F921" s="1">
        <v>2</v>
      </c>
      <c r="G921" s="1">
        <v>48337</v>
      </c>
      <c r="H921" s="1">
        <v>9</v>
      </c>
      <c r="I921" s="1">
        <v>41</v>
      </c>
      <c r="J921" s="1">
        <v>2</v>
      </c>
      <c r="K921" s="1">
        <v>97</v>
      </c>
      <c r="L921" s="1" t="s">
        <v>16</v>
      </c>
    </row>
    <row r="922" spans="1:12" x14ac:dyDescent="0.25">
      <c r="A922" s="1" t="s">
        <v>964</v>
      </c>
      <c r="B922" s="1" t="s">
        <v>45</v>
      </c>
      <c r="C922" s="1" t="s">
        <v>22</v>
      </c>
      <c r="D922" s="1">
        <v>23</v>
      </c>
      <c r="E922" s="1" t="s">
        <v>15</v>
      </c>
      <c r="F922" s="1">
        <v>5</v>
      </c>
      <c r="G922" s="1">
        <v>73375</v>
      </c>
      <c r="H922" s="1">
        <v>4</v>
      </c>
      <c r="I922" s="1">
        <v>43</v>
      </c>
      <c r="J922" s="1">
        <v>5</v>
      </c>
      <c r="K922" s="1">
        <v>93</v>
      </c>
      <c r="L922" s="1" t="s">
        <v>51</v>
      </c>
    </row>
    <row r="923" spans="1:12" x14ac:dyDescent="0.25">
      <c r="A923" s="1" t="s">
        <v>965</v>
      </c>
      <c r="B923" s="1" t="s">
        <v>31</v>
      </c>
      <c r="C923" s="1" t="s">
        <v>22</v>
      </c>
      <c r="D923" s="1">
        <v>30</v>
      </c>
      <c r="E923" s="1" t="s">
        <v>19</v>
      </c>
      <c r="F923" s="1">
        <v>2</v>
      </c>
      <c r="G923" s="1">
        <v>56311</v>
      </c>
      <c r="H923" s="1">
        <v>15</v>
      </c>
      <c r="I923" s="1">
        <v>43</v>
      </c>
      <c r="J923" s="1">
        <v>2</v>
      </c>
      <c r="K923" s="1">
        <v>91</v>
      </c>
      <c r="L923" s="1" t="s">
        <v>32</v>
      </c>
    </row>
    <row r="924" spans="1:12" x14ac:dyDescent="0.25">
      <c r="A924" s="1" t="s">
        <v>966</v>
      </c>
      <c r="B924" s="1" t="s">
        <v>77</v>
      </c>
      <c r="C924" s="1" t="s">
        <v>14</v>
      </c>
      <c r="D924" s="1">
        <v>28</v>
      </c>
      <c r="E924" s="1" t="s">
        <v>19</v>
      </c>
      <c r="F924" s="1">
        <v>3</v>
      </c>
      <c r="G924" s="1">
        <v>25039</v>
      </c>
      <c r="H924" s="1">
        <v>11</v>
      </c>
      <c r="I924" s="1">
        <v>45</v>
      </c>
      <c r="J924" s="1">
        <v>3</v>
      </c>
      <c r="K924" s="1">
        <v>95</v>
      </c>
      <c r="L924" s="1" t="s">
        <v>23</v>
      </c>
    </row>
    <row r="925" spans="1:12" x14ac:dyDescent="0.25">
      <c r="A925" s="1" t="s">
        <v>967</v>
      </c>
      <c r="B925" s="1" t="s">
        <v>21</v>
      </c>
      <c r="C925" s="1" t="s">
        <v>14</v>
      </c>
      <c r="D925" s="1">
        <v>35</v>
      </c>
      <c r="E925" s="1" t="s">
        <v>15</v>
      </c>
      <c r="F925" s="1">
        <v>15</v>
      </c>
      <c r="G925" s="1">
        <v>49071</v>
      </c>
      <c r="H925" s="1">
        <v>13</v>
      </c>
      <c r="I925" s="1">
        <v>45</v>
      </c>
      <c r="J925" s="1">
        <v>4</v>
      </c>
      <c r="K925" s="1">
        <v>96</v>
      </c>
      <c r="L925" s="1" t="s">
        <v>26</v>
      </c>
    </row>
    <row r="926" spans="1:12" x14ac:dyDescent="0.25">
      <c r="A926" s="1" t="s">
        <v>968</v>
      </c>
      <c r="B926" s="1" t="s">
        <v>81</v>
      </c>
      <c r="C926" s="1" t="s">
        <v>22</v>
      </c>
      <c r="D926" s="1">
        <v>26</v>
      </c>
      <c r="E926" s="1" t="s">
        <v>19</v>
      </c>
      <c r="F926" s="1">
        <v>6</v>
      </c>
      <c r="G926" s="1">
        <v>68941</v>
      </c>
      <c r="H926" s="1">
        <v>9</v>
      </c>
      <c r="I926" s="1">
        <v>37</v>
      </c>
      <c r="J926" s="1">
        <v>1</v>
      </c>
      <c r="K926" s="1">
        <v>100</v>
      </c>
      <c r="L926" s="1" t="s">
        <v>16</v>
      </c>
    </row>
    <row r="927" spans="1:12" x14ac:dyDescent="0.25">
      <c r="A927" s="1" t="s">
        <v>969</v>
      </c>
      <c r="B927" s="1" t="s">
        <v>36</v>
      </c>
      <c r="C927" s="1" t="s">
        <v>25</v>
      </c>
      <c r="D927" s="1">
        <v>22</v>
      </c>
      <c r="E927" s="1" t="s">
        <v>19</v>
      </c>
      <c r="F927" s="1">
        <v>8</v>
      </c>
      <c r="G927" s="1">
        <v>76243</v>
      </c>
      <c r="H927" s="1">
        <v>9</v>
      </c>
      <c r="I927" s="1">
        <v>35</v>
      </c>
      <c r="J927" s="1">
        <v>1</v>
      </c>
      <c r="K927" s="1">
        <v>95</v>
      </c>
      <c r="L927" s="1" t="s">
        <v>32</v>
      </c>
    </row>
    <row r="928" spans="1:12" x14ac:dyDescent="0.25">
      <c r="A928" s="1" t="s">
        <v>970</v>
      </c>
      <c r="B928" s="1" t="s">
        <v>65</v>
      </c>
      <c r="C928" s="1" t="s">
        <v>29</v>
      </c>
      <c r="D928" s="1">
        <v>34</v>
      </c>
      <c r="E928" s="1" t="s">
        <v>15</v>
      </c>
      <c r="F928" s="1">
        <v>13</v>
      </c>
      <c r="G928" s="1">
        <v>52079</v>
      </c>
      <c r="H928" s="1">
        <v>9</v>
      </c>
      <c r="I928" s="1">
        <v>44</v>
      </c>
      <c r="J928" s="1">
        <v>5</v>
      </c>
      <c r="K928" s="1">
        <v>99</v>
      </c>
      <c r="L928" s="1" t="s">
        <v>16</v>
      </c>
    </row>
    <row r="929" spans="1:12" x14ac:dyDescent="0.25">
      <c r="A929" s="1" t="s">
        <v>971</v>
      </c>
      <c r="B929" s="1" t="s">
        <v>89</v>
      </c>
      <c r="C929" s="1" t="s">
        <v>22</v>
      </c>
      <c r="D929" s="1">
        <v>33</v>
      </c>
      <c r="E929" s="1" t="s">
        <v>15</v>
      </c>
      <c r="F929" s="1">
        <v>9</v>
      </c>
      <c r="G929" s="1">
        <v>44916</v>
      </c>
      <c r="H929" s="1">
        <v>6</v>
      </c>
      <c r="I929" s="1">
        <v>39</v>
      </c>
      <c r="J929" s="1">
        <v>5</v>
      </c>
      <c r="K929" s="1">
        <v>94</v>
      </c>
      <c r="L929" s="1" t="s">
        <v>32</v>
      </c>
    </row>
    <row r="930" spans="1:12" x14ac:dyDescent="0.25">
      <c r="A930" s="1" t="s">
        <v>972</v>
      </c>
      <c r="B930" s="1" t="s">
        <v>77</v>
      </c>
      <c r="C930" s="1" t="s">
        <v>25</v>
      </c>
      <c r="D930" s="1">
        <v>31</v>
      </c>
      <c r="E930" s="1" t="s">
        <v>15</v>
      </c>
      <c r="F930" s="1">
        <v>9</v>
      </c>
      <c r="G930" s="1">
        <v>51740</v>
      </c>
      <c r="H930" s="1">
        <v>15</v>
      </c>
      <c r="I930" s="1">
        <v>45</v>
      </c>
      <c r="J930" s="1">
        <v>5</v>
      </c>
      <c r="K930" s="1">
        <v>89</v>
      </c>
      <c r="L930" s="1" t="s">
        <v>37</v>
      </c>
    </row>
    <row r="931" spans="1:12" x14ac:dyDescent="0.25">
      <c r="A931" s="1" t="s">
        <v>973</v>
      </c>
      <c r="B931" s="1" t="s">
        <v>63</v>
      </c>
      <c r="C931" s="1" t="s">
        <v>25</v>
      </c>
      <c r="D931" s="1">
        <v>28</v>
      </c>
      <c r="E931" s="1" t="s">
        <v>19</v>
      </c>
      <c r="F931" s="1">
        <v>9</v>
      </c>
      <c r="G931" s="1">
        <v>43242</v>
      </c>
      <c r="H931" s="1">
        <v>6</v>
      </c>
      <c r="I931" s="1">
        <v>35</v>
      </c>
      <c r="J931" s="1">
        <v>3</v>
      </c>
      <c r="K931" s="1">
        <v>93</v>
      </c>
      <c r="L931" s="1" t="s">
        <v>32</v>
      </c>
    </row>
    <row r="932" spans="1:12" x14ac:dyDescent="0.25">
      <c r="A932" s="1" t="s">
        <v>974</v>
      </c>
      <c r="B932" s="1" t="s">
        <v>77</v>
      </c>
      <c r="C932" s="1" t="s">
        <v>25</v>
      </c>
      <c r="D932" s="1">
        <v>25</v>
      </c>
      <c r="E932" s="1" t="s">
        <v>15</v>
      </c>
      <c r="F932" s="1">
        <v>8</v>
      </c>
      <c r="G932" s="1">
        <v>56769</v>
      </c>
      <c r="H932" s="1">
        <v>14</v>
      </c>
      <c r="I932" s="1">
        <v>46</v>
      </c>
      <c r="J932" s="1">
        <v>4</v>
      </c>
      <c r="K932" s="1">
        <v>89</v>
      </c>
      <c r="L932" s="1" t="s">
        <v>23</v>
      </c>
    </row>
    <row r="933" spans="1:12" x14ac:dyDescent="0.25">
      <c r="A933" s="1" t="s">
        <v>975</v>
      </c>
      <c r="B933" s="1" t="s">
        <v>70</v>
      </c>
      <c r="C933" s="1" t="s">
        <v>14</v>
      </c>
      <c r="D933" s="1">
        <v>23</v>
      </c>
      <c r="E933" s="1" t="s">
        <v>15</v>
      </c>
      <c r="F933" s="1">
        <v>1</v>
      </c>
      <c r="G933" s="1">
        <v>44696</v>
      </c>
      <c r="H933" s="1">
        <v>12</v>
      </c>
      <c r="I933" s="1">
        <v>50</v>
      </c>
      <c r="J933" s="1">
        <v>3</v>
      </c>
      <c r="K933" s="1">
        <v>87</v>
      </c>
      <c r="L933" s="1" t="s">
        <v>16</v>
      </c>
    </row>
    <row r="934" spans="1:12" x14ac:dyDescent="0.25">
      <c r="A934" s="1" t="s">
        <v>976</v>
      </c>
      <c r="B934" s="1" t="s">
        <v>43</v>
      </c>
      <c r="C934" s="1" t="s">
        <v>22</v>
      </c>
      <c r="D934" s="1">
        <v>30</v>
      </c>
      <c r="E934" s="1" t="s">
        <v>15</v>
      </c>
      <c r="F934" s="1">
        <v>4</v>
      </c>
      <c r="G934" s="1">
        <v>26403</v>
      </c>
      <c r="H934" s="1">
        <v>4</v>
      </c>
      <c r="I934" s="1">
        <v>42</v>
      </c>
      <c r="J934" s="1">
        <v>2</v>
      </c>
      <c r="K934" s="1">
        <v>95</v>
      </c>
      <c r="L934" s="1" t="s">
        <v>26</v>
      </c>
    </row>
    <row r="935" spans="1:12" x14ac:dyDescent="0.25">
      <c r="A935" s="1" t="s">
        <v>977</v>
      </c>
      <c r="B935" s="1" t="s">
        <v>53</v>
      </c>
      <c r="C935" s="1" t="s">
        <v>14</v>
      </c>
      <c r="D935" s="1">
        <v>35</v>
      </c>
      <c r="E935" s="1" t="s">
        <v>19</v>
      </c>
      <c r="F935" s="1">
        <v>11</v>
      </c>
      <c r="G935" s="1">
        <v>79196</v>
      </c>
      <c r="H935" s="1">
        <v>7</v>
      </c>
      <c r="I935" s="1">
        <v>46</v>
      </c>
      <c r="J935" s="1">
        <v>3</v>
      </c>
      <c r="K935" s="1">
        <v>97</v>
      </c>
      <c r="L935" s="1" t="s">
        <v>23</v>
      </c>
    </row>
    <row r="936" spans="1:12" x14ac:dyDescent="0.25">
      <c r="A936" s="1" t="s">
        <v>978</v>
      </c>
      <c r="B936" s="1" t="s">
        <v>94</v>
      </c>
      <c r="C936" s="1" t="s">
        <v>25</v>
      </c>
      <c r="D936" s="1">
        <v>34</v>
      </c>
      <c r="E936" s="1" t="s">
        <v>15</v>
      </c>
      <c r="F936" s="1">
        <v>6</v>
      </c>
      <c r="G936" s="1">
        <v>43906</v>
      </c>
      <c r="H936" s="1">
        <v>13</v>
      </c>
      <c r="I936" s="1">
        <v>41</v>
      </c>
      <c r="J936" s="1">
        <v>4</v>
      </c>
      <c r="K936" s="1">
        <v>88</v>
      </c>
      <c r="L936" s="1" t="s">
        <v>37</v>
      </c>
    </row>
    <row r="937" spans="1:12" x14ac:dyDescent="0.25">
      <c r="A937" s="1" t="s">
        <v>979</v>
      </c>
      <c r="B937" s="1" t="s">
        <v>70</v>
      </c>
      <c r="C937" s="1" t="s">
        <v>25</v>
      </c>
      <c r="D937" s="1">
        <v>36</v>
      </c>
      <c r="E937" s="1" t="s">
        <v>19</v>
      </c>
      <c r="F937" s="1">
        <v>10</v>
      </c>
      <c r="G937" s="1">
        <v>62179</v>
      </c>
      <c r="H937" s="1">
        <v>6</v>
      </c>
      <c r="I937" s="1">
        <v>44</v>
      </c>
      <c r="J937" s="1">
        <v>5</v>
      </c>
      <c r="K937" s="1">
        <v>90</v>
      </c>
      <c r="L937" s="1" t="s">
        <v>26</v>
      </c>
    </row>
    <row r="938" spans="1:12" x14ac:dyDescent="0.25">
      <c r="A938" s="1" t="s">
        <v>980</v>
      </c>
      <c r="B938" s="1" t="s">
        <v>36</v>
      </c>
      <c r="C938" s="1" t="s">
        <v>14</v>
      </c>
      <c r="D938" s="1">
        <v>28</v>
      </c>
      <c r="E938" s="1" t="s">
        <v>19</v>
      </c>
      <c r="F938" s="1">
        <v>12</v>
      </c>
      <c r="G938" s="1">
        <v>60304</v>
      </c>
      <c r="H938" s="1">
        <v>15</v>
      </c>
      <c r="I938" s="1">
        <v>46</v>
      </c>
      <c r="J938" s="1">
        <v>2</v>
      </c>
      <c r="K938" s="1">
        <v>97</v>
      </c>
      <c r="L938" s="1" t="s">
        <v>51</v>
      </c>
    </row>
    <row r="939" spans="1:12" x14ac:dyDescent="0.25">
      <c r="A939" s="1" t="s">
        <v>981</v>
      </c>
      <c r="B939" s="1" t="s">
        <v>21</v>
      </c>
      <c r="C939" s="1" t="s">
        <v>22</v>
      </c>
      <c r="D939" s="1">
        <v>38</v>
      </c>
      <c r="E939" s="1" t="s">
        <v>19</v>
      </c>
      <c r="F939" s="1">
        <v>5</v>
      </c>
      <c r="G939" s="1">
        <v>74614</v>
      </c>
      <c r="H939" s="1">
        <v>13</v>
      </c>
      <c r="I939" s="1">
        <v>40</v>
      </c>
      <c r="J939" s="1">
        <v>5</v>
      </c>
      <c r="K939" s="1">
        <v>85</v>
      </c>
      <c r="L939" s="1" t="s">
        <v>16</v>
      </c>
    </row>
    <row r="940" spans="1:12" x14ac:dyDescent="0.25">
      <c r="A940" s="1" t="s">
        <v>982</v>
      </c>
      <c r="B940" s="1" t="s">
        <v>13</v>
      </c>
      <c r="C940" s="1" t="s">
        <v>25</v>
      </c>
      <c r="D940" s="1">
        <v>37</v>
      </c>
      <c r="E940" s="1" t="s">
        <v>19</v>
      </c>
      <c r="F940" s="1">
        <v>8</v>
      </c>
      <c r="G940" s="1">
        <v>71183</v>
      </c>
      <c r="H940" s="1">
        <v>11</v>
      </c>
      <c r="I940" s="1">
        <v>39</v>
      </c>
      <c r="J940" s="1">
        <v>1</v>
      </c>
      <c r="K940" s="1">
        <v>100</v>
      </c>
      <c r="L940" s="1" t="s">
        <v>16</v>
      </c>
    </row>
    <row r="941" spans="1:12" x14ac:dyDescent="0.25">
      <c r="A941" s="1" t="s">
        <v>983</v>
      </c>
      <c r="B941" s="1" t="s">
        <v>77</v>
      </c>
      <c r="C941" s="1" t="s">
        <v>14</v>
      </c>
      <c r="D941" s="1">
        <v>29</v>
      </c>
      <c r="E941" s="1" t="s">
        <v>15</v>
      </c>
      <c r="F941" s="1">
        <v>2</v>
      </c>
      <c r="G941" s="1">
        <v>31566</v>
      </c>
      <c r="H941" s="1">
        <v>9</v>
      </c>
      <c r="I941" s="1">
        <v>48</v>
      </c>
      <c r="J941" s="1">
        <v>4</v>
      </c>
      <c r="K941" s="1">
        <v>100</v>
      </c>
      <c r="L941" s="1" t="s">
        <v>51</v>
      </c>
    </row>
    <row r="942" spans="1:12" x14ac:dyDescent="0.25">
      <c r="A942" s="1" t="s">
        <v>984</v>
      </c>
      <c r="B942" s="1" t="s">
        <v>31</v>
      </c>
      <c r="C942" s="1" t="s">
        <v>25</v>
      </c>
      <c r="D942" s="1">
        <v>30</v>
      </c>
      <c r="E942" s="1" t="s">
        <v>15</v>
      </c>
      <c r="F942" s="1">
        <v>7</v>
      </c>
      <c r="G942" s="1">
        <v>39617</v>
      </c>
      <c r="H942" s="1">
        <v>3</v>
      </c>
      <c r="I942" s="1">
        <v>46</v>
      </c>
      <c r="J942" s="1">
        <v>1</v>
      </c>
      <c r="K942" s="1">
        <v>87</v>
      </c>
      <c r="L942" s="1" t="s">
        <v>51</v>
      </c>
    </row>
    <row r="943" spans="1:12" x14ac:dyDescent="0.25">
      <c r="A943" s="1" t="s">
        <v>985</v>
      </c>
      <c r="B943" s="1" t="s">
        <v>40</v>
      </c>
      <c r="C943" s="1" t="s">
        <v>25</v>
      </c>
      <c r="D943" s="1">
        <v>25</v>
      </c>
      <c r="E943" s="1" t="s">
        <v>15</v>
      </c>
      <c r="F943" s="1">
        <v>11</v>
      </c>
      <c r="G943" s="1">
        <v>58690</v>
      </c>
      <c r="H943" s="1">
        <v>5</v>
      </c>
      <c r="I943" s="1">
        <v>48</v>
      </c>
      <c r="J943" s="1">
        <v>4</v>
      </c>
      <c r="K943" s="1">
        <v>92</v>
      </c>
      <c r="L943" s="1" t="s">
        <v>16</v>
      </c>
    </row>
    <row r="944" spans="1:12" x14ac:dyDescent="0.25">
      <c r="A944" s="1" t="s">
        <v>986</v>
      </c>
      <c r="B944" s="1" t="s">
        <v>45</v>
      </c>
      <c r="C944" s="1" t="s">
        <v>14</v>
      </c>
      <c r="D944" s="1">
        <v>35</v>
      </c>
      <c r="E944" s="1" t="s">
        <v>15</v>
      </c>
      <c r="F944" s="1">
        <v>14</v>
      </c>
      <c r="G944" s="1">
        <v>52496</v>
      </c>
      <c r="H944" s="1">
        <v>8</v>
      </c>
      <c r="I944" s="1">
        <v>43</v>
      </c>
      <c r="J944" s="1">
        <v>5</v>
      </c>
      <c r="K944" s="1">
        <v>97</v>
      </c>
      <c r="L944" s="1" t="s">
        <v>26</v>
      </c>
    </row>
    <row r="945" spans="1:12" x14ac:dyDescent="0.25">
      <c r="A945" s="1" t="s">
        <v>987</v>
      </c>
      <c r="B945" s="1" t="s">
        <v>70</v>
      </c>
      <c r="C945" s="1" t="s">
        <v>29</v>
      </c>
      <c r="D945" s="1">
        <v>39</v>
      </c>
      <c r="E945" s="1" t="s">
        <v>15</v>
      </c>
      <c r="F945" s="1">
        <v>11</v>
      </c>
      <c r="G945" s="1">
        <v>62072</v>
      </c>
      <c r="H945" s="1">
        <v>7</v>
      </c>
      <c r="I945" s="1">
        <v>42</v>
      </c>
      <c r="J945" s="1">
        <v>3</v>
      </c>
      <c r="K945" s="1">
        <v>90</v>
      </c>
      <c r="L945" s="1" t="s">
        <v>37</v>
      </c>
    </row>
    <row r="946" spans="1:12" x14ac:dyDescent="0.25">
      <c r="A946" s="1" t="s">
        <v>988</v>
      </c>
      <c r="B946" s="1" t="s">
        <v>13</v>
      </c>
      <c r="C946" s="1" t="s">
        <v>29</v>
      </c>
      <c r="D946" s="1">
        <v>22</v>
      </c>
      <c r="E946" s="1" t="s">
        <v>19</v>
      </c>
      <c r="F946" s="1">
        <v>1</v>
      </c>
      <c r="G946" s="1">
        <v>38608</v>
      </c>
      <c r="H946" s="1">
        <v>15</v>
      </c>
      <c r="I946" s="1">
        <v>38</v>
      </c>
      <c r="J946" s="1">
        <v>4</v>
      </c>
      <c r="K946" s="1">
        <v>96</v>
      </c>
      <c r="L946" s="1" t="s">
        <v>32</v>
      </c>
    </row>
    <row r="947" spans="1:12" x14ac:dyDescent="0.25">
      <c r="A947" s="1" t="s">
        <v>989</v>
      </c>
      <c r="B947" s="1" t="s">
        <v>94</v>
      </c>
      <c r="C947" s="1" t="s">
        <v>25</v>
      </c>
      <c r="D947" s="1">
        <v>31</v>
      </c>
      <c r="E947" s="1" t="s">
        <v>19</v>
      </c>
      <c r="F947" s="1">
        <v>1</v>
      </c>
      <c r="G947" s="1">
        <v>49205</v>
      </c>
      <c r="H947" s="1">
        <v>7</v>
      </c>
      <c r="I947" s="1">
        <v>48</v>
      </c>
      <c r="J947" s="1">
        <v>2</v>
      </c>
      <c r="K947" s="1">
        <v>93</v>
      </c>
      <c r="L947" s="1" t="s">
        <v>51</v>
      </c>
    </row>
    <row r="948" spans="1:12" x14ac:dyDescent="0.25">
      <c r="A948" s="1" t="s">
        <v>990</v>
      </c>
      <c r="B948" s="1" t="s">
        <v>75</v>
      </c>
      <c r="C948" s="1" t="s">
        <v>29</v>
      </c>
      <c r="D948" s="1">
        <v>37</v>
      </c>
      <c r="E948" s="1" t="s">
        <v>19</v>
      </c>
      <c r="F948" s="1">
        <v>7</v>
      </c>
      <c r="G948" s="1">
        <v>61685</v>
      </c>
      <c r="H948" s="1">
        <v>6</v>
      </c>
      <c r="I948" s="1">
        <v>49</v>
      </c>
      <c r="J948" s="1">
        <v>3</v>
      </c>
      <c r="K948" s="1">
        <v>86</v>
      </c>
      <c r="L948" s="1" t="s">
        <v>32</v>
      </c>
    </row>
    <row r="949" spans="1:12" x14ac:dyDescent="0.25">
      <c r="A949" s="1" t="s">
        <v>991</v>
      </c>
      <c r="B949" s="1" t="s">
        <v>89</v>
      </c>
      <c r="C949" s="1" t="s">
        <v>25</v>
      </c>
      <c r="D949" s="1">
        <v>24</v>
      </c>
      <c r="E949" s="1" t="s">
        <v>19</v>
      </c>
      <c r="F949" s="1">
        <v>12</v>
      </c>
      <c r="G949" s="1">
        <v>77647</v>
      </c>
      <c r="H949" s="1">
        <v>9</v>
      </c>
      <c r="I949" s="1">
        <v>40</v>
      </c>
      <c r="J949" s="1">
        <v>4</v>
      </c>
      <c r="K949" s="1">
        <v>98</v>
      </c>
      <c r="L949" s="1" t="s">
        <v>23</v>
      </c>
    </row>
    <row r="950" spans="1:12" x14ac:dyDescent="0.25">
      <c r="A950" s="1" t="s">
        <v>992</v>
      </c>
      <c r="B950" s="1" t="s">
        <v>13</v>
      </c>
      <c r="C950" s="1" t="s">
        <v>25</v>
      </c>
      <c r="D950" s="1">
        <v>36</v>
      </c>
      <c r="E950" s="1" t="s">
        <v>19</v>
      </c>
      <c r="F950" s="1">
        <v>5</v>
      </c>
      <c r="G950" s="1">
        <v>49089</v>
      </c>
      <c r="H950" s="1">
        <v>14</v>
      </c>
      <c r="I950" s="1">
        <v>41</v>
      </c>
      <c r="J950" s="1">
        <v>5</v>
      </c>
      <c r="K950" s="1">
        <v>98</v>
      </c>
      <c r="L950" s="1" t="s">
        <v>16</v>
      </c>
    </row>
    <row r="951" spans="1:12" x14ac:dyDescent="0.25">
      <c r="A951" s="1" t="s">
        <v>993</v>
      </c>
      <c r="B951" s="1" t="s">
        <v>18</v>
      </c>
      <c r="C951" s="1" t="s">
        <v>25</v>
      </c>
      <c r="D951" s="1">
        <v>27</v>
      </c>
      <c r="E951" s="1" t="s">
        <v>19</v>
      </c>
      <c r="F951" s="1">
        <v>4</v>
      </c>
      <c r="G951" s="1">
        <v>58350</v>
      </c>
      <c r="H951" s="1">
        <v>15</v>
      </c>
      <c r="I951" s="1">
        <v>46</v>
      </c>
      <c r="J951" s="1">
        <v>4</v>
      </c>
      <c r="K951" s="1">
        <v>88</v>
      </c>
      <c r="L951" s="1" t="s">
        <v>16</v>
      </c>
    </row>
    <row r="952" spans="1:12" x14ac:dyDescent="0.25">
      <c r="A952" s="1" t="s">
        <v>994</v>
      </c>
      <c r="B952" s="1" t="s">
        <v>34</v>
      </c>
      <c r="C952" s="1" t="s">
        <v>14</v>
      </c>
      <c r="D952" s="1">
        <v>31</v>
      </c>
      <c r="E952" s="1" t="s">
        <v>19</v>
      </c>
      <c r="F952" s="1">
        <v>6</v>
      </c>
      <c r="G952" s="1">
        <v>69943</v>
      </c>
      <c r="H952" s="1">
        <v>5</v>
      </c>
      <c r="I952" s="1">
        <v>37</v>
      </c>
      <c r="J952" s="1">
        <v>5</v>
      </c>
      <c r="K952" s="1">
        <v>87</v>
      </c>
      <c r="L952" s="1" t="s">
        <v>26</v>
      </c>
    </row>
    <row r="953" spans="1:12" x14ac:dyDescent="0.25">
      <c r="A953" s="1" t="s">
        <v>995</v>
      </c>
      <c r="B953" s="1" t="s">
        <v>21</v>
      </c>
      <c r="C953" s="1" t="s">
        <v>22</v>
      </c>
      <c r="D953" s="1">
        <v>28</v>
      </c>
      <c r="E953" s="1" t="s">
        <v>15</v>
      </c>
      <c r="F953" s="1">
        <v>2</v>
      </c>
      <c r="G953" s="1">
        <v>59803</v>
      </c>
      <c r="H953" s="1">
        <v>4</v>
      </c>
      <c r="I953" s="1">
        <v>40</v>
      </c>
      <c r="J953" s="1">
        <v>2</v>
      </c>
      <c r="K953" s="1">
        <v>89</v>
      </c>
      <c r="L953" s="1" t="s">
        <v>32</v>
      </c>
    </row>
    <row r="954" spans="1:12" x14ac:dyDescent="0.25">
      <c r="A954" s="1" t="s">
        <v>996</v>
      </c>
      <c r="B954" s="1" t="s">
        <v>40</v>
      </c>
      <c r="C954" s="1" t="s">
        <v>25</v>
      </c>
      <c r="D954" s="1">
        <v>35</v>
      </c>
      <c r="E954" s="1" t="s">
        <v>15</v>
      </c>
      <c r="F954" s="1">
        <v>6</v>
      </c>
      <c r="G954" s="1">
        <v>70256</v>
      </c>
      <c r="H954" s="1">
        <v>4</v>
      </c>
      <c r="I954" s="1">
        <v>40</v>
      </c>
      <c r="J954" s="1">
        <v>5</v>
      </c>
      <c r="K954" s="1">
        <v>87</v>
      </c>
      <c r="L954" s="1" t="s">
        <v>37</v>
      </c>
    </row>
    <row r="955" spans="1:12" x14ac:dyDescent="0.25">
      <c r="A955" s="1" t="s">
        <v>997</v>
      </c>
      <c r="B955" s="1" t="s">
        <v>81</v>
      </c>
      <c r="C955" s="1" t="s">
        <v>14</v>
      </c>
      <c r="D955" s="1">
        <v>31</v>
      </c>
      <c r="E955" s="1" t="s">
        <v>15</v>
      </c>
      <c r="F955" s="1">
        <v>8</v>
      </c>
      <c r="G955" s="1">
        <v>44255</v>
      </c>
      <c r="H955" s="1">
        <v>7</v>
      </c>
      <c r="I955" s="1">
        <v>40</v>
      </c>
      <c r="J955" s="1">
        <v>2</v>
      </c>
      <c r="K955" s="1">
        <v>91</v>
      </c>
      <c r="L955" s="1" t="s">
        <v>16</v>
      </c>
    </row>
    <row r="956" spans="1:12" x14ac:dyDescent="0.25">
      <c r="A956" s="1" t="s">
        <v>998</v>
      </c>
      <c r="B956" s="1" t="s">
        <v>77</v>
      </c>
      <c r="C956" s="1" t="s">
        <v>25</v>
      </c>
      <c r="D956" s="1">
        <v>39</v>
      </c>
      <c r="E956" s="1" t="s">
        <v>15</v>
      </c>
      <c r="F956" s="1">
        <v>4</v>
      </c>
      <c r="G956" s="1">
        <v>52802</v>
      </c>
      <c r="H956" s="1">
        <v>7</v>
      </c>
      <c r="I956" s="1">
        <v>36</v>
      </c>
      <c r="J956" s="1">
        <v>2</v>
      </c>
      <c r="K956" s="1">
        <v>86</v>
      </c>
      <c r="L956" s="1" t="s">
        <v>26</v>
      </c>
    </row>
    <row r="957" spans="1:12" x14ac:dyDescent="0.25">
      <c r="A957" s="1" t="s">
        <v>999</v>
      </c>
      <c r="B957" s="1" t="s">
        <v>53</v>
      </c>
      <c r="C957" s="1" t="s">
        <v>14</v>
      </c>
      <c r="D957" s="1">
        <v>33</v>
      </c>
      <c r="E957" s="1" t="s">
        <v>19</v>
      </c>
      <c r="F957" s="1">
        <v>4</v>
      </c>
      <c r="G957" s="1">
        <v>56514</v>
      </c>
      <c r="H957" s="1">
        <v>6</v>
      </c>
      <c r="I957" s="1">
        <v>41</v>
      </c>
      <c r="J957" s="1">
        <v>3</v>
      </c>
      <c r="K957" s="1">
        <v>90</v>
      </c>
      <c r="L957" s="1" t="s">
        <v>32</v>
      </c>
    </row>
    <row r="958" spans="1:12" x14ac:dyDescent="0.25">
      <c r="A958" s="1" t="s">
        <v>1000</v>
      </c>
      <c r="B958" s="1" t="s">
        <v>28</v>
      </c>
      <c r="C958" s="1" t="s">
        <v>14</v>
      </c>
      <c r="D958" s="1">
        <v>29</v>
      </c>
      <c r="E958" s="1" t="s">
        <v>15</v>
      </c>
      <c r="F958" s="1">
        <v>7</v>
      </c>
      <c r="G958" s="1">
        <v>42006</v>
      </c>
      <c r="H958" s="1">
        <v>10</v>
      </c>
      <c r="I958" s="1">
        <v>39</v>
      </c>
      <c r="J958" s="1">
        <v>4</v>
      </c>
      <c r="K958" s="1">
        <v>86</v>
      </c>
      <c r="L958" s="1" t="s">
        <v>32</v>
      </c>
    </row>
    <row r="959" spans="1:12" x14ac:dyDescent="0.25">
      <c r="A959" s="1" t="s">
        <v>1001</v>
      </c>
      <c r="B959" s="1" t="s">
        <v>53</v>
      </c>
      <c r="C959" s="1" t="s">
        <v>14</v>
      </c>
      <c r="D959" s="1">
        <v>23</v>
      </c>
      <c r="E959" s="1" t="s">
        <v>19</v>
      </c>
      <c r="F959" s="1">
        <v>15</v>
      </c>
      <c r="G959" s="1">
        <v>58893</v>
      </c>
      <c r="H959" s="1">
        <v>8</v>
      </c>
      <c r="I959" s="1">
        <v>37</v>
      </c>
      <c r="J959" s="1">
        <v>2</v>
      </c>
      <c r="K959" s="1">
        <v>90</v>
      </c>
      <c r="L959" s="1" t="s">
        <v>37</v>
      </c>
    </row>
    <row r="960" spans="1:12" x14ac:dyDescent="0.25">
      <c r="A960" s="1" t="s">
        <v>1002</v>
      </c>
      <c r="B960" s="1" t="s">
        <v>65</v>
      </c>
      <c r="C960" s="1" t="s">
        <v>22</v>
      </c>
      <c r="D960" s="1">
        <v>27</v>
      </c>
      <c r="E960" s="1" t="s">
        <v>19</v>
      </c>
      <c r="F960" s="1">
        <v>10</v>
      </c>
      <c r="G960" s="1">
        <v>38105</v>
      </c>
      <c r="H960" s="1">
        <v>8</v>
      </c>
      <c r="I960" s="1">
        <v>35</v>
      </c>
      <c r="J960" s="1">
        <v>1</v>
      </c>
      <c r="K960" s="1">
        <v>93</v>
      </c>
      <c r="L960" s="1" t="s">
        <v>32</v>
      </c>
    </row>
    <row r="961" spans="1:12" x14ac:dyDescent="0.25">
      <c r="A961" s="1" t="s">
        <v>1003</v>
      </c>
      <c r="B961" s="1" t="s">
        <v>89</v>
      </c>
      <c r="C961" s="1" t="s">
        <v>14</v>
      </c>
      <c r="D961" s="1">
        <v>24</v>
      </c>
      <c r="E961" s="1" t="s">
        <v>19</v>
      </c>
      <c r="F961" s="1">
        <v>13</v>
      </c>
      <c r="G961" s="1">
        <v>50111</v>
      </c>
      <c r="H961" s="1">
        <v>15</v>
      </c>
      <c r="I961" s="1">
        <v>47</v>
      </c>
      <c r="J961" s="1">
        <v>1</v>
      </c>
      <c r="K961" s="1">
        <v>88</v>
      </c>
      <c r="L961" s="1" t="s">
        <v>32</v>
      </c>
    </row>
    <row r="962" spans="1:12" x14ac:dyDescent="0.25">
      <c r="A962" s="1" t="s">
        <v>1004</v>
      </c>
      <c r="B962" s="1" t="s">
        <v>40</v>
      </c>
      <c r="C962" s="1" t="s">
        <v>25</v>
      </c>
      <c r="D962" s="1">
        <v>40</v>
      </c>
      <c r="E962" s="1" t="s">
        <v>19</v>
      </c>
      <c r="F962" s="1">
        <v>1</v>
      </c>
      <c r="G962" s="1">
        <v>67683</v>
      </c>
      <c r="H962" s="1">
        <v>9</v>
      </c>
      <c r="I962" s="1">
        <v>44</v>
      </c>
      <c r="J962" s="1">
        <v>3</v>
      </c>
      <c r="K962" s="1">
        <v>97</v>
      </c>
      <c r="L962" s="1" t="s">
        <v>32</v>
      </c>
    </row>
    <row r="963" spans="1:12" x14ac:dyDescent="0.25">
      <c r="A963" s="1" t="s">
        <v>1005</v>
      </c>
      <c r="B963" s="1" t="s">
        <v>31</v>
      </c>
      <c r="C963" s="1" t="s">
        <v>29</v>
      </c>
      <c r="D963" s="1">
        <v>26</v>
      </c>
      <c r="E963" s="1" t="s">
        <v>19</v>
      </c>
      <c r="F963" s="1">
        <v>6</v>
      </c>
      <c r="G963" s="1">
        <v>27166</v>
      </c>
      <c r="H963" s="1">
        <v>5</v>
      </c>
      <c r="I963" s="1">
        <v>44</v>
      </c>
      <c r="J963" s="1">
        <v>3</v>
      </c>
      <c r="K963" s="1">
        <v>100</v>
      </c>
      <c r="L963" s="1" t="s">
        <v>16</v>
      </c>
    </row>
    <row r="964" spans="1:12" x14ac:dyDescent="0.25">
      <c r="A964" s="1" t="s">
        <v>1006</v>
      </c>
      <c r="B964" s="1" t="s">
        <v>13</v>
      </c>
      <c r="C964" s="1" t="s">
        <v>25</v>
      </c>
      <c r="D964" s="1">
        <v>37</v>
      </c>
      <c r="E964" s="1" t="s">
        <v>19</v>
      </c>
      <c r="F964" s="1">
        <v>1</v>
      </c>
      <c r="G964" s="1">
        <v>67533</v>
      </c>
      <c r="H964" s="1">
        <v>11</v>
      </c>
      <c r="I964" s="1">
        <v>35</v>
      </c>
      <c r="J964" s="1">
        <v>3</v>
      </c>
      <c r="K964" s="1">
        <v>98</v>
      </c>
      <c r="L964" s="1" t="s">
        <v>26</v>
      </c>
    </row>
    <row r="965" spans="1:12" x14ac:dyDescent="0.25">
      <c r="A965" s="1" t="s">
        <v>1007</v>
      </c>
      <c r="B965" s="1" t="s">
        <v>43</v>
      </c>
      <c r="C965" s="1" t="s">
        <v>14</v>
      </c>
      <c r="D965" s="1">
        <v>22</v>
      </c>
      <c r="E965" s="1" t="s">
        <v>19</v>
      </c>
      <c r="F965" s="1">
        <v>15</v>
      </c>
      <c r="G965" s="1">
        <v>60768</v>
      </c>
      <c r="H965" s="1">
        <v>3</v>
      </c>
      <c r="I965" s="1">
        <v>41</v>
      </c>
      <c r="J965" s="1">
        <v>4</v>
      </c>
      <c r="K965" s="1">
        <v>92</v>
      </c>
      <c r="L965" s="1" t="s">
        <v>51</v>
      </c>
    </row>
    <row r="966" spans="1:12" x14ac:dyDescent="0.25">
      <c r="A966" s="1" t="s">
        <v>1008</v>
      </c>
      <c r="B966" s="1" t="s">
        <v>75</v>
      </c>
      <c r="C966" s="1" t="s">
        <v>22</v>
      </c>
      <c r="D966" s="1">
        <v>38</v>
      </c>
      <c r="E966" s="1" t="s">
        <v>15</v>
      </c>
      <c r="F966" s="1">
        <v>6</v>
      </c>
      <c r="G966" s="1">
        <v>54672</v>
      </c>
      <c r="H966" s="1">
        <v>7</v>
      </c>
      <c r="I966" s="1">
        <v>46</v>
      </c>
      <c r="J966" s="1">
        <v>1</v>
      </c>
      <c r="K966" s="1">
        <v>87</v>
      </c>
      <c r="L966" s="1" t="s">
        <v>32</v>
      </c>
    </row>
    <row r="967" spans="1:12" x14ac:dyDescent="0.25">
      <c r="A967" s="1" t="s">
        <v>1009</v>
      </c>
      <c r="B967" s="1" t="s">
        <v>94</v>
      </c>
      <c r="C967" s="1" t="s">
        <v>22</v>
      </c>
      <c r="D967" s="1">
        <v>26</v>
      </c>
      <c r="E967" s="1" t="s">
        <v>19</v>
      </c>
      <c r="F967" s="1">
        <v>10</v>
      </c>
      <c r="G967" s="1">
        <v>28084</v>
      </c>
      <c r="H967" s="1">
        <v>14</v>
      </c>
      <c r="I967" s="1">
        <v>45</v>
      </c>
      <c r="J967" s="1">
        <v>2</v>
      </c>
      <c r="K967" s="1">
        <v>89</v>
      </c>
      <c r="L967" s="1" t="s">
        <v>26</v>
      </c>
    </row>
    <row r="968" spans="1:12" x14ac:dyDescent="0.25">
      <c r="A968" s="1" t="s">
        <v>1010</v>
      </c>
      <c r="B968" s="1" t="s">
        <v>63</v>
      </c>
      <c r="C968" s="1" t="s">
        <v>25</v>
      </c>
      <c r="D968" s="1">
        <v>22</v>
      </c>
      <c r="E968" s="1" t="s">
        <v>15</v>
      </c>
      <c r="F968" s="1">
        <v>10</v>
      </c>
      <c r="G968" s="1">
        <v>42757</v>
      </c>
      <c r="H968" s="1">
        <v>9</v>
      </c>
      <c r="I968" s="1">
        <v>36</v>
      </c>
      <c r="J968" s="1">
        <v>3</v>
      </c>
      <c r="K968" s="1">
        <v>86</v>
      </c>
      <c r="L968" s="1" t="s">
        <v>37</v>
      </c>
    </row>
    <row r="969" spans="1:12" x14ac:dyDescent="0.25">
      <c r="A969" s="1" t="s">
        <v>1011</v>
      </c>
      <c r="B969" s="1" t="s">
        <v>77</v>
      </c>
      <c r="C969" s="1" t="s">
        <v>29</v>
      </c>
      <c r="D969" s="1">
        <v>40</v>
      </c>
      <c r="E969" s="1" t="s">
        <v>15</v>
      </c>
      <c r="F969" s="1">
        <v>11</v>
      </c>
      <c r="G969" s="1">
        <v>33901</v>
      </c>
      <c r="H969" s="1">
        <v>9</v>
      </c>
      <c r="I969" s="1">
        <v>46</v>
      </c>
      <c r="J969" s="1">
        <v>2</v>
      </c>
      <c r="K969" s="1">
        <v>86</v>
      </c>
      <c r="L969" s="1" t="s">
        <v>32</v>
      </c>
    </row>
    <row r="970" spans="1:12" x14ac:dyDescent="0.25">
      <c r="A970" s="1" t="s">
        <v>1012</v>
      </c>
      <c r="B970" s="1" t="s">
        <v>65</v>
      </c>
      <c r="C970" s="1" t="s">
        <v>14</v>
      </c>
      <c r="D970" s="1">
        <v>40</v>
      </c>
      <c r="E970" s="1" t="s">
        <v>15</v>
      </c>
      <c r="F970" s="1">
        <v>11</v>
      </c>
      <c r="G970" s="1">
        <v>57298</v>
      </c>
      <c r="H970" s="1">
        <v>8</v>
      </c>
      <c r="I970" s="1">
        <v>36</v>
      </c>
      <c r="J970" s="1">
        <v>3</v>
      </c>
      <c r="K970" s="1">
        <v>85</v>
      </c>
      <c r="L970" s="1" t="s">
        <v>32</v>
      </c>
    </row>
    <row r="971" spans="1:12" x14ac:dyDescent="0.25">
      <c r="A971" s="1" t="s">
        <v>1013</v>
      </c>
      <c r="B971" s="1" t="s">
        <v>31</v>
      </c>
      <c r="C971" s="1" t="s">
        <v>25</v>
      </c>
      <c r="D971" s="1">
        <v>37</v>
      </c>
      <c r="E971" s="1" t="s">
        <v>19</v>
      </c>
      <c r="F971" s="1">
        <v>12</v>
      </c>
      <c r="G971" s="1">
        <v>35143</v>
      </c>
      <c r="H971" s="1">
        <v>15</v>
      </c>
      <c r="I971" s="1">
        <v>48</v>
      </c>
      <c r="J971" s="1">
        <v>5</v>
      </c>
      <c r="K971" s="1">
        <v>96</v>
      </c>
      <c r="L971" s="1" t="s">
        <v>37</v>
      </c>
    </row>
    <row r="972" spans="1:12" x14ac:dyDescent="0.25">
      <c r="A972" s="1" t="s">
        <v>1014</v>
      </c>
      <c r="B972" s="1" t="s">
        <v>89</v>
      </c>
      <c r="C972" s="1" t="s">
        <v>25</v>
      </c>
      <c r="D972" s="1">
        <v>34</v>
      </c>
      <c r="E972" s="1" t="s">
        <v>15</v>
      </c>
      <c r="F972" s="1">
        <v>3</v>
      </c>
      <c r="G972" s="1">
        <v>34785</v>
      </c>
      <c r="H972" s="1">
        <v>13</v>
      </c>
      <c r="I972" s="1">
        <v>50</v>
      </c>
      <c r="J972" s="1">
        <v>3</v>
      </c>
      <c r="K972" s="1">
        <v>94</v>
      </c>
      <c r="L972" s="1" t="s">
        <v>37</v>
      </c>
    </row>
    <row r="973" spans="1:12" x14ac:dyDescent="0.25">
      <c r="A973" s="1" t="s">
        <v>1015</v>
      </c>
      <c r="B973" s="1" t="s">
        <v>63</v>
      </c>
      <c r="C973" s="1" t="s">
        <v>29</v>
      </c>
      <c r="D973" s="1">
        <v>28</v>
      </c>
      <c r="E973" s="1" t="s">
        <v>15</v>
      </c>
      <c r="F973" s="1">
        <v>6</v>
      </c>
      <c r="G973" s="1">
        <v>32498</v>
      </c>
      <c r="H973" s="1">
        <v>10</v>
      </c>
      <c r="I973" s="1">
        <v>47</v>
      </c>
      <c r="J973" s="1">
        <v>1</v>
      </c>
      <c r="K973" s="1">
        <v>90</v>
      </c>
      <c r="L973" s="1" t="s">
        <v>16</v>
      </c>
    </row>
    <row r="974" spans="1:12" x14ac:dyDescent="0.25">
      <c r="A974" s="1" t="s">
        <v>1016</v>
      </c>
      <c r="B974" s="1" t="s">
        <v>70</v>
      </c>
      <c r="C974" s="1" t="s">
        <v>14</v>
      </c>
      <c r="D974" s="1">
        <v>27</v>
      </c>
      <c r="E974" s="1" t="s">
        <v>19</v>
      </c>
      <c r="F974" s="1">
        <v>13</v>
      </c>
      <c r="G974" s="1">
        <v>60204</v>
      </c>
      <c r="H974" s="1">
        <v>15</v>
      </c>
      <c r="I974" s="1">
        <v>43</v>
      </c>
      <c r="J974" s="1">
        <v>1</v>
      </c>
      <c r="K974" s="1">
        <v>91</v>
      </c>
      <c r="L974" s="1" t="s">
        <v>23</v>
      </c>
    </row>
    <row r="975" spans="1:12" x14ac:dyDescent="0.25">
      <c r="A975" s="1" t="s">
        <v>1017</v>
      </c>
      <c r="B975" s="1" t="s">
        <v>83</v>
      </c>
      <c r="C975" s="1" t="s">
        <v>22</v>
      </c>
      <c r="D975" s="1">
        <v>29</v>
      </c>
      <c r="E975" s="1" t="s">
        <v>15</v>
      </c>
      <c r="F975" s="1">
        <v>7</v>
      </c>
      <c r="G975" s="1">
        <v>39620</v>
      </c>
      <c r="H975" s="1">
        <v>6</v>
      </c>
      <c r="I975" s="1">
        <v>45</v>
      </c>
      <c r="J975" s="1">
        <v>1</v>
      </c>
      <c r="K975" s="1">
        <v>100</v>
      </c>
      <c r="L975" s="1" t="s">
        <v>37</v>
      </c>
    </row>
    <row r="976" spans="1:12" x14ac:dyDescent="0.25">
      <c r="A976" s="1" t="s">
        <v>1018</v>
      </c>
      <c r="B976" s="1" t="s">
        <v>34</v>
      </c>
      <c r="C976" s="1" t="s">
        <v>25</v>
      </c>
      <c r="D976" s="1">
        <v>34</v>
      </c>
      <c r="E976" s="1" t="s">
        <v>19</v>
      </c>
      <c r="F976" s="1">
        <v>10</v>
      </c>
      <c r="G976" s="1">
        <v>54085</v>
      </c>
      <c r="H976" s="1">
        <v>14</v>
      </c>
      <c r="I976" s="1">
        <v>40</v>
      </c>
      <c r="J976" s="1">
        <v>2</v>
      </c>
      <c r="K976" s="1">
        <v>86</v>
      </c>
      <c r="L976" s="1" t="s">
        <v>32</v>
      </c>
    </row>
    <row r="977" spans="1:12" x14ac:dyDescent="0.25">
      <c r="A977" s="1" t="s">
        <v>1019</v>
      </c>
      <c r="B977" s="1" t="s">
        <v>13</v>
      </c>
      <c r="C977" s="1" t="s">
        <v>22</v>
      </c>
      <c r="D977" s="1">
        <v>23</v>
      </c>
      <c r="E977" s="1" t="s">
        <v>15</v>
      </c>
      <c r="F977" s="1">
        <v>8</v>
      </c>
      <c r="G977" s="1">
        <v>45845</v>
      </c>
      <c r="H977" s="1">
        <v>3</v>
      </c>
      <c r="I977" s="1">
        <v>40</v>
      </c>
      <c r="J977" s="1">
        <v>1</v>
      </c>
      <c r="K977" s="1">
        <v>85</v>
      </c>
      <c r="L977" s="1" t="s">
        <v>16</v>
      </c>
    </row>
    <row r="978" spans="1:12" x14ac:dyDescent="0.25">
      <c r="A978" s="1" t="s">
        <v>1020</v>
      </c>
      <c r="B978" s="1" t="s">
        <v>28</v>
      </c>
      <c r="C978" s="1" t="s">
        <v>22</v>
      </c>
      <c r="D978" s="1">
        <v>27</v>
      </c>
      <c r="E978" s="1" t="s">
        <v>19</v>
      </c>
      <c r="F978" s="1">
        <v>11</v>
      </c>
      <c r="G978" s="1">
        <v>50498</v>
      </c>
      <c r="H978" s="1">
        <v>9</v>
      </c>
      <c r="I978" s="1">
        <v>38</v>
      </c>
      <c r="J978" s="1">
        <v>4</v>
      </c>
      <c r="K978" s="1">
        <v>85</v>
      </c>
      <c r="L978" s="1" t="s">
        <v>26</v>
      </c>
    </row>
    <row r="979" spans="1:12" x14ac:dyDescent="0.25">
      <c r="A979" s="1" t="s">
        <v>1021</v>
      </c>
      <c r="B979" s="1" t="s">
        <v>65</v>
      </c>
      <c r="C979" s="1" t="s">
        <v>22</v>
      </c>
      <c r="D979" s="1">
        <v>24</v>
      </c>
      <c r="E979" s="1" t="s">
        <v>19</v>
      </c>
      <c r="F979" s="1">
        <v>11</v>
      </c>
      <c r="G979" s="1">
        <v>48408</v>
      </c>
      <c r="H979" s="1">
        <v>8</v>
      </c>
      <c r="I979" s="1">
        <v>36</v>
      </c>
      <c r="J979" s="1">
        <v>2</v>
      </c>
      <c r="K979" s="1">
        <v>93</v>
      </c>
      <c r="L979" s="1" t="s">
        <v>23</v>
      </c>
    </row>
    <row r="980" spans="1:12" x14ac:dyDescent="0.25">
      <c r="A980" s="1" t="s">
        <v>1022</v>
      </c>
      <c r="B980" s="1" t="s">
        <v>36</v>
      </c>
      <c r="C980" s="1" t="s">
        <v>25</v>
      </c>
      <c r="D980" s="1">
        <v>32</v>
      </c>
      <c r="E980" s="1" t="s">
        <v>15</v>
      </c>
      <c r="F980" s="1">
        <v>13</v>
      </c>
      <c r="G980" s="1">
        <v>70733</v>
      </c>
      <c r="H980" s="1">
        <v>6</v>
      </c>
      <c r="I980" s="1">
        <v>35</v>
      </c>
      <c r="J980" s="1">
        <v>4</v>
      </c>
      <c r="K980" s="1">
        <v>93</v>
      </c>
      <c r="L980" s="1" t="s">
        <v>51</v>
      </c>
    </row>
    <row r="981" spans="1:12" x14ac:dyDescent="0.25">
      <c r="A981" s="1" t="s">
        <v>1023</v>
      </c>
      <c r="B981" s="1" t="s">
        <v>43</v>
      </c>
      <c r="C981" s="1" t="s">
        <v>14</v>
      </c>
      <c r="D981" s="1">
        <v>38</v>
      </c>
      <c r="E981" s="1" t="s">
        <v>15</v>
      </c>
      <c r="F981" s="1">
        <v>9</v>
      </c>
      <c r="G981" s="1">
        <v>66138</v>
      </c>
      <c r="H981" s="1">
        <v>15</v>
      </c>
      <c r="I981" s="1">
        <v>48</v>
      </c>
      <c r="J981" s="1">
        <v>4</v>
      </c>
      <c r="K981" s="1">
        <v>99</v>
      </c>
      <c r="L981" s="1" t="s">
        <v>23</v>
      </c>
    </row>
    <row r="982" spans="1:12" x14ac:dyDescent="0.25">
      <c r="A982" s="1" t="s">
        <v>1024</v>
      </c>
      <c r="B982" s="1" t="s">
        <v>94</v>
      </c>
      <c r="C982" s="1" t="s">
        <v>22</v>
      </c>
      <c r="D982" s="1">
        <v>23</v>
      </c>
      <c r="E982" s="1" t="s">
        <v>15</v>
      </c>
      <c r="F982" s="1">
        <v>5</v>
      </c>
      <c r="G982" s="1">
        <v>72626</v>
      </c>
      <c r="H982" s="1">
        <v>5</v>
      </c>
      <c r="I982" s="1">
        <v>36</v>
      </c>
      <c r="J982" s="1">
        <v>3</v>
      </c>
      <c r="K982" s="1">
        <v>99</v>
      </c>
      <c r="L982" s="1" t="s">
        <v>26</v>
      </c>
    </row>
    <row r="983" spans="1:12" x14ac:dyDescent="0.25">
      <c r="A983" s="1" t="s">
        <v>1025</v>
      </c>
      <c r="B983" s="1" t="s">
        <v>21</v>
      </c>
      <c r="C983" s="1" t="s">
        <v>29</v>
      </c>
      <c r="D983" s="1">
        <v>40</v>
      </c>
      <c r="E983" s="1" t="s">
        <v>15</v>
      </c>
      <c r="F983" s="1">
        <v>11</v>
      </c>
      <c r="G983" s="1">
        <v>55919</v>
      </c>
      <c r="H983" s="1">
        <v>5</v>
      </c>
      <c r="I983" s="1">
        <v>40</v>
      </c>
      <c r="J983" s="1">
        <v>5</v>
      </c>
      <c r="K983" s="1">
        <v>92</v>
      </c>
      <c r="L983" s="1" t="s">
        <v>16</v>
      </c>
    </row>
    <row r="984" spans="1:12" x14ac:dyDescent="0.25">
      <c r="A984" s="1" t="s">
        <v>1026</v>
      </c>
      <c r="B984" s="1" t="s">
        <v>77</v>
      </c>
      <c r="C984" s="1" t="s">
        <v>29</v>
      </c>
      <c r="D984" s="1">
        <v>28</v>
      </c>
      <c r="E984" s="1" t="s">
        <v>15</v>
      </c>
      <c r="F984" s="1">
        <v>11</v>
      </c>
      <c r="G984" s="1">
        <v>43243</v>
      </c>
      <c r="H984" s="1">
        <v>8</v>
      </c>
      <c r="I984" s="1">
        <v>36</v>
      </c>
      <c r="J984" s="1">
        <v>3</v>
      </c>
      <c r="K984" s="1">
        <v>91</v>
      </c>
      <c r="L984" s="1" t="s">
        <v>37</v>
      </c>
    </row>
    <row r="985" spans="1:12" x14ac:dyDescent="0.25">
      <c r="A985" s="1" t="s">
        <v>1027</v>
      </c>
      <c r="B985" s="1" t="s">
        <v>43</v>
      </c>
      <c r="C985" s="1" t="s">
        <v>29</v>
      </c>
      <c r="D985" s="1">
        <v>28</v>
      </c>
      <c r="E985" s="1" t="s">
        <v>19</v>
      </c>
      <c r="F985" s="1">
        <v>1</v>
      </c>
      <c r="G985" s="1">
        <v>35419</v>
      </c>
      <c r="H985" s="1">
        <v>11</v>
      </c>
      <c r="I985" s="1">
        <v>40</v>
      </c>
      <c r="J985" s="1">
        <v>3</v>
      </c>
      <c r="K985" s="1">
        <v>85</v>
      </c>
      <c r="L985" s="1" t="s">
        <v>16</v>
      </c>
    </row>
    <row r="986" spans="1:12" x14ac:dyDescent="0.25">
      <c r="A986" s="1" t="s">
        <v>1028</v>
      </c>
      <c r="B986" s="1" t="s">
        <v>53</v>
      </c>
      <c r="C986" s="1" t="s">
        <v>29</v>
      </c>
      <c r="D986" s="1">
        <v>25</v>
      </c>
      <c r="E986" s="1" t="s">
        <v>19</v>
      </c>
      <c r="F986" s="1">
        <v>14</v>
      </c>
      <c r="G986" s="1">
        <v>69787</v>
      </c>
      <c r="H986" s="1">
        <v>9</v>
      </c>
      <c r="I986" s="1">
        <v>35</v>
      </c>
      <c r="J986" s="1">
        <v>5</v>
      </c>
      <c r="K986" s="1">
        <v>87</v>
      </c>
      <c r="L986" s="1" t="s">
        <v>16</v>
      </c>
    </row>
    <row r="987" spans="1:12" x14ac:dyDescent="0.25">
      <c r="A987" s="1" t="s">
        <v>1029</v>
      </c>
      <c r="B987" s="1" t="s">
        <v>40</v>
      </c>
      <c r="C987" s="1" t="s">
        <v>14</v>
      </c>
      <c r="D987" s="1">
        <v>34</v>
      </c>
      <c r="E987" s="1" t="s">
        <v>19</v>
      </c>
      <c r="F987" s="1">
        <v>2</v>
      </c>
      <c r="G987" s="1">
        <v>63879</v>
      </c>
      <c r="H987" s="1">
        <v>15</v>
      </c>
      <c r="I987" s="1">
        <v>40</v>
      </c>
      <c r="J987" s="1">
        <v>3</v>
      </c>
      <c r="K987" s="1">
        <v>95</v>
      </c>
      <c r="L987" s="1" t="s">
        <v>26</v>
      </c>
    </row>
    <row r="988" spans="1:12" x14ac:dyDescent="0.25">
      <c r="A988" s="1" t="s">
        <v>1030</v>
      </c>
      <c r="B988" s="1" t="s">
        <v>77</v>
      </c>
      <c r="C988" s="1" t="s">
        <v>22</v>
      </c>
      <c r="D988" s="1">
        <v>26</v>
      </c>
      <c r="E988" s="1" t="s">
        <v>19</v>
      </c>
      <c r="F988" s="1">
        <v>4</v>
      </c>
      <c r="G988" s="1">
        <v>76713</v>
      </c>
      <c r="H988" s="1">
        <v>8</v>
      </c>
      <c r="I988" s="1">
        <v>46</v>
      </c>
      <c r="J988" s="1">
        <v>1</v>
      </c>
      <c r="K988" s="1">
        <v>90</v>
      </c>
      <c r="L988" s="1" t="s">
        <v>26</v>
      </c>
    </row>
    <row r="989" spans="1:12" x14ac:dyDescent="0.25">
      <c r="A989" s="1" t="s">
        <v>1031</v>
      </c>
      <c r="B989" s="1" t="s">
        <v>77</v>
      </c>
      <c r="C989" s="1" t="s">
        <v>25</v>
      </c>
      <c r="D989" s="1">
        <v>23</v>
      </c>
      <c r="E989" s="1" t="s">
        <v>19</v>
      </c>
      <c r="F989" s="1">
        <v>4</v>
      </c>
      <c r="G989" s="1">
        <v>68718</v>
      </c>
      <c r="H989" s="1">
        <v>7</v>
      </c>
      <c r="I989" s="1">
        <v>36</v>
      </c>
      <c r="J989" s="1">
        <v>4</v>
      </c>
      <c r="K989" s="1">
        <v>86</v>
      </c>
      <c r="L989" s="1" t="s">
        <v>16</v>
      </c>
    </row>
    <row r="990" spans="1:12" x14ac:dyDescent="0.25">
      <c r="A990" s="1" t="s">
        <v>1032</v>
      </c>
      <c r="B990" s="1" t="s">
        <v>63</v>
      </c>
      <c r="C990" s="1" t="s">
        <v>14</v>
      </c>
      <c r="D990" s="1">
        <v>24</v>
      </c>
      <c r="E990" s="1" t="s">
        <v>15</v>
      </c>
      <c r="F990" s="1">
        <v>11</v>
      </c>
      <c r="G990" s="1">
        <v>46582</v>
      </c>
      <c r="H990" s="1">
        <v>15</v>
      </c>
      <c r="I990" s="1">
        <v>43</v>
      </c>
      <c r="J990" s="1">
        <v>3</v>
      </c>
      <c r="K990" s="1">
        <v>89</v>
      </c>
      <c r="L990" s="1" t="s">
        <v>26</v>
      </c>
    </row>
    <row r="991" spans="1:12" x14ac:dyDescent="0.25">
      <c r="A991" s="1" t="s">
        <v>1033</v>
      </c>
      <c r="B991" s="1" t="s">
        <v>36</v>
      </c>
      <c r="C991" s="1" t="s">
        <v>29</v>
      </c>
      <c r="D991" s="1">
        <v>37</v>
      </c>
      <c r="E991" s="1" t="s">
        <v>19</v>
      </c>
      <c r="F991" s="1">
        <v>4</v>
      </c>
      <c r="G991" s="1">
        <v>67468</v>
      </c>
      <c r="H991" s="1">
        <v>15</v>
      </c>
      <c r="I991" s="1">
        <v>36</v>
      </c>
      <c r="J991" s="1">
        <v>3</v>
      </c>
      <c r="K991" s="1">
        <v>95</v>
      </c>
      <c r="L991" s="1" t="s">
        <v>37</v>
      </c>
    </row>
    <row r="992" spans="1:12" x14ac:dyDescent="0.25">
      <c r="A992" s="1" t="s">
        <v>1034</v>
      </c>
      <c r="B992" s="1" t="s">
        <v>13</v>
      </c>
      <c r="C992" s="1" t="s">
        <v>22</v>
      </c>
      <c r="D992" s="1">
        <v>25</v>
      </c>
      <c r="E992" s="1" t="s">
        <v>15</v>
      </c>
      <c r="F992" s="1">
        <v>8</v>
      </c>
      <c r="G992" s="1">
        <v>54822</v>
      </c>
      <c r="H992" s="1">
        <v>5</v>
      </c>
      <c r="I992" s="1">
        <v>40</v>
      </c>
      <c r="J992" s="1">
        <v>2</v>
      </c>
      <c r="K992" s="1">
        <v>92</v>
      </c>
      <c r="L992" s="1" t="s">
        <v>32</v>
      </c>
    </row>
    <row r="993" spans="1:12" x14ac:dyDescent="0.25">
      <c r="A993" s="1" t="s">
        <v>1035</v>
      </c>
      <c r="B993" s="1" t="s">
        <v>65</v>
      </c>
      <c r="C993" s="1" t="s">
        <v>29</v>
      </c>
      <c r="D993" s="1">
        <v>40</v>
      </c>
      <c r="E993" s="1" t="s">
        <v>19</v>
      </c>
      <c r="F993" s="1">
        <v>4</v>
      </c>
      <c r="G993" s="1">
        <v>32525</v>
      </c>
      <c r="H993" s="1">
        <v>11</v>
      </c>
      <c r="I993" s="1">
        <v>46</v>
      </c>
      <c r="J993" s="1">
        <v>4</v>
      </c>
      <c r="K993" s="1">
        <v>93</v>
      </c>
      <c r="L993" s="1" t="s">
        <v>32</v>
      </c>
    </row>
    <row r="994" spans="1:12" x14ac:dyDescent="0.25">
      <c r="A994" s="1" t="s">
        <v>1036</v>
      </c>
      <c r="B994" s="1" t="s">
        <v>43</v>
      </c>
      <c r="C994" s="1" t="s">
        <v>25</v>
      </c>
      <c r="D994" s="1">
        <v>31</v>
      </c>
      <c r="E994" s="1" t="s">
        <v>15</v>
      </c>
      <c r="F994" s="1">
        <v>12</v>
      </c>
      <c r="G994" s="1">
        <v>73872</v>
      </c>
      <c r="H994" s="1">
        <v>3</v>
      </c>
      <c r="I994" s="1">
        <v>41</v>
      </c>
      <c r="J994" s="1">
        <v>1</v>
      </c>
      <c r="K994" s="1">
        <v>87</v>
      </c>
      <c r="L994" s="1" t="s">
        <v>37</v>
      </c>
    </row>
    <row r="995" spans="1:12" x14ac:dyDescent="0.25">
      <c r="A995" s="1" t="s">
        <v>1037</v>
      </c>
      <c r="B995" s="1" t="s">
        <v>40</v>
      </c>
      <c r="C995" s="1" t="s">
        <v>29</v>
      </c>
      <c r="D995" s="1">
        <v>26</v>
      </c>
      <c r="E995" s="1" t="s">
        <v>15</v>
      </c>
      <c r="F995" s="1">
        <v>1</v>
      </c>
      <c r="G995" s="1">
        <v>43849</v>
      </c>
      <c r="H995" s="1">
        <v>15</v>
      </c>
      <c r="I995" s="1">
        <v>50</v>
      </c>
      <c r="J995" s="1">
        <v>4</v>
      </c>
      <c r="K995" s="1">
        <v>94</v>
      </c>
      <c r="L995" s="1" t="s">
        <v>32</v>
      </c>
    </row>
    <row r="996" spans="1:12" x14ac:dyDescent="0.25">
      <c r="A996" s="1" t="s">
        <v>1038</v>
      </c>
      <c r="B996" s="1" t="s">
        <v>75</v>
      </c>
      <c r="C996" s="1" t="s">
        <v>22</v>
      </c>
      <c r="D996" s="1">
        <v>24</v>
      </c>
      <c r="E996" s="1" t="s">
        <v>19</v>
      </c>
      <c r="F996" s="1">
        <v>15</v>
      </c>
      <c r="G996" s="1">
        <v>28846</v>
      </c>
      <c r="H996" s="1">
        <v>12</v>
      </c>
      <c r="I996" s="1">
        <v>38</v>
      </c>
      <c r="J996" s="1">
        <v>5</v>
      </c>
      <c r="K996" s="1">
        <v>99</v>
      </c>
      <c r="L996" s="1" t="s">
        <v>16</v>
      </c>
    </row>
    <row r="997" spans="1:12" x14ac:dyDescent="0.25">
      <c r="A997" s="1" t="s">
        <v>1039</v>
      </c>
      <c r="B997" s="1" t="s">
        <v>53</v>
      </c>
      <c r="C997" s="1" t="s">
        <v>22</v>
      </c>
      <c r="D997" s="1">
        <v>40</v>
      </c>
      <c r="E997" s="1" t="s">
        <v>15</v>
      </c>
      <c r="F997" s="1">
        <v>9</v>
      </c>
      <c r="G997" s="1">
        <v>67574</v>
      </c>
      <c r="H997" s="1">
        <v>4</v>
      </c>
      <c r="I997" s="1">
        <v>48</v>
      </c>
      <c r="J997" s="1">
        <v>3</v>
      </c>
      <c r="K997" s="1">
        <v>100</v>
      </c>
      <c r="L997" s="1" t="s">
        <v>32</v>
      </c>
    </row>
    <row r="998" spans="1:12" x14ac:dyDescent="0.25">
      <c r="A998" s="1" t="s">
        <v>1040</v>
      </c>
      <c r="B998" s="1" t="s">
        <v>53</v>
      </c>
      <c r="C998" s="1" t="s">
        <v>14</v>
      </c>
      <c r="D998" s="1">
        <v>38</v>
      </c>
      <c r="E998" s="1" t="s">
        <v>15</v>
      </c>
      <c r="F998" s="1">
        <v>9</v>
      </c>
      <c r="G998" s="1">
        <v>77051</v>
      </c>
      <c r="H998" s="1">
        <v>10</v>
      </c>
      <c r="I998" s="1">
        <v>45</v>
      </c>
      <c r="J998" s="1">
        <v>2</v>
      </c>
      <c r="K998" s="1">
        <v>93</v>
      </c>
      <c r="L998" s="1" t="s">
        <v>26</v>
      </c>
    </row>
    <row r="999" spans="1:12" x14ac:dyDescent="0.25">
      <c r="A999" s="1" t="s">
        <v>1041</v>
      </c>
      <c r="B999" s="1" t="s">
        <v>28</v>
      </c>
      <c r="C999" s="1" t="s">
        <v>25</v>
      </c>
      <c r="D999" s="1">
        <v>27</v>
      </c>
      <c r="E999" s="1" t="s">
        <v>19</v>
      </c>
      <c r="F999" s="1">
        <v>9</v>
      </c>
      <c r="G999" s="1">
        <v>61493</v>
      </c>
      <c r="H999" s="1">
        <v>4</v>
      </c>
      <c r="I999" s="1">
        <v>40</v>
      </c>
      <c r="J999" s="1">
        <v>4</v>
      </c>
      <c r="K999" s="1">
        <v>85</v>
      </c>
      <c r="L999" s="1" t="s">
        <v>37</v>
      </c>
    </row>
    <row r="1000" spans="1:12" x14ac:dyDescent="0.25">
      <c r="A1000" s="1" t="s">
        <v>1042</v>
      </c>
      <c r="B1000" s="1" t="s">
        <v>31</v>
      </c>
      <c r="C1000" s="1" t="s">
        <v>25</v>
      </c>
      <c r="D1000" s="1">
        <v>22</v>
      </c>
      <c r="E1000" s="1" t="s">
        <v>15</v>
      </c>
      <c r="F1000" s="1">
        <v>4</v>
      </c>
      <c r="G1000" s="1">
        <v>36799</v>
      </c>
      <c r="H1000" s="1">
        <v>13</v>
      </c>
      <c r="I1000" s="1">
        <v>46</v>
      </c>
      <c r="J1000" s="1">
        <v>2</v>
      </c>
      <c r="K1000" s="1">
        <v>88</v>
      </c>
      <c r="L1000" s="1" t="s">
        <v>23</v>
      </c>
    </row>
    <row r="1001" spans="1:12" x14ac:dyDescent="0.25">
      <c r="A1001" s="1" t="s">
        <v>1043</v>
      </c>
      <c r="B1001" s="1" t="s">
        <v>45</v>
      </c>
      <c r="C1001" s="1" t="s">
        <v>22</v>
      </c>
      <c r="D1001" s="1">
        <v>25</v>
      </c>
      <c r="E1001" s="1" t="s">
        <v>15</v>
      </c>
      <c r="F1001" s="1">
        <v>1</v>
      </c>
      <c r="G1001" s="1">
        <v>71460</v>
      </c>
      <c r="H1001" s="1">
        <v>7</v>
      </c>
      <c r="I1001" s="1">
        <v>49</v>
      </c>
      <c r="J1001" s="1">
        <v>1</v>
      </c>
      <c r="K1001" s="1">
        <v>99</v>
      </c>
      <c r="L1001" s="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1"/>
  <sheetViews>
    <sheetView topLeftCell="E1" zoomScale="56" zoomScaleNormal="100" workbookViewId="0">
      <selection activeCell="M5" sqref="M5"/>
    </sheetView>
  </sheetViews>
  <sheetFormatPr defaultRowHeight="15" x14ac:dyDescent="0.25"/>
  <cols>
    <col min="1" max="1" width="24.42578125" style="2" bestFit="1" customWidth="1"/>
    <col min="2" max="2" width="15.85546875" style="2" bestFit="1" customWidth="1"/>
    <col min="3" max="3" width="22.85546875" style="2" bestFit="1" customWidth="1"/>
    <col min="4" max="4" width="13.7109375" style="2" bestFit="1" customWidth="1"/>
    <col min="5" max="5" width="17.42578125" style="2" bestFit="1" customWidth="1"/>
    <col min="6" max="6" width="21.7109375" style="2" bestFit="1" customWidth="1"/>
    <col min="7" max="7" width="16.28515625" style="2" bestFit="1" customWidth="1"/>
    <col min="8" max="8" width="33.7109375" style="2" bestFit="1" customWidth="1"/>
    <col min="9" max="9" width="27.140625" style="2" bestFit="1" customWidth="1"/>
    <col min="10" max="10" width="33.7109375" style="2" bestFit="1" customWidth="1"/>
    <col min="11" max="11" width="22.42578125" style="2" bestFit="1" customWidth="1"/>
    <col min="12" max="12" width="13.7109375" style="2" bestFit="1" customWidth="1"/>
    <col min="13" max="13" width="30.7109375" style="2" bestFit="1" customWidth="1"/>
    <col min="14" max="16384" width="9.140625" style="2"/>
  </cols>
  <sheetData>
    <row r="1" spans="1:13" x14ac:dyDescent="0.25">
      <c r="A1" s="3" t="s">
        <v>0</v>
      </c>
      <c r="B1" s="4" t="s">
        <v>1</v>
      </c>
      <c r="C1" s="4" t="s">
        <v>2</v>
      </c>
      <c r="D1" s="4" t="s">
        <v>3</v>
      </c>
      <c r="E1" s="4" t="s">
        <v>4</v>
      </c>
      <c r="F1" s="4" t="s">
        <v>5</v>
      </c>
      <c r="G1" s="4" t="s">
        <v>6</v>
      </c>
      <c r="H1" s="4" t="s">
        <v>7</v>
      </c>
      <c r="I1" s="4" t="s">
        <v>8</v>
      </c>
      <c r="J1" s="4" t="s">
        <v>9</v>
      </c>
      <c r="K1" s="4" t="s">
        <v>10</v>
      </c>
      <c r="L1" s="4" t="s">
        <v>11</v>
      </c>
      <c r="M1" s="4" t="s">
        <v>1044</v>
      </c>
    </row>
    <row r="2" spans="1:13" hidden="1" x14ac:dyDescent="0.25">
      <c r="A2" s="6" t="s">
        <v>731</v>
      </c>
      <c r="B2" s="2" t="str">
        <f>VLOOKUP(A2,Table3[#All],2,FALSE)</f>
        <v>Sanjay</v>
      </c>
      <c r="C2" s="2" t="str">
        <f>VLOOKUP(A2,Table3[#All],3,FALSE)</f>
        <v>IT</v>
      </c>
      <c r="D2" s="2">
        <f>VLOOKUP(A2,Table3[#All],4,FALSE)</f>
        <v>35</v>
      </c>
      <c r="E2" s="2" t="str">
        <f>VLOOKUP(A2,Table3[#All],5,FALSE)</f>
        <v>Male</v>
      </c>
      <c r="F2" s="2">
        <f>VLOOKUP(A2,Table3[#All],6,FALSE)</f>
        <v>6</v>
      </c>
      <c r="G2" s="2">
        <f>VLOOKUP(A2,Table3[#All],7,FALSE)</f>
        <v>25018</v>
      </c>
      <c r="H2" s="2">
        <f>VLOOKUP(A2,Table3[#All],8,FALSE)</f>
        <v>14</v>
      </c>
      <c r="I2" s="2">
        <f>VLOOKUP(A2,Table3[#All],9,FALSE)</f>
        <v>48</v>
      </c>
      <c r="J2" s="2">
        <f>VLOOKUP(A2,Table3[#All],10,FALSE)</f>
        <v>4</v>
      </c>
      <c r="K2" s="2">
        <f>VLOOKUP(A2,Table3[#All],11,FALSE)</f>
        <v>90</v>
      </c>
      <c r="L2" s="2" t="str">
        <f>VLOOKUP(A2,Table3[#All],12,FALSE)</f>
        <v>Chennai</v>
      </c>
      <c r="M2" s="2" t="str">
        <f t="shared" ref="M2:M65" si="0">IF(K2&gt;=95,"Eligible","Not Eligible")</f>
        <v>Not Eligible</v>
      </c>
    </row>
    <row r="3" spans="1:13" x14ac:dyDescent="0.25">
      <c r="A3" s="6" t="s">
        <v>123</v>
      </c>
      <c r="B3" s="2" t="str">
        <f>VLOOKUP(A3,Table3[#All],2,FALSE)</f>
        <v>Priya</v>
      </c>
      <c r="C3" s="2" t="str">
        <f>VLOOKUP(A3,Table3[#All],3,FALSE)</f>
        <v>IT</v>
      </c>
      <c r="D3" s="2">
        <f>VLOOKUP(A3,Table3[#All],4,FALSE)</f>
        <v>27</v>
      </c>
      <c r="E3" s="2" t="str">
        <f>VLOOKUP(A3,Table3[#All],5,FALSE)</f>
        <v>Male</v>
      </c>
      <c r="F3" s="2">
        <f>VLOOKUP(A3,Table3[#All],6,FALSE)</f>
        <v>6</v>
      </c>
      <c r="G3" s="2">
        <f>VLOOKUP(A3,Table3[#All],7,FALSE)</f>
        <v>25042</v>
      </c>
      <c r="H3" s="2">
        <f>VLOOKUP(A3,Table3[#All],8,FALSE)</f>
        <v>14</v>
      </c>
      <c r="I3" s="2">
        <f>VLOOKUP(A3,Table3[#All],9,FALSE)</f>
        <v>45</v>
      </c>
      <c r="J3" s="2">
        <f>VLOOKUP(A3,Table3[#All],10,FALSE)</f>
        <v>5</v>
      </c>
      <c r="K3" s="2">
        <f>VLOOKUP(A3,Table3[#All],11,FALSE)</f>
        <v>93</v>
      </c>
      <c r="L3" s="2" t="str">
        <f>VLOOKUP(A3,Table3[#All],12,FALSE)</f>
        <v>Mumbai</v>
      </c>
      <c r="M3" s="2" t="str">
        <f t="shared" si="0"/>
        <v>Not Eligible</v>
      </c>
    </row>
    <row r="4" spans="1:13" hidden="1" x14ac:dyDescent="0.25">
      <c r="A4" s="5" t="s">
        <v>20</v>
      </c>
      <c r="B4" s="2" t="str">
        <f>VLOOKUP(A4,Table3[#All],2,FALSE)</f>
        <v>Nisha</v>
      </c>
      <c r="C4" s="2" t="str">
        <f>VLOOKUP(A4,Table3[#All],3,FALSE)</f>
        <v>IT</v>
      </c>
      <c r="D4" s="2">
        <f>VLOOKUP(A4,Table3[#All],4,FALSE)</f>
        <v>31</v>
      </c>
      <c r="E4" s="2" t="str">
        <f>VLOOKUP(A4,Table3[#All],5,FALSE)</f>
        <v>Female</v>
      </c>
      <c r="F4" s="2">
        <f>VLOOKUP(A4,Table3[#All],6,FALSE)</f>
        <v>2</v>
      </c>
      <c r="G4" s="2">
        <f>VLOOKUP(A4,Table3[#All],7,FALSE)</f>
        <v>40749</v>
      </c>
      <c r="H4" s="2">
        <f>VLOOKUP(A4,Table3[#All],8,FALSE)</f>
        <v>8</v>
      </c>
      <c r="I4" s="2">
        <f>VLOOKUP(A4,Table3[#All],9,FALSE)</f>
        <v>39</v>
      </c>
      <c r="J4" s="2">
        <f>VLOOKUP(A4,Table3[#All],10,FALSE)</f>
        <v>3</v>
      </c>
      <c r="K4" s="2">
        <f>VLOOKUP(A4,Table3[#All],11,FALSE)</f>
        <v>96</v>
      </c>
      <c r="L4" s="2" t="str">
        <f>VLOOKUP(A4,Table3[#All],12,FALSE)</f>
        <v>Delhi</v>
      </c>
      <c r="M4" s="2" t="str">
        <f t="shared" si="0"/>
        <v>Eligible</v>
      </c>
    </row>
    <row r="5" spans="1:13" x14ac:dyDescent="0.25">
      <c r="A5" s="5" t="s">
        <v>812</v>
      </c>
      <c r="B5" s="2" t="str">
        <f>VLOOKUP(A5,Table3[#All],2,FALSE)</f>
        <v>Divya</v>
      </c>
      <c r="C5" s="2" t="str">
        <f>VLOOKUP(A5,Table3[#All],3,FALSE)</f>
        <v>IT</v>
      </c>
      <c r="D5" s="2">
        <f>VLOOKUP(A5,Table3[#All],4,FALSE)</f>
        <v>25</v>
      </c>
      <c r="E5" s="2" t="str">
        <f>VLOOKUP(A5,Table3[#All],5,FALSE)</f>
        <v>Female</v>
      </c>
      <c r="F5" s="2">
        <f>VLOOKUP(A5,Table3[#All],6,FALSE)</f>
        <v>5</v>
      </c>
      <c r="G5" s="2">
        <f>VLOOKUP(A5,Table3[#All],7,FALSE)</f>
        <v>25059</v>
      </c>
      <c r="H5" s="2">
        <f>VLOOKUP(A5,Table3[#All],8,FALSE)</f>
        <v>13</v>
      </c>
      <c r="I5" s="2">
        <f>VLOOKUP(A5,Table3[#All],9,FALSE)</f>
        <v>49</v>
      </c>
      <c r="J5" s="2">
        <f>VLOOKUP(A5,Table3[#All],10,FALSE)</f>
        <v>2</v>
      </c>
      <c r="K5" s="2">
        <f>VLOOKUP(A5,Table3[#All],11,FALSE)</f>
        <v>97</v>
      </c>
      <c r="L5" s="2" t="str">
        <f>VLOOKUP(A5,Table3[#All],12,FALSE)</f>
        <v>Chennai</v>
      </c>
      <c r="M5" s="2" t="str">
        <f t="shared" si="0"/>
        <v>Eligible</v>
      </c>
    </row>
    <row r="6" spans="1:13" hidden="1" x14ac:dyDescent="0.25">
      <c r="A6" s="5" t="s">
        <v>640</v>
      </c>
      <c r="B6" s="2" t="str">
        <f>VLOOKUP(A6,Table3[#All],2,FALSE)</f>
        <v>Ravi</v>
      </c>
      <c r="C6" s="2" t="str">
        <f>VLOOKUP(A6,Table3[#All],3,FALSE)</f>
        <v>HR</v>
      </c>
      <c r="D6" s="2">
        <f>VLOOKUP(A6,Table3[#All],4,FALSE)</f>
        <v>35</v>
      </c>
      <c r="E6" s="2" t="str">
        <f>VLOOKUP(A6,Table3[#All],5,FALSE)</f>
        <v>Male</v>
      </c>
      <c r="F6" s="2">
        <f>VLOOKUP(A6,Table3[#All],6,FALSE)</f>
        <v>8</v>
      </c>
      <c r="G6" s="2">
        <f>VLOOKUP(A6,Table3[#All],7,FALSE)</f>
        <v>25114</v>
      </c>
      <c r="H6" s="2">
        <f>VLOOKUP(A6,Table3[#All],8,FALSE)</f>
        <v>5</v>
      </c>
      <c r="I6" s="2">
        <f>VLOOKUP(A6,Table3[#All],9,FALSE)</f>
        <v>38</v>
      </c>
      <c r="J6" s="2">
        <f>VLOOKUP(A6,Table3[#All],10,FALSE)</f>
        <v>4</v>
      </c>
      <c r="K6" s="2">
        <f>VLOOKUP(A6,Table3[#All],11,FALSE)</f>
        <v>88</v>
      </c>
      <c r="L6" s="2" t="str">
        <f>VLOOKUP(A6,Table3[#All],12,FALSE)</f>
        <v>Chennai</v>
      </c>
      <c r="M6" s="2" t="str">
        <f t="shared" si="0"/>
        <v>Not Eligible</v>
      </c>
    </row>
    <row r="7" spans="1:13" hidden="1" x14ac:dyDescent="0.25">
      <c r="A7" s="6" t="s">
        <v>30</v>
      </c>
      <c r="B7" s="2" t="str">
        <f>VLOOKUP(A7,Table3[#All],2,FALSE)</f>
        <v>Rekha</v>
      </c>
      <c r="C7" s="2" t="str">
        <f>VLOOKUP(A7,Table3[#All],3,FALSE)</f>
        <v>Finance</v>
      </c>
      <c r="D7" s="2">
        <f>VLOOKUP(A7,Table3[#All],4,FALSE)</f>
        <v>23</v>
      </c>
      <c r="E7" s="2" t="str">
        <f>VLOOKUP(A7,Table3[#All],5,FALSE)</f>
        <v>Male</v>
      </c>
      <c r="F7" s="2">
        <f>VLOOKUP(A7,Table3[#All],6,FALSE)</f>
        <v>3</v>
      </c>
      <c r="G7" s="2">
        <f>VLOOKUP(A7,Table3[#All],7,FALSE)</f>
        <v>61049</v>
      </c>
      <c r="H7" s="2">
        <f>VLOOKUP(A7,Table3[#All],8,FALSE)</f>
        <v>9</v>
      </c>
      <c r="I7" s="2">
        <f>VLOOKUP(A7,Table3[#All],9,FALSE)</f>
        <v>39</v>
      </c>
      <c r="J7" s="2">
        <f>VLOOKUP(A7,Table3[#All],10,FALSE)</f>
        <v>5</v>
      </c>
      <c r="K7" s="2">
        <f>VLOOKUP(A7,Table3[#All],11,FALSE)</f>
        <v>89</v>
      </c>
      <c r="L7" s="2" t="str">
        <f>VLOOKUP(A7,Table3[#All],12,FALSE)</f>
        <v>Chennai</v>
      </c>
      <c r="M7" s="2" t="str">
        <f t="shared" si="0"/>
        <v>Not Eligible</v>
      </c>
    </row>
    <row r="8" spans="1:13" hidden="1" x14ac:dyDescent="0.25">
      <c r="A8" s="5" t="s">
        <v>328</v>
      </c>
      <c r="B8" s="2" t="str">
        <f>VLOOKUP(A8,Table3[#All],2,FALSE)</f>
        <v>Hari</v>
      </c>
      <c r="C8" s="2" t="str">
        <f>VLOOKUP(A8,Table3[#All],3,FALSE)</f>
        <v>HR</v>
      </c>
      <c r="D8" s="2">
        <f>VLOOKUP(A8,Table3[#All],4,FALSE)</f>
        <v>27</v>
      </c>
      <c r="E8" s="2" t="str">
        <f>VLOOKUP(A8,Table3[#All],5,FALSE)</f>
        <v>Male</v>
      </c>
      <c r="F8" s="2">
        <f>VLOOKUP(A8,Table3[#All],6,FALSE)</f>
        <v>6</v>
      </c>
      <c r="G8" s="2">
        <f>VLOOKUP(A8,Table3[#All],7,FALSE)</f>
        <v>25214</v>
      </c>
      <c r="H8" s="2">
        <f>VLOOKUP(A8,Table3[#All],8,FALSE)</f>
        <v>5</v>
      </c>
      <c r="I8" s="2">
        <f>VLOOKUP(A8,Table3[#All],9,FALSE)</f>
        <v>48</v>
      </c>
      <c r="J8" s="2">
        <f>VLOOKUP(A8,Table3[#All],10,FALSE)</f>
        <v>2</v>
      </c>
      <c r="K8" s="2">
        <f>VLOOKUP(A8,Table3[#All],11,FALSE)</f>
        <v>99</v>
      </c>
      <c r="L8" s="2" t="str">
        <f>VLOOKUP(A8,Table3[#All],12,FALSE)</f>
        <v>Pune</v>
      </c>
      <c r="M8" s="2" t="str">
        <f t="shared" si="0"/>
        <v>Eligible</v>
      </c>
    </row>
    <row r="9" spans="1:13" hidden="1" x14ac:dyDescent="0.25">
      <c r="A9" s="6" t="s">
        <v>931</v>
      </c>
      <c r="B9" s="2" t="str">
        <f>VLOOKUP(A9,Table3[#All],2,FALSE)</f>
        <v>Ravi</v>
      </c>
      <c r="C9" s="2" t="str">
        <f>VLOOKUP(A9,Table3[#All],3,FALSE)</f>
        <v>Finance</v>
      </c>
      <c r="D9" s="2">
        <f>VLOOKUP(A9,Table3[#All],4,FALSE)</f>
        <v>38</v>
      </c>
      <c r="E9" s="2" t="str">
        <f>VLOOKUP(A9,Table3[#All],5,FALSE)</f>
        <v>Male</v>
      </c>
      <c r="F9" s="2">
        <f>VLOOKUP(A9,Table3[#All],6,FALSE)</f>
        <v>11</v>
      </c>
      <c r="G9" s="2">
        <f>VLOOKUP(A9,Table3[#All],7,FALSE)</f>
        <v>25367</v>
      </c>
      <c r="H9" s="2">
        <f>VLOOKUP(A9,Table3[#All],8,FALSE)</f>
        <v>6</v>
      </c>
      <c r="I9" s="2">
        <f>VLOOKUP(A9,Table3[#All],9,FALSE)</f>
        <v>36</v>
      </c>
      <c r="J9" s="2">
        <f>VLOOKUP(A9,Table3[#All],10,FALSE)</f>
        <v>5</v>
      </c>
      <c r="K9" s="2">
        <f>VLOOKUP(A9,Table3[#All],11,FALSE)</f>
        <v>97</v>
      </c>
      <c r="L9" s="2" t="str">
        <f>VLOOKUP(A9,Table3[#All],12,FALSE)</f>
        <v>Chennai</v>
      </c>
      <c r="M9" s="2" t="str">
        <f t="shared" si="0"/>
        <v>Eligible</v>
      </c>
    </row>
    <row r="10" spans="1:13" hidden="1" x14ac:dyDescent="0.25">
      <c r="A10" s="5" t="s">
        <v>596</v>
      </c>
      <c r="B10" s="2" t="str">
        <f>VLOOKUP(A10,Table3[#All],2,FALSE)</f>
        <v>Divya</v>
      </c>
      <c r="C10" s="2" t="str">
        <f>VLOOKUP(A10,Table3[#All],3,FALSE)</f>
        <v>Sales</v>
      </c>
      <c r="D10" s="2">
        <f>VLOOKUP(A10,Table3[#All],4,FALSE)</f>
        <v>40</v>
      </c>
      <c r="E10" s="2" t="str">
        <f>VLOOKUP(A10,Table3[#All],5,FALSE)</f>
        <v>Male</v>
      </c>
      <c r="F10" s="2">
        <f>VLOOKUP(A10,Table3[#All],6,FALSE)</f>
        <v>10</v>
      </c>
      <c r="G10" s="2">
        <f>VLOOKUP(A10,Table3[#All],7,FALSE)</f>
        <v>25400</v>
      </c>
      <c r="H10" s="2">
        <f>VLOOKUP(A10,Table3[#All],8,FALSE)</f>
        <v>14</v>
      </c>
      <c r="I10" s="2">
        <f>VLOOKUP(A10,Table3[#All],9,FALSE)</f>
        <v>48</v>
      </c>
      <c r="J10" s="2">
        <f>VLOOKUP(A10,Table3[#All],10,FALSE)</f>
        <v>2</v>
      </c>
      <c r="K10" s="2">
        <f>VLOOKUP(A10,Table3[#All],11,FALSE)</f>
        <v>86</v>
      </c>
      <c r="L10" s="2" t="str">
        <f>VLOOKUP(A10,Table3[#All],12,FALSE)</f>
        <v>Hyderabad</v>
      </c>
      <c r="M10" s="2" t="str">
        <f t="shared" si="0"/>
        <v>Not Eligible</v>
      </c>
    </row>
    <row r="11" spans="1:13" x14ac:dyDescent="0.25">
      <c r="A11" s="6" t="s">
        <v>467</v>
      </c>
      <c r="B11" s="2" t="str">
        <f>VLOOKUP(A11,Table3[#All],2,FALSE)</f>
        <v>Meena</v>
      </c>
      <c r="C11" s="2" t="str">
        <f>VLOOKUP(A11,Table3[#All],3,FALSE)</f>
        <v>Sales</v>
      </c>
      <c r="D11" s="2">
        <f>VLOOKUP(A11,Table3[#All],4,FALSE)</f>
        <v>38</v>
      </c>
      <c r="E11" s="2" t="str">
        <f>VLOOKUP(A11,Table3[#All],5,FALSE)</f>
        <v>Male</v>
      </c>
      <c r="F11" s="2">
        <f>VLOOKUP(A11,Table3[#All],6,FALSE)</f>
        <v>8</v>
      </c>
      <c r="G11" s="2">
        <f>VLOOKUP(A11,Table3[#All],7,FALSE)</f>
        <v>25435</v>
      </c>
      <c r="H11" s="2">
        <f>VLOOKUP(A11,Table3[#All],8,FALSE)</f>
        <v>15</v>
      </c>
      <c r="I11" s="2">
        <f>VLOOKUP(A11,Table3[#All],9,FALSE)</f>
        <v>48</v>
      </c>
      <c r="J11" s="2">
        <f>VLOOKUP(A11,Table3[#All],10,FALSE)</f>
        <v>3</v>
      </c>
      <c r="K11" s="2">
        <f>VLOOKUP(A11,Table3[#All],11,FALSE)</f>
        <v>95</v>
      </c>
      <c r="L11" s="2" t="str">
        <f>VLOOKUP(A11,Table3[#All],12,FALSE)</f>
        <v>Hyderabad</v>
      </c>
      <c r="M11" s="2" t="str">
        <f t="shared" si="0"/>
        <v>Eligible</v>
      </c>
    </row>
    <row r="12" spans="1:13" hidden="1" x14ac:dyDescent="0.25">
      <c r="A12" s="5" t="s">
        <v>41</v>
      </c>
      <c r="B12" s="2" t="str">
        <f>VLOOKUP(A12,Table3[#All],2,FALSE)</f>
        <v>Manoj</v>
      </c>
      <c r="C12" s="2" t="str">
        <f>VLOOKUP(A12,Table3[#All],3,FALSE)</f>
        <v>Finance</v>
      </c>
      <c r="D12" s="2">
        <f>VLOOKUP(A12,Table3[#All],4,FALSE)</f>
        <v>22</v>
      </c>
      <c r="E12" s="2" t="str">
        <f>VLOOKUP(A12,Table3[#All],5,FALSE)</f>
        <v>Male</v>
      </c>
      <c r="F12" s="2">
        <f>VLOOKUP(A12,Table3[#All],6,FALSE)</f>
        <v>3</v>
      </c>
      <c r="G12" s="2">
        <f>VLOOKUP(A12,Table3[#All],7,FALSE)</f>
        <v>59483</v>
      </c>
      <c r="H12" s="2">
        <f>VLOOKUP(A12,Table3[#All],8,FALSE)</f>
        <v>12</v>
      </c>
      <c r="I12" s="2">
        <f>VLOOKUP(A12,Table3[#All],9,FALSE)</f>
        <v>36</v>
      </c>
      <c r="J12" s="2">
        <f>VLOOKUP(A12,Table3[#All],10,FALSE)</f>
        <v>4</v>
      </c>
      <c r="K12" s="2">
        <f>VLOOKUP(A12,Table3[#All],11,FALSE)</f>
        <v>97</v>
      </c>
      <c r="L12" s="2" t="str">
        <f>VLOOKUP(A12,Table3[#All],12,FALSE)</f>
        <v>Bangalore</v>
      </c>
      <c r="M12" s="2" t="str">
        <f t="shared" si="0"/>
        <v>Eligible</v>
      </c>
    </row>
    <row r="13" spans="1:13" hidden="1" x14ac:dyDescent="0.25">
      <c r="A13" s="6" t="s">
        <v>179</v>
      </c>
      <c r="B13" s="2" t="str">
        <f>VLOOKUP(A13,Table3[#All],2,FALSE)</f>
        <v>Divya</v>
      </c>
      <c r="C13" s="2" t="str">
        <f>VLOOKUP(A13,Table3[#All],3,FALSE)</f>
        <v>HR</v>
      </c>
      <c r="D13" s="2">
        <f>VLOOKUP(A13,Table3[#All],4,FALSE)</f>
        <v>39</v>
      </c>
      <c r="E13" s="2" t="str">
        <f>VLOOKUP(A13,Table3[#All],5,FALSE)</f>
        <v>Female</v>
      </c>
      <c r="F13" s="2">
        <f>VLOOKUP(A13,Table3[#All],6,FALSE)</f>
        <v>13</v>
      </c>
      <c r="G13" s="2">
        <f>VLOOKUP(A13,Table3[#All],7,FALSE)</f>
        <v>25564</v>
      </c>
      <c r="H13" s="2">
        <f>VLOOKUP(A13,Table3[#All],8,FALSE)</f>
        <v>5</v>
      </c>
      <c r="I13" s="2">
        <f>VLOOKUP(A13,Table3[#All],9,FALSE)</f>
        <v>46</v>
      </c>
      <c r="J13" s="2">
        <f>VLOOKUP(A13,Table3[#All],10,FALSE)</f>
        <v>2</v>
      </c>
      <c r="K13" s="2">
        <f>VLOOKUP(A13,Table3[#All],11,FALSE)</f>
        <v>91</v>
      </c>
      <c r="L13" s="2" t="str">
        <f>VLOOKUP(A13,Table3[#All],12,FALSE)</f>
        <v>Delhi</v>
      </c>
      <c r="M13" s="2" t="str">
        <f t="shared" si="0"/>
        <v>Not Eligible</v>
      </c>
    </row>
    <row r="14" spans="1:13" x14ac:dyDescent="0.25">
      <c r="A14" s="5" t="s">
        <v>248</v>
      </c>
      <c r="B14" s="2" t="str">
        <f>VLOOKUP(A14,Table3[#All],2,FALSE)</f>
        <v>Nisha</v>
      </c>
      <c r="C14" s="2" t="str">
        <f>VLOOKUP(A14,Table3[#All],3,FALSE)</f>
        <v>HR</v>
      </c>
      <c r="D14" s="2">
        <f>VLOOKUP(A14,Table3[#All],4,FALSE)</f>
        <v>26</v>
      </c>
      <c r="E14" s="2" t="str">
        <f>VLOOKUP(A14,Table3[#All],5,FALSE)</f>
        <v>Male</v>
      </c>
      <c r="F14" s="2">
        <f>VLOOKUP(A14,Table3[#All],6,FALSE)</f>
        <v>7</v>
      </c>
      <c r="G14" s="2">
        <f>VLOOKUP(A14,Table3[#All],7,FALSE)</f>
        <v>25591</v>
      </c>
      <c r="H14" s="2">
        <f>VLOOKUP(A14,Table3[#All],8,FALSE)</f>
        <v>15</v>
      </c>
      <c r="I14" s="2">
        <f>VLOOKUP(A14,Table3[#All],9,FALSE)</f>
        <v>40</v>
      </c>
      <c r="J14" s="2">
        <f>VLOOKUP(A14,Table3[#All],10,FALSE)</f>
        <v>1</v>
      </c>
      <c r="K14" s="2">
        <f>VLOOKUP(A14,Table3[#All],11,FALSE)</f>
        <v>100</v>
      </c>
      <c r="L14" s="2" t="str">
        <f>VLOOKUP(A14,Table3[#All],12,FALSE)</f>
        <v>Chennai</v>
      </c>
      <c r="M14" s="2" t="str">
        <f t="shared" si="0"/>
        <v>Eligible</v>
      </c>
    </row>
    <row r="15" spans="1:13" hidden="1" x14ac:dyDescent="0.25">
      <c r="A15" s="5" t="s">
        <v>896</v>
      </c>
      <c r="B15" s="2" t="str">
        <f>VLOOKUP(A15,Table3[#All],2,FALSE)</f>
        <v>Arun</v>
      </c>
      <c r="C15" s="2" t="str">
        <f>VLOOKUP(A15,Table3[#All],3,FALSE)</f>
        <v>Sales</v>
      </c>
      <c r="D15" s="2">
        <f>VLOOKUP(A15,Table3[#All],4,FALSE)</f>
        <v>27</v>
      </c>
      <c r="E15" s="2" t="str">
        <f>VLOOKUP(A15,Table3[#All],5,FALSE)</f>
        <v>Female</v>
      </c>
      <c r="F15" s="2">
        <f>VLOOKUP(A15,Table3[#All],6,FALSE)</f>
        <v>14</v>
      </c>
      <c r="G15" s="2">
        <f>VLOOKUP(A15,Table3[#All],7,FALSE)</f>
        <v>25613</v>
      </c>
      <c r="H15" s="2">
        <f>VLOOKUP(A15,Table3[#All],8,FALSE)</f>
        <v>4</v>
      </c>
      <c r="I15" s="2">
        <f>VLOOKUP(A15,Table3[#All],9,FALSE)</f>
        <v>38</v>
      </c>
      <c r="J15" s="2">
        <f>VLOOKUP(A15,Table3[#All],10,FALSE)</f>
        <v>2</v>
      </c>
      <c r="K15" s="2">
        <f>VLOOKUP(A15,Table3[#All],11,FALSE)</f>
        <v>87</v>
      </c>
      <c r="L15" s="2" t="str">
        <f>VLOOKUP(A15,Table3[#All],12,FALSE)</f>
        <v>Hyderabad</v>
      </c>
      <c r="M15" s="2" t="str">
        <f t="shared" si="0"/>
        <v>Not Eligible</v>
      </c>
    </row>
    <row r="16" spans="1:13" hidden="1" x14ac:dyDescent="0.25">
      <c r="A16" s="5" t="s">
        <v>47</v>
      </c>
      <c r="B16" s="2" t="str">
        <f>VLOOKUP(A16,Table3[#All],2,FALSE)</f>
        <v>Manoj</v>
      </c>
      <c r="C16" s="2" t="str">
        <f>VLOOKUP(A16,Table3[#All],3,FALSE)</f>
        <v>Finance</v>
      </c>
      <c r="D16" s="2">
        <f>VLOOKUP(A16,Table3[#All],4,FALSE)</f>
        <v>28</v>
      </c>
      <c r="E16" s="2" t="str">
        <f>VLOOKUP(A16,Table3[#All],5,FALSE)</f>
        <v>Female</v>
      </c>
      <c r="F16" s="2">
        <f>VLOOKUP(A16,Table3[#All],6,FALSE)</f>
        <v>1</v>
      </c>
      <c r="G16" s="2">
        <f>VLOOKUP(A16,Table3[#All],7,FALSE)</f>
        <v>64938</v>
      </c>
      <c r="H16" s="2">
        <f>VLOOKUP(A16,Table3[#All],8,FALSE)</f>
        <v>15</v>
      </c>
      <c r="I16" s="2">
        <f>VLOOKUP(A16,Table3[#All],9,FALSE)</f>
        <v>37</v>
      </c>
      <c r="J16" s="2">
        <f>VLOOKUP(A16,Table3[#All],10,FALSE)</f>
        <v>2</v>
      </c>
      <c r="K16" s="2">
        <f>VLOOKUP(A16,Table3[#All],11,FALSE)</f>
        <v>96</v>
      </c>
      <c r="L16" s="2" t="str">
        <f>VLOOKUP(A16,Table3[#All],12,FALSE)</f>
        <v>Chennai</v>
      </c>
      <c r="M16" s="2" t="str">
        <f t="shared" si="0"/>
        <v>Eligible</v>
      </c>
    </row>
    <row r="17" spans="1:13" hidden="1" x14ac:dyDescent="0.25">
      <c r="A17" s="6" t="s">
        <v>48</v>
      </c>
      <c r="B17" s="2" t="str">
        <f>VLOOKUP(A17,Table3[#All],2,FALSE)</f>
        <v>Ramesh</v>
      </c>
      <c r="C17" s="2" t="str">
        <f>VLOOKUP(A17,Table3[#All],3,FALSE)</f>
        <v>Finance</v>
      </c>
      <c r="D17" s="2">
        <f>VLOOKUP(A17,Table3[#All],4,FALSE)</f>
        <v>32</v>
      </c>
      <c r="E17" s="2" t="str">
        <f>VLOOKUP(A17,Table3[#All],5,FALSE)</f>
        <v>Female</v>
      </c>
      <c r="F17" s="2">
        <f>VLOOKUP(A17,Table3[#All],6,FALSE)</f>
        <v>2</v>
      </c>
      <c r="G17" s="2">
        <f>VLOOKUP(A17,Table3[#All],7,FALSE)</f>
        <v>34237</v>
      </c>
      <c r="H17" s="2">
        <f>VLOOKUP(A17,Table3[#All],8,FALSE)</f>
        <v>9</v>
      </c>
      <c r="I17" s="2">
        <f>VLOOKUP(A17,Table3[#All],9,FALSE)</f>
        <v>45</v>
      </c>
      <c r="J17" s="2">
        <f>VLOOKUP(A17,Table3[#All],10,FALSE)</f>
        <v>4</v>
      </c>
      <c r="K17" s="2">
        <f>VLOOKUP(A17,Table3[#All],11,FALSE)</f>
        <v>99</v>
      </c>
      <c r="L17" s="2" t="str">
        <f>VLOOKUP(A17,Table3[#All],12,FALSE)</f>
        <v>Hyderabad</v>
      </c>
      <c r="M17" s="2" t="str">
        <f t="shared" si="0"/>
        <v>Eligible</v>
      </c>
    </row>
    <row r="18" spans="1:13" hidden="1" x14ac:dyDescent="0.25">
      <c r="A18" s="5" t="s">
        <v>186</v>
      </c>
      <c r="B18" s="2" t="str">
        <f>VLOOKUP(A18,Table3[#All],2,FALSE)</f>
        <v>Manoj</v>
      </c>
      <c r="C18" s="2" t="str">
        <f>VLOOKUP(A18,Table3[#All],3,FALSE)</f>
        <v>Finance</v>
      </c>
      <c r="D18" s="2">
        <f>VLOOKUP(A18,Table3[#All],4,FALSE)</f>
        <v>38</v>
      </c>
      <c r="E18" s="2" t="str">
        <f>VLOOKUP(A18,Table3[#All],5,FALSE)</f>
        <v>Male</v>
      </c>
      <c r="F18" s="2">
        <f>VLOOKUP(A18,Table3[#All],6,FALSE)</f>
        <v>8</v>
      </c>
      <c r="G18" s="2">
        <f>VLOOKUP(A18,Table3[#All],7,FALSE)</f>
        <v>25622</v>
      </c>
      <c r="H18" s="2">
        <f>VLOOKUP(A18,Table3[#All],8,FALSE)</f>
        <v>4</v>
      </c>
      <c r="I18" s="2">
        <f>VLOOKUP(A18,Table3[#All],9,FALSE)</f>
        <v>35</v>
      </c>
      <c r="J18" s="2">
        <f>VLOOKUP(A18,Table3[#All],10,FALSE)</f>
        <v>1</v>
      </c>
      <c r="K18" s="2">
        <f>VLOOKUP(A18,Table3[#All],11,FALSE)</f>
        <v>95</v>
      </c>
      <c r="L18" s="2" t="str">
        <f>VLOOKUP(A18,Table3[#All],12,FALSE)</f>
        <v>Chennai</v>
      </c>
      <c r="M18" s="2" t="str">
        <f t="shared" si="0"/>
        <v>Eligible</v>
      </c>
    </row>
    <row r="19" spans="1:13" hidden="1" x14ac:dyDescent="0.25">
      <c r="A19" s="6" t="s">
        <v>50</v>
      </c>
      <c r="B19" s="2" t="str">
        <f>VLOOKUP(A19,Table3[#All],2,FALSE)</f>
        <v>Kavya</v>
      </c>
      <c r="C19" s="2" t="str">
        <f>VLOOKUP(A19,Table3[#All],3,FALSE)</f>
        <v>HR</v>
      </c>
      <c r="D19" s="2">
        <f>VLOOKUP(A19,Table3[#All],4,FALSE)</f>
        <v>32</v>
      </c>
      <c r="E19" s="2" t="str">
        <f>VLOOKUP(A19,Table3[#All],5,FALSE)</f>
        <v>Male</v>
      </c>
      <c r="F19" s="2">
        <f>VLOOKUP(A19,Table3[#All],6,FALSE)</f>
        <v>4</v>
      </c>
      <c r="G19" s="2">
        <f>VLOOKUP(A19,Table3[#All],7,FALSE)</f>
        <v>73646</v>
      </c>
      <c r="H19" s="2">
        <f>VLOOKUP(A19,Table3[#All],8,FALSE)</f>
        <v>11</v>
      </c>
      <c r="I19" s="2">
        <f>VLOOKUP(A19,Table3[#All],9,FALSE)</f>
        <v>50</v>
      </c>
      <c r="J19" s="2">
        <f>VLOOKUP(A19,Table3[#All],10,FALSE)</f>
        <v>2</v>
      </c>
      <c r="K19" s="2">
        <f>VLOOKUP(A19,Table3[#All],11,FALSE)</f>
        <v>94</v>
      </c>
      <c r="L19" s="2" t="str">
        <f>VLOOKUP(A19,Table3[#All],12,FALSE)</f>
        <v>Pune</v>
      </c>
      <c r="M19" s="2" t="str">
        <f t="shared" si="0"/>
        <v>Not Eligible</v>
      </c>
    </row>
    <row r="20" spans="1:13" hidden="1" x14ac:dyDescent="0.25">
      <c r="A20" s="5" t="s">
        <v>52</v>
      </c>
      <c r="B20" s="2" t="str">
        <f>VLOOKUP(A20,Table3[#All],2,FALSE)</f>
        <v>Karthik</v>
      </c>
      <c r="C20" s="2" t="str">
        <f>VLOOKUP(A20,Table3[#All],3,FALSE)</f>
        <v>HR</v>
      </c>
      <c r="D20" s="2">
        <f>VLOOKUP(A20,Table3[#All],4,FALSE)</f>
        <v>39</v>
      </c>
      <c r="E20" s="2" t="str">
        <f>VLOOKUP(A20,Table3[#All],5,FALSE)</f>
        <v>Male</v>
      </c>
      <c r="F20" s="2">
        <f>VLOOKUP(A20,Table3[#All],6,FALSE)</f>
        <v>3</v>
      </c>
      <c r="G20" s="2">
        <f>VLOOKUP(A20,Table3[#All],7,FALSE)</f>
        <v>39183</v>
      </c>
      <c r="H20" s="2">
        <f>VLOOKUP(A20,Table3[#All],8,FALSE)</f>
        <v>13</v>
      </c>
      <c r="I20" s="2">
        <f>VLOOKUP(A20,Table3[#All],9,FALSE)</f>
        <v>40</v>
      </c>
      <c r="J20" s="2">
        <f>VLOOKUP(A20,Table3[#All],10,FALSE)</f>
        <v>1</v>
      </c>
      <c r="K20" s="2">
        <f>VLOOKUP(A20,Table3[#All],11,FALSE)</f>
        <v>91</v>
      </c>
      <c r="L20" s="2" t="str">
        <f>VLOOKUP(A20,Table3[#All],12,FALSE)</f>
        <v>Pune</v>
      </c>
      <c r="M20" s="2" t="str">
        <f t="shared" si="0"/>
        <v>Not Eligible</v>
      </c>
    </row>
    <row r="21" spans="1:13" hidden="1" x14ac:dyDescent="0.25">
      <c r="A21" s="6" t="s">
        <v>229</v>
      </c>
      <c r="B21" s="2" t="str">
        <f>VLOOKUP(A21,Table3[#All],2,FALSE)</f>
        <v>Vijay</v>
      </c>
      <c r="C21" s="2" t="str">
        <f>VLOOKUP(A21,Table3[#All],3,FALSE)</f>
        <v>Sales</v>
      </c>
      <c r="D21" s="2">
        <f>VLOOKUP(A21,Table3[#All],4,FALSE)</f>
        <v>38</v>
      </c>
      <c r="E21" s="2" t="str">
        <f>VLOOKUP(A21,Table3[#All],5,FALSE)</f>
        <v>Female</v>
      </c>
      <c r="F21" s="2">
        <f>VLOOKUP(A21,Table3[#All],6,FALSE)</f>
        <v>10</v>
      </c>
      <c r="G21" s="2">
        <f>VLOOKUP(A21,Table3[#All],7,FALSE)</f>
        <v>25866</v>
      </c>
      <c r="H21" s="2">
        <f>VLOOKUP(A21,Table3[#All],8,FALSE)</f>
        <v>6</v>
      </c>
      <c r="I21" s="2">
        <f>VLOOKUP(A21,Table3[#All],9,FALSE)</f>
        <v>42</v>
      </c>
      <c r="J21" s="2">
        <f>VLOOKUP(A21,Table3[#All],10,FALSE)</f>
        <v>4</v>
      </c>
      <c r="K21" s="2">
        <f>VLOOKUP(A21,Table3[#All],11,FALSE)</f>
        <v>91</v>
      </c>
      <c r="L21" s="2" t="str">
        <f>VLOOKUP(A21,Table3[#All],12,FALSE)</f>
        <v>Delhi</v>
      </c>
      <c r="M21" s="2" t="str">
        <f t="shared" si="0"/>
        <v>Not Eligible</v>
      </c>
    </row>
    <row r="22" spans="1:13" hidden="1" x14ac:dyDescent="0.25">
      <c r="A22" s="6" t="s">
        <v>201</v>
      </c>
      <c r="B22" s="2" t="str">
        <f>VLOOKUP(A22,Table3[#All],2,FALSE)</f>
        <v>Meena</v>
      </c>
      <c r="C22" s="2" t="str">
        <f>VLOOKUP(A22,Table3[#All],3,FALSE)</f>
        <v>Sales</v>
      </c>
      <c r="D22" s="2">
        <f>VLOOKUP(A22,Table3[#All],4,FALSE)</f>
        <v>34</v>
      </c>
      <c r="E22" s="2" t="str">
        <f>VLOOKUP(A22,Table3[#All],5,FALSE)</f>
        <v>Female</v>
      </c>
      <c r="F22" s="2">
        <f>VLOOKUP(A22,Table3[#All],6,FALSE)</f>
        <v>12</v>
      </c>
      <c r="G22" s="2">
        <f>VLOOKUP(A22,Table3[#All],7,FALSE)</f>
        <v>25870</v>
      </c>
      <c r="H22" s="2">
        <f>VLOOKUP(A22,Table3[#All],8,FALSE)</f>
        <v>12</v>
      </c>
      <c r="I22" s="2">
        <f>VLOOKUP(A22,Table3[#All],9,FALSE)</f>
        <v>42</v>
      </c>
      <c r="J22" s="2">
        <f>VLOOKUP(A22,Table3[#All],10,FALSE)</f>
        <v>5</v>
      </c>
      <c r="K22" s="2">
        <f>VLOOKUP(A22,Table3[#All],11,FALSE)</f>
        <v>89</v>
      </c>
      <c r="L22" s="2" t="str">
        <f>VLOOKUP(A22,Table3[#All],12,FALSE)</f>
        <v>Pune</v>
      </c>
      <c r="M22" s="2" t="str">
        <f t="shared" si="0"/>
        <v>Not Eligible</v>
      </c>
    </row>
    <row r="23" spans="1:13" hidden="1" x14ac:dyDescent="0.25">
      <c r="A23" s="6" t="s">
        <v>56</v>
      </c>
      <c r="B23" s="2" t="str">
        <f>VLOOKUP(A23,Table3[#All],2,FALSE)</f>
        <v>Nisha</v>
      </c>
      <c r="C23" s="2" t="str">
        <f>VLOOKUP(A23,Table3[#All],3,FALSE)</f>
        <v>IT</v>
      </c>
      <c r="D23" s="2">
        <f>VLOOKUP(A23,Table3[#All],4,FALSE)</f>
        <v>26</v>
      </c>
      <c r="E23" s="2" t="str">
        <f>VLOOKUP(A23,Table3[#All],5,FALSE)</f>
        <v>Female</v>
      </c>
      <c r="F23" s="2">
        <f>VLOOKUP(A23,Table3[#All],6,FALSE)</f>
        <v>2</v>
      </c>
      <c r="G23" s="2">
        <f>VLOOKUP(A23,Table3[#All],7,FALSE)</f>
        <v>49942</v>
      </c>
      <c r="H23" s="2">
        <f>VLOOKUP(A23,Table3[#All],8,FALSE)</f>
        <v>5</v>
      </c>
      <c r="I23" s="2">
        <f>VLOOKUP(A23,Table3[#All],9,FALSE)</f>
        <v>36</v>
      </c>
      <c r="J23" s="2">
        <f>VLOOKUP(A23,Table3[#All],10,FALSE)</f>
        <v>3</v>
      </c>
      <c r="K23" s="2">
        <f>VLOOKUP(A23,Table3[#All],11,FALSE)</f>
        <v>94</v>
      </c>
      <c r="L23" s="2" t="str">
        <f>VLOOKUP(A23,Table3[#All],12,FALSE)</f>
        <v>Chennai</v>
      </c>
      <c r="M23" s="2" t="str">
        <f t="shared" si="0"/>
        <v>Not Eligible</v>
      </c>
    </row>
    <row r="24" spans="1:13" hidden="1" x14ac:dyDescent="0.25">
      <c r="A24" s="5" t="s">
        <v>956</v>
      </c>
      <c r="B24" s="2" t="str">
        <f>VLOOKUP(A24,Table3[#All],2,FALSE)</f>
        <v>Manoj</v>
      </c>
      <c r="C24" s="2" t="str">
        <f>VLOOKUP(A24,Table3[#All],3,FALSE)</f>
        <v>IT</v>
      </c>
      <c r="D24" s="2">
        <f>VLOOKUP(A24,Table3[#All],4,FALSE)</f>
        <v>26</v>
      </c>
      <c r="E24" s="2" t="str">
        <f>VLOOKUP(A24,Table3[#All],5,FALSE)</f>
        <v>Male</v>
      </c>
      <c r="F24" s="2">
        <f>VLOOKUP(A24,Table3[#All],6,FALSE)</f>
        <v>10</v>
      </c>
      <c r="G24" s="2">
        <f>VLOOKUP(A24,Table3[#All],7,FALSE)</f>
        <v>25885</v>
      </c>
      <c r="H24" s="2">
        <f>VLOOKUP(A24,Table3[#All],8,FALSE)</f>
        <v>3</v>
      </c>
      <c r="I24" s="2">
        <f>VLOOKUP(A24,Table3[#All],9,FALSE)</f>
        <v>47</v>
      </c>
      <c r="J24" s="2">
        <f>VLOOKUP(A24,Table3[#All],10,FALSE)</f>
        <v>4</v>
      </c>
      <c r="K24" s="2">
        <f>VLOOKUP(A24,Table3[#All],11,FALSE)</f>
        <v>90</v>
      </c>
      <c r="L24" s="2" t="str">
        <f>VLOOKUP(A24,Table3[#All],12,FALSE)</f>
        <v>Chennai</v>
      </c>
      <c r="M24" s="2" t="str">
        <f t="shared" si="0"/>
        <v>Not Eligible</v>
      </c>
    </row>
    <row r="25" spans="1:13" hidden="1" x14ac:dyDescent="0.25">
      <c r="A25" s="6" t="s">
        <v>58</v>
      </c>
      <c r="B25" s="2" t="str">
        <f>VLOOKUP(A25,Table3[#All],2,FALSE)</f>
        <v>Ravi</v>
      </c>
      <c r="C25" s="2" t="str">
        <f>VLOOKUP(A25,Table3[#All],3,FALSE)</f>
        <v>IT</v>
      </c>
      <c r="D25" s="2">
        <f>VLOOKUP(A25,Table3[#All],4,FALSE)</f>
        <v>35</v>
      </c>
      <c r="E25" s="2" t="str">
        <f>VLOOKUP(A25,Table3[#All],5,FALSE)</f>
        <v>Male</v>
      </c>
      <c r="F25" s="2">
        <f>VLOOKUP(A25,Table3[#All],6,FALSE)</f>
        <v>3</v>
      </c>
      <c r="G25" s="2">
        <f>VLOOKUP(A25,Table3[#All],7,FALSE)</f>
        <v>27284</v>
      </c>
      <c r="H25" s="2">
        <f>VLOOKUP(A25,Table3[#All],8,FALSE)</f>
        <v>13</v>
      </c>
      <c r="I25" s="2">
        <f>VLOOKUP(A25,Table3[#All],9,FALSE)</f>
        <v>45</v>
      </c>
      <c r="J25" s="2">
        <f>VLOOKUP(A25,Table3[#All],10,FALSE)</f>
        <v>3</v>
      </c>
      <c r="K25" s="2">
        <f>VLOOKUP(A25,Table3[#All],11,FALSE)</f>
        <v>94</v>
      </c>
      <c r="L25" s="2" t="str">
        <f>VLOOKUP(A25,Table3[#All],12,FALSE)</f>
        <v>Chennai</v>
      </c>
      <c r="M25" s="2" t="str">
        <f t="shared" si="0"/>
        <v>Not Eligible</v>
      </c>
    </row>
    <row r="26" spans="1:13" hidden="1" x14ac:dyDescent="0.25">
      <c r="A26" s="5" t="s">
        <v>59</v>
      </c>
      <c r="B26" s="2" t="str">
        <f>VLOOKUP(A26,Table3[#All],2,FALSE)</f>
        <v>Sanjay</v>
      </c>
      <c r="C26" s="2" t="str">
        <f>VLOOKUP(A26,Table3[#All],3,FALSE)</f>
        <v>IT</v>
      </c>
      <c r="D26" s="2">
        <f>VLOOKUP(A26,Table3[#All],4,FALSE)</f>
        <v>27</v>
      </c>
      <c r="E26" s="2" t="str">
        <f>VLOOKUP(A26,Table3[#All],5,FALSE)</f>
        <v>Female</v>
      </c>
      <c r="F26" s="2">
        <f>VLOOKUP(A26,Table3[#All],6,FALSE)</f>
        <v>1</v>
      </c>
      <c r="G26" s="2">
        <f>VLOOKUP(A26,Table3[#All],7,FALSE)</f>
        <v>27633</v>
      </c>
      <c r="H26" s="2">
        <f>VLOOKUP(A26,Table3[#All],8,FALSE)</f>
        <v>4</v>
      </c>
      <c r="I26" s="2">
        <f>VLOOKUP(A26,Table3[#All],9,FALSE)</f>
        <v>39</v>
      </c>
      <c r="J26" s="2">
        <f>VLOOKUP(A26,Table3[#All],10,FALSE)</f>
        <v>3</v>
      </c>
      <c r="K26" s="2">
        <f>VLOOKUP(A26,Table3[#All],11,FALSE)</f>
        <v>91</v>
      </c>
      <c r="L26" s="2" t="str">
        <f>VLOOKUP(A26,Table3[#All],12,FALSE)</f>
        <v>Mumbai</v>
      </c>
      <c r="M26" s="2" t="str">
        <f t="shared" si="0"/>
        <v>Not Eligible</v>
      </c>
    </row>
    <row r="27" spans="1:13" hidden="1" x14ac:dyDescent="0.25">
      <c r="A27" s="6" t="s">
        <v>949</v>
      </c>
      <c r="B27" s="2" t="str">
        <f>VLOOKUP(A27,Table3[#All],2,FALSE)</f>
        <v>Priya</v>
      </c>
      <c r="C27" s="2" t="str">
        <f>VLOOKUP(A27,Table3[#All],3,FALSE)</f>
        <v>Finance</v>
      </c>
      <c r="D27" s="2">
        <f>VLOOKUP(A27,Table3[#All],4,FALSE)</f>
        <v>39</v>
      </c>
      <c r="E27" s="2" t="str">
        <f>VLOOKUP(A27,Table3[#All],5,FALSE)</f>
        <v>Male</v>
      </c>
      <c r="F27" s="2">
        <f>VLOOKUP(A27,Table3[#All],6,FALSE)</f>
        <v>5</v>
      </c>
      <c r="G27" s="2">
        <f>VLOOKUP(A27,Table3[#All],7,FALSE)</f>
        <v>25893</v>
      </c>
      <c r="H27" s="2">
        <f>VLOOKUP(A27,Table3[#All],8,FALSE)</f>
        <v>15</v>
      </c>
      <c r="I27" s="2">
        <f>VLOOKUP(A27,Table3[#All],9,FALSE)</f>
        <v>35</v>
      </c>
      <c r="J27" s="2">
        <f>VLOOKUP(A27,Table3[#All],10,FALSE)</f>
        <v>4</v>
      </c>
      <c r="K27" s="2">
        <f>VLOOKUP(A27,Table3[#All],11,FALSE)</f>
        <v>88</v>
      </c>
      <c r="L27" s="2" t="str">
        <f>VLOOKUP(A27,Table3[#All],12,FALSE)</f>
        <v>Delhi</v>
      </c>
      <c r="M27" s="2" t="str">
        <f t="shared" si="0"/>
        <v>Not Eligible</v>
      </c>
    </row>
    <row r="28" spans="1:13" hidden="1" x14ac:dyDescent="0.25">
      <c r="A28" s="6" t="s">
        <v>477</v>
      </c>
      <c r="B28" s="2" t="str">
        <f>VLOOKUP(A28,Table3[#All],2,FALSE)</f>
        <v>Ravi</v>
      </c>
      <c r="C28" s="2" t="str">
        <f>VLOOKUP(A28,Table3[#All],3,FALSE)</f>
        <v>IT</v>
      </c>
      <c r="D28" s="2">
        <f>VLOOKUP(A28,Table3[#All],4,FALSE)</f>
        <v>24</v>
      </c>
      <c r="E28" s="2" t="str">
        <f>VLOOKUP(A28,Table3[#All],5,FALSE)</f>
        <v>Female</v>
      </c>
      <c r="F28" s="2">
        <f>VLOOKUP(A28,Table3[#All],6,FALSE)</f>
        <v>11</v>
      </c>
      <c r="G28" s="2">
        <f>VLOOKUP(A28,Table3[#All],7,FALSE)</f>
        <v>25991</v>
      </c>
      <c r="H28" s="2">
        <f>VLOOKUP(A28,Table3[#All],8,FALSE)</f>
        <v>14</v>
      </c>
      <c r="I28" s="2">
        <f>VLOOKUP(A28,Table3[#All],9,FALSE)</f>
        <v>49</v>
      </c>
      <c r="J28" s="2">
        <f>VLOOKUP(A28,Table3[#All],10,FALSE)</f>
        <v>1</v>
      </c>
      <c r="K28" s="2">
        <f>VLOOKUP(A28,Table3[#All],11,FALSE)</f>
        <v>86</v>
      </c>
      <c r="L28" s="2" t="str">
        <f>VLOOKUP(A28,Table3[#All],12,FALSE)</f>
        <v>Hyderabad</v>
      </c>
      <c r="M28" s="2" t="str">
        <f t="shared" si="0"/>
        <v>Not Eligible</v>
      </c>
    </row>
    <row r="29" spans="1:13" hidden="1" x14ac:dyDescent="0.25">
      <c r="A29" s="5" t="s">
        <v>674</v>
      </c>
      <c r="B29" s="2" t="str">
        <f>VLOOKUP(A29,Table3[#All],2,FALSE)</f>
        <v>Karthik</v>
      </c>
      <c r="C29" s="2" t="str">
        <f>VLOOKUP(A29,Table3[#All],3,FALSE)</f>
        <v>Sales</v>
      </c>
      <c r="D29" s="2">
        <f>VLOOKUP(A29,Table3[#All],4,FALSE)</f>
        <v>24</v>
      </c>
      <c r="E29" s="2" t="str">
        <f>VLOOKUP(A29,Table3[#All],5,FALSE)</f>
        <v>Male</v>
      </c>
      <c r="F29" s="2">
        <f>VLOOKUP(A29,Table3[#All],6,FALSE)</f>
        <v>9</v>
      </c>
      <c r="G29" s="2">
        <f>VLOOKUP(A29,Table3[#All],7,FALSE)</f>
        <v>26010</v>
      </c>
      <c r="H29" s="2">
        <f>VLOOKUP(A29,Table3[#All],8,FALSE)</f>
        <v>3</v>
      </c>
      <c r="I29" s="2">
        <f>VLOOKUP(A29,Table3[#All],9,FALSE)</f>
        <v>35</v>
      </c>
      <c r="J29" s="2">
        <f>VLOOKUP(A29,Table3[#All],10,FALSE)</f>
        <v>5</v>
      </c>
      <c r="K29" s="2">
        <f>VLOOKUP(A29,Table3[#All],11,FALSE)</f>
        <v>100</v>
      </c>
      <c r="L29" s="2" t="str">
        <f>VLOOKUP(A29,Table3[#All],12,FALSE)</f>
        <v>Chennai</v>
      </c>
      <c r="M29" s="2" t="str">
        <f t="shared" si="0"/>
        <v>Eligible</v>
      </c>
    </row>
    <row r="30" spans="1:13" hidden="1" x14ac:dyDescent="0.25">
      <c r="A30" s="5" t="s">
        <v>420</v>
      </c>
      <c r="B30" s="2" t="str">
        <f>VLOOKUP(A30,Table3[#All],2,FALSE)</f>
        <v>Manoj</v>
      </c>
      <c r="C30" s="2" t="str">
        <f>VLOOKUP(A30,Table3[#All],3,FALSE)</f>
        <v>Sales</v>
      </c>
      <c r="D30" s="2">
        <f>VLOOKUP(A30,Table3[#All],4,FALSE)</f>
        <v>36</v>
      </c>
      <c r="E30" s="2" t="str">
        <f>VLOOKUP(A30,Table3[#All],5,FALSE)</f>
        <v>Male</v>
      </c>
      <c r="F30" s="2">
        <f>VLOOKUP(A30,Table3[#All],6,FALSE)</f>
        <v>5</v>
      </c>
      <c r="G30" s="2">
        <f>VLOOKUP(A30,Table3[#All],7,FALSE)</f>
        <v>26410</v>
      </c>
      <c r="H30" s="2">
        <f>VLOOKUP(A30,Table3[#All],8,FALSE)</f>
        <v>4</v>
      </c>
      <c r="I30" s="2">
        <f>VLOOKUP(A30,Table3[#All],9,FALSE)</f>
        <v>41</v>
      </c>
      <c r="J30" s="2">
        <f>VLOOKUP(A30,Table3[#All],10,FALSE)</f>
        <v>3</v>
      </c>
      <c r="K30" s="2">
        <f>VLOOKUP(A30,Table3[#All],11,FALSE)</f>
        <v>92</v>
      </c>
      <c r="L30" s="2" t="str">
        <f>VLOOKUP(A30,Table3[#All],12,FALSE)</f>
        <v>Delhi</v>
      </c>
      <c r="M30" s="2" t="str">
        <f t="shared" si="0"/>
        <v>Not Eligible</v>
      </c>
    </row>
    <row r="31" spans="1:13" hidden="1" x14ac:dyDescent="0.25">
      <c r="A31" s="5" t="s">
        <v>862</v>
      </c>
      <c r="B31" s="2" t="str">
        <f>VLOOKUP(A31,Table3[#All],2,FALSE)</f>
        <v>Sanjay</v>
      </c>
      <c r="C31" s="2" t="str">
        <f>VLOOKUP(A31,Table3[#All],3,FALSE)</f>
        <v>HR</v>
      </c>
      <c r="D31" s="2">
        <f>VLOOKUP(A31,Table3[#All],4,FALSE)</f>
        <v>39</v>
      </c>
      <c r="E31" s="2" t="str">
        <f>VLOOKUP(A31,Table3[#All],5,FALSE)</f>
        <v>Male</v>
      </c>
      <c r="F31" s="2">
        <f>VLOOKUP(A31,Table3[#All],6,FALSE)</f>
        <v>8</v>
      </c>
      <c r="G31" s="2">
        <f>VLOOKUP(A31,Table3[#All],7,FALSE)</f>
        <v>26504</v>
      </c>
      <c r="H31" s="2">
        <f>VLOOKUP(A31,Table3[#All],8,FALSE)</f>
        <v>13</v>
      </c>
      <c r="I31" s="2">
        <f>VLOOKUP(A31,Table3[#All],9,FALSE)</f>
        <v>49</v>
      </c>
      <c r="J31" s="2">
        <f>VLOOKUP(A31,Table3[#All],10,FALSE)</f>
        <v>3</v>
      </c>
      <c r="K31" s="2">
        <f>VLOOKUP(A31,Table3[#All],11,FALSE)</f>
        <v>85</v>
      </c>
      <c r="L31" s="2" t="str">
        <f>VLOOKUP(A31,Table3[#All],12,FALSE)</f>
        <v>Delhi</v>
      </c>
      <c r="M31" s="2" t="str">
        <f t="shared" si="0"/>
        <v>Not Eligible</v>
      </c>
    </row>
    <row r="32" spans="1:13" hidden="1" x14ac:dyDescent="0.25">
      <c r="A32" s="5" t="s">
        <v>67</v>
      </c>
      <c r="B32" s="2" t="str">
        <f>VLOOKUP(A32,Table3[#All],2,FALSE)</f>
        <v>Vijay</v>
      </c>
      <c r="C32" s="2" t="str">
        <f>VLOOKUP(A32,Table3[#All],3,FALSE)</f>
        <v>Finance</v>
      </c>
      <c r="D32" s="2">
        <f>VLOOKUP(A32,Table3[#All],4,FALSE)</f>
        <v>35</v>
      </c>
      <c r="E32" s="2" t="str">
        <f>VLOOKUP(A32,Table3[#All],5,FALSE)</f>
        <v>Male</v>
      </c>
      <c r="F32" s="2">
        <f>VLOOKUP(A32,Table3[#All],6,FALSE)</f>
        <v>3</v>
      </c>
      <c r="G32" s="2">
        <f>VLOOKUP(A32,Table3[#All],7,FALSE)</f>
        <v>72178</v>
      </c>
      <c r="H32" s="2">
        <f>VLOOKUP(A32,Table3[#All],8,FALSE)</f>
        <v>14</v>
      </c>
      <c r="I32" s="2">
        <f>VLOOKUP(A32,Table3[#All],9,FALSE)</f>
        <v>44</v>
      </c>
      <c r="J32" s="2">
        <f>VLOOKUP(A32,Table3[#All],10,FALSE)</f>
        <v>2</v>
      </c>
      <c r="K32" s="2">
        <f>VLOOKUP(A32,Table3[#All],11,FALSE)</f>
        <v>93</v>
      </c>
      <c r="L32" s="2" t="str">
        <f>VLOOKUP(A32,Table3[#All],12,FALSE)</f>
        <v>Bangalore</v>
      </c>
      <c r="M32" s="2" t="str">
        <f t="shared" si="0"/>
        <v>Not Eligible</v>
      </c>
    </row>
    <row r="33" spans="1:13" hidden="1" x14ac:dyDescent="0.25">
      <c r="A33" s="6" t="s">
        <v>68</v>
      </c>
      <c r="B33" s="2" t="str">
        <f>VLOOKUP(A33,Table3[#All],2,FALSE)</f>
        <v>Vijay</v>
      </c>
      <c r="C33" s="2" t="str">
        <f>VLOOKUP(A33,Table3[#All],3,FALSE)</f>
        <v>Sales</v>
      </c>
      <c r="D33" s="2">
        <f>VLOOKUP(A33,Table3[#All],4,FALSE)</f>
        <v>35</v>
      </c>
      <c r="E33" s="2" t="str">
        <f>VLOOKUP(A33,Table3[#All],5,FALSE)</f>
        <v>Male</v>
      </c>
      <c r="F33" s="2">
        <f>VLOOKUP(A33,Table3[#All],6,FALSE)</f>
        <v>1</v>
      </c>
      <c r="G33" s="2">
        <f>VLOOKUP(A33,Table3[#All],7,FALSE)</f>
        <v>44658</v>
      </c>
      <c r="H33" s="2">
        <f>VLOOKUP(A33,Table3[#All],8,FALSE)</f>
        <v>6</v>
      </c>
      <c r="I33" s="2">
        <f>VLOOKUP(A33,Table3[#All],9,FALSE)</f>
        <v>40</v>
      </c>
      <c r="J33" s="2">
        <f>VLOOKUP(A33,Table3[#All],10,FALSE)</f>
        <v>3</v>
      </c>
      <c r="K33" s="2">
        <f>VLOOKUP(A33,Table3[#All],11,FALSE)</f>
        <v>88</v>
      </c>
      <c r="L33" s="2" t="str">
        <f>VLOOKUP(A33,Table3[#All],12,FALSE)</f>
        <v>Pune</v>
      </c>
      <c r="M33" s="2" t="str">
        <f t="shared" si="0"/>
        <v>Not Eligible</v>
      </c>
    </row>
    <row r="34" spans="1:13" hidden="1" x14ac:dyDescent="0.25">
      <c r="A34" s="6" t="s">
        <v>579</v>
      </c>
      <c r="B34" s="2" t="str">
        <f>VLOOKUP(A34,Table3[#All],2,FALSE)</f>
        <v>Arun</v>
      </c>
      <c r="C34" s="2" t="str">
        <f>VLOOKUP(A34,Table3[#All],3,FALSE)</f>
        <v>IT</v>
      </c>
      <c r="D34" s="2">
        <f>VLOOKUP(A34,Table3[#All],4,FALSE)</f>
        <v>34</v>
      </c>
      <c r="E34" s="2" t="str">
        <f>VLOOKUP(A34,Table3[#All],5,FALSE)</f>
        <v>Female</v>
      </c>
      <c r="F34" s="2">
        <f>VLOOKUP(A34,Table3[#All],6,FALSE)</f>
        <v>9</v>
      </c>
      <c r="G34" s="2">
        <f>VLOOKUP(A34,Table3[#All],7,FALSE)</f>
        <v>26531</v>
      </c>
      <c r="H34" s="2">
        <f>VLOOKUP(A34,Table3[#All],8,FALSE)</f>
        <v>9</v>
      </c>
      <c r="I34" s="2">
        <f>VLOOKUP(A34,Table3[#All],9,FALSE)</f>
        <v>42</v>
      </c>
      <c r="J34" s="2">
        <f>VLOOKUP(A34,Table3[#All],10,FALSE)</f>
        <v>4</v>
      </c>
      <c r="K34" s="2">
        <f>VLOOKUP(A34,Table3[#All],11,FALSE)</f>
        <v>97</v>
      </c>
      <c r="L34" s="2" t="str">
        <f>VLOOKUP(A34,Table3[#All],12,FALSE)</f>
        <v>Mumbai</v>
      </c>
      <c r="M34" s="2" t="str">
        <f t="shared" si="0"/>
        <v>Eligible</v>
      </c>
    </row>
    <row r="35" spans="1:13" hidden="1" x14ac:dyDescent="0.25">
      <c r="A35" s="6" t="s">
        <v>71</v>
      </c>
      <c r="B35" s="2" t="str">
        <f>VLOOKUP(A35,Table3[#All],2,FALSE)</f>
        <v>Ajay</v>
      </c>
      <c r="C35" s="2" t="str">
        <f>VLOOKUP(A35,Table3[#All],3,FALSE)</f>
        <v>Sales</v>
      </c>
      <c r="D35" s="2">
        <f>VLOOKUP(A35,Table3[#All],4,FALSE)</f>
        <v>32</v>
      </c>
      <c r="E35" s="2" t="str">
        <f>VLOOKUP(A35,Table3[#All],5,FALSE)</f>
        <v>Male</v>
      </c>
      <c r="F35" s="2">
        <f>VLOOKUP(A35,Table3[#All],6,FALSE)</f>
        <v>3</v>
      </c>
      <c r="G35" s="2">
        <f>VLOOKUP(A35,Table3[#All],7,FALSE)</f>
        <v>65611</v>
      </c>
      <c r="H35" s="2">
        <f>VLOOKUP(A35,Table3[#All],8,FALSE)</f>
        <v>4</v>
      </c>
      <c r="I35" s="2">
        <f>VLOOKUP(A35,Table3[#All],9,FALSE)</f>
        <v>38</v>
      </c>
      <c r="J35" s="2">
        <f>VLOOKUP(A35,Table3[#All],10,FALSE)</f>
        <v>4</v>
      </c>
      <c r="K35" s="2">
        <f>VLOOKUP(A35,Table3[#All],11,FALSE)</f>
        <v>94</v>
      </c>
      <c r="L35" s="2" t="str">
        <f>VLOOKUP(A35,Table3[#All],12,FALSE)</f>
        <v>Pune</v>
      </c>
      <c r="M35" s="2" t="str">
        <f t="shared" si="0"/>
        <v>Not Eligible</v>
      </c>
    </row>
    <row r="36" spans="1:13" hidden="1" x14ac:dyDescent="0.25">
      <c r="A36" s="5" t="s">
        <v>834</v>
      </c>
      <c r="B36" s="2" t="str">
        <f>VLOOKUP(A36,Table3[#All],2,FALSE)</f>
        <v>Manoj</v>
      </c>
      <c r="C36" s="2" t="str">
        <f>VLOOKUP(A36,Table3[#All],3,FALSE)</f>
        <v>Finance</v>
      </c>
      <c r="D36" s="2">
        <f>VLOOKUP(A36,Table3[#All],4,FALSE)</f>
        <v>39</v>
      </c>
      <c r="E36" s="2" t="str">
        <f>VLOOKUP(A36,Table3[#All],5,FALSE)</f>
        <v>Male</v>
      </c>
      <c r="F36" s="2">
        <f>VLOOKUP(A36,Table3[#All],6,FALSE)</f>
        <v>7</v>
      </c>
      <c r="G36" s="2">
        <f>VLOOKUP(A36,Table3[#All],7,FALSE)</f>
        <v>26573</v>
      </c>
      <c r="H36" s="2">
        <f>VLOOKUP(A36,Table3[#All],8,FALSE)</f>
        <v>8</v>
      </c>
      <c r="I36" s="2">
        <f>VLOOKUP(A36,Table3[#All],9,FALSE)</f>
        <v>37</v>
      </c>
      <c r="J36" s="2">
        <f>VLOOKUP(A36,Table3[#All],10,FALSE)</f>
        <v>3</v>
      </c>
      <c r="K36" s="2">
        <f>VLOOKUP(A36,Table3[#All],11,FALSE)</f>
        <v>93</v>
      </c>
      <c r="L36" s="2" t="str">
        <f>VLOOKUP(A36,Table3[#All],12,FALSE)</f>
        <v>Bangalore</v>
      </c>
      <c r="M36" s="2" t="str">
        <f t="shared" si="0"/>
        <v>Not Eligible</v>
      </c>
    </row>
    <row r="37" spans="1:13" hidden="1" x14ac:dyDescent="0.25">
      <c r="A37" s="6" t="s">
        <v>73</v>
      </c>
      <c r="B37" s="2" t="str">
        <f>VLOOKUP(A37,Table3[#All],2,FALSE)</f>
        <v>Rekha</v>
      </c>
      <c r="C37" s="2" t="str">
        <f>VLOOKUP(A37,Table3[#All],3,FALSE)</f>
        <v>IT</v>
      </c>
      <c r="D37" s="2">
        <f>VLOOKUP(A37,Table3[#All],4,FALSE)</f>
        <v>26</v>
      </c>
      <c r="E37" s="2" t="str">
        <f>VLOOKUP(A37,Table3[#All],5,FALSE)</f>
        <v>Female</v>
      </c>
      <c r="F37" s="2">
        <f>VLOOKUP(A37,Table3[#All],6,FALSE)</f>
        <v>2</v>
      </c>
      <c r="G37" s="2">
        <f>VLOOKUP(A37,Table3[#All],7,FALSE)</f>
        <v>76768</v>
      </c>
      <c r="H37" s="2">
        <f>VLOOKUP(A37,Table3[#All],8,FALSE)</f>
        <v>11</v>
      </c>
      <c r="I37" s="2">
        <f>VLOOKUP(A37,Table3[#All],9,FALSE)</f>
        <v>47</v>
      </c>
      <c r="J37" s="2">
        <f>VLOOKUP(A37,Table3[#All],10,FALSE)</f>
        <v>4</v>
      </c>
      <c r="K37" s="2">
        <f>VLOOKUP(A37,Table3[#All],11,FALSE)</f>
        <v>92</v>
      </c>
      <c r="L37" s="2" t="str">
        <f>VLOOKUP(A37,Table3[#All],12,FALSE)</f>
        <v>Bangalore</v>
      </c>
      <c r="M37" s="2" t="str">
        <f t="shared" si="0"/>
        <v>Not Eligible</v>
      </c>
    </row>
    <row r="38" spans="1:13" hidden="1" x14ac:dyDescent="0.25">
      <c r="A38" s="5" t="s">
        <v>458</v>
      </c>
      <c r="B38" s="2" t="str">
        <f>VLOOKUP(A38,Table3[#All],2,FALSE)</f>
        <v>Nisha</v>
      </c>
      <c r="C38" s="2" t="str">
        <f>VLOOKUP(A38,Table3[#All],3,FALSE)</f>
        <v>HR</v>
      </c>
      <c r="D38" s="2">
        <f>VLOOKUP(A38,Table3[#All],4,FALSE)</f>
        <v>40</v>
      </c>
      <c r="E38" s="2" t="str">
        <f>VLOOKUP(A38,Table3[#All],5,FALSE)</f>
        <v>Female</v>
      </c>
      <c r="F38" s="2">
        <f>VLOOKUP(A38,Table3[#All],6,FALSE)</f>
        <v>14</v>
      </c>
      <c r="G38" s="2">
        <f>VLOOKUP(A38,Table3[#All],7,FALSE)</f>
        <v>26602</v>
      </c>
      <c r="H38" s="2">
        <f>VLOOKUP(A38,Table3[#All],8,FALSE)</f>
        <v>15</v>
      </c>
      <c r="I38" s="2">
        <f>VLOOKUP(A38,Table3[#All],9,FALSE)</f>
        <v>37</v>
      </c>
      <c r="J38" s="2">
        <f>VLOOKUP(A38,Table3[#All],10,FALSE)</f>
        <v>1</v>
      </c>
      <c r="K38" s="2">
        <f>VLOOKUP(A38,Table3[#All],11,FALSE)</f>
        <v>86</v>
      </c>
      <c r="L38" s="2" t="str">
        <f>VLOOKUP(A38,Table3[#All],12,FALSE)</f>
        <v>Chennai</v>
      </c>
      <c r="M38" s="2" t="str">
        <f t="shared" si="0"/>
        <v>Not Eligible</v>
      </c>
    </row>
    <row r="39" spans="1:13" x14ac:dyDescent="0.25">
      <c r="A39" s="5" t="s">
        <v>428</v>
      </c>
      <c r="B39" s="2" t="str">
        <f>VLOOKUP(A39,Table3[#All],2,FALSE)</f>
        <v>Karthik</v>
      </c>
      <c r="C39" s="2" t="str">
        <f>VLOOKUP(A39,Table3[#All],3,FALSE)</f>
        <v>HR</v>
      </c>
      <c r="D39" s="2">
        <f>VLOOKUP(A39,Table3[#All],4,FALSE)</f>
        <v>33</v>
      </c>
      <c r="E39" s="2" t="str">
        <f>VLOOKUP(A39,Table3[#All],5,FALSE)</f>
        <v>Male</v>
      </c>
      <c r="F39" s="2">
        <f>VLOOKUP(A39,Table3[#All],6,FALSE)</f>
        <v>6</v>
      </c>
      <c r="G39" s="2">
        <f>VLOOKUP(A39,Table3[#All],7,FALSE)</f>
        <v>26608</v>
      </c>
      <c r="H39" s="2">
        <f>VLOOKUP(A39,Table3[#All],8,FALSE)</f>
        <v>14</v>
      </c>
      <c r="I39" s="2">
        <f>VLOOKUP(A39,Table3[#All],9,FALSE)</f>
        <v>47</v>
      </c>
      <c r="J39" s="2">
        <f>VLOOKUP(A39,Table3[#All],10,FALSE)</f>
        <v>4</v>
      </c>
      <c r="K39" s="2">
        <f>VLOOKUP(A39,Table3[#All],11,FALSE)</f>
        <v>91</v>
      </c>
      <c r="L39" s="2" t="str">
        <f>VLOOKUP(A39,Table3[#All],12,FALSE)</f>
        <v>Chennai</v>
      </c>
      <c r="M39" s="2" t="str">
        <f t="shared" si="0"/>
        <v>Not Eligible</v>
      </c>
    </row>
    <row r="40" spans="1:13" hidden="1" x14ac:dyDescent="0.25">
      <c r="A40" s="5" t="s">
        <v>462</v>
      </c>
      <c r="B40" s="2" t="str">
        <f>VLOOKUP(A40,Table3[#All],2,FALSE)</f>
        <v>Arun</v>
      </c>
      <c r="C40" s="2" t="str">
        <f>VLOOKUP(A40,Table3[#All],3,FALSE)</f>
        <v>IT</v>
      </c>
      <c r="D40" s="2">
        <f>VLOOKUP(A40,Table3[#All],4,FALSE)</f>
        <v>28</v>
      </c>
      <c r="E40" s="2" t="str">
        <f>VLOOKUP(A40,Table3[#All],5,FALSE)</f>
        <v>Male</v>
      </c>
      <c r="F40" s="2">
        <f>VLOOKUP(A40,Table3[#All],6,FALSE)</f>
        <v>10</v>
      </c>
      <c r="G40" s="2">
        <f>VLOOKUP(A40,Table3[#All],7,FALSE)</f>
        <v>26780</v>
      </c>
      <c r="H40" s="2">
        <f>VLOOKUP(A40,Table3[#All],8,FALSE)</f>
        <v>8</v>
      </c>
      <c r="I40" s="2">
        <f>VLOOKUP(A40,Table3[#All],9,FALSE)</f>
        <v>47</v>
      </c>
      <c r="J40" s="2">
        <f>VLOOKUP(A40,Table3[#All],10,FALSE)</f>
        <v>4</v>
      </c>
      <c r="K40" s="2">
        <f>VLOOKUP(A40,Table3[#All],11,FALSE)</f>
        <v>85</v>
      </c>
      <c r="L40" s="2" t="str">
        <f>VLOOKUP(A40,Table3[#All],12,FALSE)</f>
        <v>Delhi</v>
      </c>
      <c r="M40" s="2" t="str">
        <f t="shared" si="0"/>
        <v>Not Eligible</v>
      </c>
    </row>
    <row r="41" spans="1:13" hidden="1" x14ac:dyDescent="0.25">
      <c r="A41" s="6" t="s">
        <v>729</v>
      </c>
      <c r="B41" s="2" t="str">
        <f>VLOOKUP(A41,Table3[#All],2,FALSE)</f>
        <v>Ajay</v>
      </c>
      <c r="C41" s="2" t="str">
        <f>VLOOKUP(A41,Table3[#All],3,FALSE)</f>
        <v>Finance</v>
      </c>
      <c r="D41" s="2">
        <f>VLOOKUP(A41,Table3[#All],4,FALSE)</f>
        <v>35</v>
      </c>
      <c r="E41" s="2" t="str">
        <f>VLOOKUP(A41,Table3[#All],5,FALSE)</f>
        <v>Female</v>
      </c>
      <c r="F41" s="2">
        <f>VLOOKUP(A41,Table3[#All],6,FALSE)</f>
        <v>13</v>
      </c>
      <c r="G41" s="2">
        <f>VLOOKUP(A41,Table3[#All],7,FALSE)</f>
        <v>26905</v>
      </c>
      <c r="H41" s="2">
        <f>VLOOKUP(A41,Table3[#All],8,FALSE)</f>
        <v>4</v>
      </c>
      <c r="I41" s="2">
        <f>VLOOKUP(A41,Table3[#All],9,FALSE)</f>
        <v>45</v>
      </c>
      <c r="J41" s="2">
        <f>VLOOKUP(A41,Table3[#All],10,FALSE)</f>
        <v>5</v>
      </c>
      <c r="K41" s="2">
        <f>VLOOKUP(A41,Table3[#All],11,FALSE)</f>
        <v>86</v>
      </c>
      <c r="L41" s="2" t="str">
        <f>VLOOKUP(A41,Table3[#All],12,FALSE)</f>
        <v>Delhi</v>
      </c>
      <c r="M41" s="2" t="str">
        <f t="shared" si="0"/>
        <v>Not Eligible</v>
      </c>
    </row>
    <row r="42" spans="1:13" x14ac:dyDescent="0.25">
      <c r="A42" s="5" t="s">
        <v>666</v>
      </c>
      <c r="B42" s="2" t="str">
        <f>VLOOKUP(A42,Table3[#All],2,FALSE)</f>
        <v>Lakshmi</v>
      </c>
      <c r="C42" s="2" t="str">
        <f>VLOOKUP(A42,Table3[#All],3,FALSE)</f>
        <v>IT</v>
      </c>
      <c r="D42" s="2">
        <f>VLOOKUP(A42,Table3[#All],4,FALSE)</f>
        <v>37</v>
      </c>
      <c r="E42" s="2" t="str">
        <f>VLOOKUP(A42,Table3[#All],5,FALSE)</f>
        <v>Female</v>
      </c>
      <c r="F42" s="2">
        <f>VLOOKUP(A42,Table3[#All],6,FALSE)</f>
        <v>13</v>
      </c>
      <c r="G42" s="2">
        <f>VLOOKUP(A42,Table3[#All],7,FALSE)</f>
        <v>27017</v>
      </c>
      <c r="H42" s="2">
        <f>VLOOKUP(A42,Table3[#All],8,FALSE)</f>
        <v>11</v>
      </c>
      <c r="I42" s="2">
        <f>VLOOKUP(A42,Table3[#All],9,FALSE)</f>
        <v>47</v>
      </c>
      <c r="J42" s="2">
        <f>VLOOKUP(A42,Table3[#All],10,FALSE)</f>
        <v>2</v>
      </c>
      <c r="K42" s="2">
        <f>VLOOKUP(A42,Table3[#All],11,FALSE)</f>
        <v>93</v>
      </c>
      <c r="L42" s="2" t="str">
        <f>VLOOKUP(A42,Table3[#All],12,FALSE)</f>
        <v>Bangalore</v>
      </c>
      <c r="M42" s="2" t="str">
        <f t="shared" si="0"/>
        <v>Not Eligible</v>
      </c>
    </row>
    <row r="43" spans="1:13" hidden="1" x14ac:dyDescent="0.25">
      <c r="A43" s="6" t="s">
        <v>82</v>
      </c>
      <c r="B43" s="2" t="str">
        <f>VLOOKUP(A43,Table3[#All],2,FALSE)</f>
        <v>Divya</v>
      </c>
      <c r="C43" s="2" t="str">
        <f>VLOOKUP(A43,Table3[#All],3,FALSE)</f>
        <v>HR</v>
      </c>
      <c r="D43" s="2">
        <f>VLOOKUP(A43,Table3[#All],4,FALSE)</f>
        <v>33</v>
      </c>
      <c r="E43" s="2" t="str">
        <f>VLOOKUP(A43,Table3[#All],5,FALSE)</f>
        <v>Female</v>
      </c>
      <c r="F43" s="2">
        <f>VLOOKUP(A43,Table3[#All],6,FALSE)</f>
        <v>3</v>
      </c>
      <c r="G43" s="2">
        <f>VLOOKUP(A43,Table3[#All],7,FALSE)</f>
        <v>79872</v>
      </c>
      <c r="H43" s="2">
        <f>VLOOKUP(A43,Table3[#All],8,FALSE)</f>
        <v>13</v>
      </c>
      <c r="I43" s="2">
        <f>VLOOKUP(A43,Table3[#All],9,FALSE)</f>
        <v>47</v>
      </c>
      <c r="J43" s="2">
        <f>VLOOKUP(A43,Table3[#All],10,FALSE)</f>
        <v>3</v>
      </c>
      <c r="K43" s="2">
        <f>VLOOKUP(A43,Table3[#All],11,FALSE)</f>
        <v>95</v>
      </c>
      <c r="L43" s="2" t="str">
        <f>VLOOKUP(A43,Table3[#All],12,FALSE)</f>
        <v>Mumbai</v>
      </c>
      <c r="M43" s="2" t="str">
        <f t="shared" si="0"/>
        <v>Eligible</v>
      </c>
    </row>
    <row r="44" spans="1:13" hidden="1" x14ac:dyDescent="0.25">
      <c r="A44" s="6" t="s">
        <v>927</v>
      </c>
      <c r="B44" s="2" t="str">
        <f>VLOOKUP(A44,Table3[#All],2,FALSE)</f>
        <v>Meena</v>
      </c>
      <c r="C44" s="2" t="str">
        <f>VLOOKUP(A44,Table3[#All],3,FALSE)</f>
        <v>IT</v>
      </c>
      <c r="D44" s="2">
        <f>VLOOKUP(A44,Table3[#All],4,FALSE)</f>
        <v>36</v>
      </c>
      <c r="E44" s="2" t="str">
        <f>VLOOKUP(A44,Table3[#All],5,FALSE)</f>
        <v>Male</v>
      </c>
      <c r="F44" s="2">
        <f>VLOOKUP(A44,Table3[#All],6,FALSE)</f>
        <v>14</v>
      </c>
      <c r="G44" s="2">
        <f>VLOOKUP(A44,Table3[#All],7,FALSE)</f>
        <v>27030</v>
      </c>
      <c r="H44" s="2">
        <f>VLOOKUP(A44,Table3[#All],8,FALSE)</f>
        <v>5</v>
      </c>
      <c r="I44" s="2">
        <f>VLOOKUP(A44,Table3[#All],9,FALSE)</f>
        <v>35</v>
      </c>
      <c r="J44" s="2">
        <f>VLOOKUP(A44,Table3[#All],10,FALSE)</f>
        <v>3</v>
      </c>
      <c r="K44" s="2">
        <f>VLOOKUP(A44,Table3[#All],11,FALSE)</f>
        <v>98</v>
      </c>
      <c r="L44" s="2" t="str">
        <f>VLOOKUP(A44,Table3[#All],12,FALSE)</f>
        <v>Mumbai</v>
      </c>
      <c r="M44" s="2" t="str">
        <f t="shared" si="0"/>
        <v>Eligible</v>
      </c>
    </row>
    <row r="45" spans="1:13" x14ac:dyDescent="0.25">
      <c r="A45" s="5" t="s">
        <v>194</v>
      </c>
      <c r="B45" s="2" t="str">
        <f>VLOOKUP(A45,Table3[#All],2,FALSE)</f>
        <v>Ramesh</v>
      </c>
      <c r="C45" s="2" t="str">
        <f>VLOOKUP(A45,Table3[#All],3,FALSE)</f>
        <v>IT</v>
      </c>
      <c r="D45" s="2">
        <f>VLOOKUP(A45,Table3[#All],4,FALSE)</f>
        <v>31</v>
      </c>
      <c r="E45" s="2" t="str">
        <f>VLOOKUP(A45,Table3[#All],5,FALSE)</f>
        <v>Male</v>
      </c>
      <c r="F45" s="2">
        <f>VLOOKUP(A45,Table3[#All],6,FALSE)</f>
        <v>15</v>
      </c>
      <c r="G45" s="2">
        <f>VLOOKUP(A45,Table3[#All],7,FALSE)</f>
        <v>27034</v>
      </c>
      <c r="H45" s="2">
        <f>VLOOKUP(A45,Table3[#All],8,FALSE)</f>
        <v>11</v>
      </c>
      <c r="I45" s="2">
        <f>VLOOKUP(A45,Table3[#All],9,FALSE)</f>
        <v>43</v>
      </c>
      <c r="J45" s="2">
        <f>VLOOKUP(A45,Table3[#All],10,FALSE)</f>
        <v>3</v>
      </c>
      <c r="K45" s="2">
        <f>VLOOKUP(A45,Table3[#All],11,FALSE)</f>
        <v>97</v>
      </c>
      <c r="L45" s="2" t="str">
        <f>VLOOKUP(A45,Table3[#All],12,FALSE)</f>
        <v>Hyderabad</v>
      </c>
      <c r="M45" s="2" t="str">
        <f t="shared" si="0"/>
        <v>Eligible</v>
      </c>
    </row>
    <row r="46" spans="1:13" hidden="1" x14ac:dyDescent="0.25">
      <c r="A46" s="6" t="s">
        <v>591</v>
      </c>
      <c r="B46" s="2" t="str">
        <f>VLOOKUP(A46,Table3[#All],2,FALSE)</f>
        <v>Hari</v>
      </c>
      <c r="C46" s="2" t="str">
        <f>VLOOKUP(A46,Table3[#All],3,FALSE)</f>
        <v>HR</v>
      </c>
      <c r="D46" s="2">
        <f>VLOOKUP(A46,Table3[#All],4,FALSE)</f>
        <v>24</v>
      </c>
      <c r="E46" s="2" t="str">
        <f>VLOOKUP(A46,Table3[#All],5,FALSE)</f>
        <v>Female</v>
      </c>
      <c r="F46" s="2">
        <f>VLOOKUP(A46,Table3[#All],6,FALSE)</f>
        <v>9</v>
      </c>
      <c r="G46" s="2">
        <f>VLOOKUP(A46,Table3[#All],7,FALSE)</f>
        <v>27099</v>
      </c>
      <c r="H46" s="2">
        <f>VLOOKUP(A46,Table3[#All],8,FALSE)</f>
        <v>9</v>
      </c>
      <c r="I46" s="2">
        <f>VLOOKUP(A46,Table3[#All],9,FALSE)</f>
        <v>41</v>
      </c>
      <c r="J46" s="2">
        <f>VLOOKUP(A46,Table3[#All],10,FALSE)</f>
        <v>4</v>
      </c>
      <c r="K46" s="2">
        <f>VLOOKUP(A46,Table3[#All],11,FALSE)</f>
        <v>100</v>
      </c>
      <c r="L46" s="2" t="str">
        <f>VLOOKUP(A46,Table3[#All],12,FALSE)</f>
        <v>Chennai</v>
      </c>
      <c r="M46" s="2" t="str">
        <f t="shared" si="0"/>
        <v>Eligible</v>
      </c>
    </row>
    <row r="47" spans="1:13" hidden="1" x14ac:dyDescent="0.25">
      <c r="A47" s="6" t="s">
        <v>1005</v>
      </c>
      <c r="B47" s="2" t="str">
        <f>VLOOKUP(A47,Table3[#All],2,FALSE)</f>
        <v>Rekha</v>
      </c>
      <c r="C47" s="2" t="str">
        <f>VLOOKUP(A47,Table3[#All],3,FALSE)</f>
        <v>HR</v>
      </c>
      <c r="D47" s="2">
        <f>VLOOKUP(A47,Table3[#All],4,FALSE)</f>
        <v>26</v>
      </c>
      <c r="E47" s="2" t="str">
        <f>VLOOKUP(A47,Table3[#All],5,FALSE)</f>
        <v>Female</v>
      </c>
      <c r="F47" s="2">
        <f>VLOOKUP(A47,Table3[#All],6,FALSE)</f>
        <v>6</v>
      </c>
      <c r="G47" s="2">
        <f>VLOOKUP(A47,Table3[#All],7,FALSE)</f>
        <v>27166</v>
      </c>
      <c r="H47" s="2">
        <f>VLOOKUP(A47,Table3[#All],8,FALSE)</f>
        <v>5</v>
      </c>
      <c r="I47" s="2">
        <f>VLOOKUP(A47,Table3[#All],9,FALSE)</f>
        <v>44</v>
      </c>
      <c r="J47" s="2">
        <f>VLOOKUP(A47,Table3[#All],10,FALSE)</f>
        <v>3</v>
      </c>
      <c r="K47" s="2">
        <f>VLOOKUP(A47,Table3[#All],11,FALSE)</f>
        <v>100</v>
      </c>
      <c r="L47" s="2" t="str">
        <f>VLOOKUP(A47,Table3[#All],12,FALSE)</f>
        <v>Bangalore</v>
      </c>
      <c r="M47" s="2" t="str">
        <f t="shared" si="0"/>
        <v>Eligible</v>
      </c>
    </row>
    <row r="48" spans="1:13" hidden="1" x14ac:dyDescent="0.25">
      <c r="A48" s="5" t="s">
        <v>88</v>
      </c>
      <c r="B48" s="2" t="str">
        <f>VLOOKUP(A48,Table3[#All],2,FALSE)</f>
        <v>Meena</v>
      </c>
      <c r="C48" s="2" t="str">
        <f>VLOOKUP(A48,Table3[#All],3,FALSE)</f>
        <v>HR</v>
      </c>
      <c r="D48" s="2">
        <f>VLOOKUP(A48,Table3[#All],4,FALSE)</f>
        <v>31</v>
      </c>
      <c r="E48" s="2" t="str">
        <f>VLOOKUP(A48,Table3[#All],5,FALSE)</f>
        <v>Female</v>
      </c>
      <c r="F48" s="2">
        <f>VLOOKUP(A48,Table3[#All],6,FALSE)</f>
        <v>2</v>
      </c>
      <c r="G48" s="2">
        <f>VLOOKUP(A48,Table3[#All],7,FALSE)</f>
        <v>41462</v>
      </c>
      <c r="H48" s="2">
        <f>VLOOKUP(A48,Table3[#All],8,FALSE)</f>
        <v>13</v>
      </c>
      <c r="I48" s="2">
        <f>VLOOKUP(A48,Table3[#All],9,FALSE)</f>
        <v>49</v>
      </c>
      <c r="J48" s="2">
        <f>VLOOKUP(A48,Table3[#All],10,FALSE)</f>
        <v>3</v>
      </c>
      <c r="K48" s="2">
        <f>VLOOKUP(A48,Table3[#All],11,FALSE)</f>
        <v>89</v>
      </c>
      <c r="L48" s="2" t="str">
        <f>VLOOKUP(A48,Table3[#All],12,FALSE)</f>
        <v>Bangalore</v>
      </c>
      <c r="M48" s="2" t="str">
        <f t="shared" si="0"/>
        <v>Not Eligible</v>
      </c>
    </row>
    <row r="49" spans="1:13" x14ac:dyDescent="0.25">
      <c r="A49" s="6" t="s">
        <v>639</v>
      </c>
      <c r="B49" s="2" t="str">
        <f>VLOOKUP(A49,Table3[#All],2,FALSE)</f>
        <v>Sneha</v>
      </c>
      <c r="C49" s="2" t="str">
        <f>VLOOKUP(A49,Table3[#All],3,FALSE)</f>
        <v>Sales</v>
      </c>
      <c r="D49" s="2">
        <f>VLOOKUP(A49,Table3[#All],4,FALSE)</f>
        <v>22</v>
      </c>
      <c r="E49" s="2" t="str">
        <f>VLOOKUP(A49,Table3[#All],5,FALSE)</f>
        <v>Female</v>
      </c>
      <c r="F49" s="2">
        <f>VLOOKUP(A49,Table3[#All],6,FALSE)</f>
        <v>5</v>
      </c>
      <c r="G49" s="2">
        <f>VLOOKUP(A49,Table3[#All],7,FALSE)</f>
        <v>27252</v>
      </c>
      <c r="H49" s="2">
        <f>VLOOKUP(A49,Table3[#All],8,FALSE)</f>
        <v>10</v>
      </c>
      <c r="I49" s="2">
        <f>VLOOKUP(A49,Table3[#All],9,FALSE)</f>
        <v>45</v>
      </c>
      <c r="J49" s="2">
        <f>VLOOKUP(A49,Table3[#All],10,FALSE)</f>
        <v>5</v>
      </c>
      <c r="K49" s="2">
        <f>VLOOKUP(A49,Table3[#All],11,FALSE)</f>
        <v>94</v>
      </c>
      <c r="L49" s="2" t="str">
        <f>VLOOKUP(A49,Table3[#All],12,FALSE)</f>
        <v>Chennai</v>
      </c>
      <c r="M49" s="2" t="str">
        <f t="shared" si="0"/>
        <v>Not Eligible</v>
      </c>
    </row>
    <row r="50" spans="1:13" hidden="1" x14ac:dyDescent="0.25">
      <c r="A50" s="6" t="s">
        <v>919</v>
      </c>
      <c r="B50" s="2" t="str">
        <f>VLOOKUP(A50,Table3[#All],2,FALSE)</f>
        <v>Divya</v>
      </c>
      <c r="C50" s="2" t="str">
        <f>VLOOKUP(A50,Table3[#All],3,FALSE)</f>
        <v>IT</v>
      </c>
      <c r="D50" s="2">
        <f>VLOOKUP(A50,Table3[#All],4,FALSE)</f>
        <v>30</v>
      </c>
      <c r="E50" s="2" t="str">
        <f>VLOOKUP(A50,Table3[#All],5,FALSE)</f>
        <v>Male</v>
      </c>
      <c r="F50" s="2">
        <f>VLOOKUP(A50,Table3[#All],6,FALSE)</f>
        <v>8</v>
      </c>
      <c r="G50" s="2">
        <f>VLOOKUP(A50,Table3[#All],7,FALSE)</f>
        <v>27270</v>
      </c>
      <c r="H50" s="2">
        <f>VLOOKUP(A50,Table3[#All],8,FALSE)</f>
        <v>5</v>
      </c>
      <c r="I50" s="2">
        <f>VLOOKUP(A50,Table3[#All],9,FALSE)</f>
        <v>39</v>
      </c>
      <c r="J50" s="2">
        <f>VLOOKUP(A50,Table3[#All],10,FALSE)</f>
        <v>4</v>
      </c>
      <c r="K50" s="2">
        <f>VLOOKUP(A50,Table3[#All],11,FALSE)</f>
        <v>96</v>
      </c>
      <c r="L50" s="2" t="str">
        <f>VLOOKUP(A50,Table3[#All],12,FALSE)</f>
        <v>Chennai</v>
      </c>
      <c r="M50" s="2" t="str">
        <f t="shared" si="0"/>
        <v>Eligible</v>
      </c>
    </row>
    <row r="51" spans="1:13" hidden="1" x14ac:dyDescent="0.25">
      <c r="A51" s="5" t="s">
        <v>84</v>
      </c>
      <c r="B51" s="2" t="str">
        <f>VLOOKUP(A51,Table3[#All],2,FALSE)</f>
        <v>Manoj</v>
      </c>
      <c r="C51" s="2" t="str">
        <f>VLOOKUP(A51,Table3[#All],3,FALSE)</f>
        <v>HR</v>
      </c>
      <c r="D51" s="2">
        <f>VLOOKUP(A51,Table3[#All],4,FALSE)</f>
        <v>23</v>
      </c>
      <c r="E51" s="2" t="str">
        <f>VLOOKUP(A51,Table3[#All],5,FALSE)</f>
        <v>Female</v>
      </c>
      <c r="F51" s="2">
        <f>VLOOKUP(A51,Table3[#All],6,FALSE)</f>
        <v>12</v>
      </c>
      <c r="G51" s="2">
        <f>VLOOKUP(A51,Table3[#All],7,FALSE)</f>
        <v>27282</v>
      </c>
      <c r="H51" s="2">
        <f>VLOOKUP(A51,Table3[#All],8,FALSE)</f>
        <v>11</v>
      </c>
      <c r="I51" s="2">
        <f>VLOOKUP(A51,Table3[#All],9,FALSE)</f>
        <v>36</v>
      </c>
      <c r="J51" s="2">
        <f>VLOOKUP(A51,Table3[#All],10,FALSE)</f>
        <v>1</v>
      </c>
      <c r="K51" s="2">
        <f>VLOOKUP(A51,Table3[#All],11,FALSE)</f>
        <v>90</v>
      </c>
      <c r="L51" s="2" t="str">
        <f>VLOOKUP(A51,Table3[#All],12,FALSE)</f>
        <v>Chennai</v>
      </c>
      <c r="M51" s="2" t="str">
        <f t="shared" si="0"/>
        <v>Not Eligible</v>
      </c>
    </row>
    <row r="52" spans="1:13" x14ac:dyDescent="0.25">
      <c r="A52" s="6" t="s">
        <v>721</v>
      </c>
      <c r="B52" s="2" t="str">
        <f>VLOOKUP(A52,Table3[#All],2,FALSE)</f>
        <v>Karthik</v>
      </c>
      <c r="C52" s="2" t="str">
        <f>VLOOKUP(A52,Table3[#All],3,FALSE)</f>
        <v>Sales</v>
      </c>
      <c r="D52" s="2">
        <f>VLOOKUP(A52,Table3[#All],4,FALSE)</f>
        <v>31</v>
      </c>
      <c r="E52" s="2" t="str">
        <f>VLOOKUP(A52,Table3[#All],5,FALSE)</f>
        <v>Female</v>
      </c>
      <c r="F52" s="2">
        <f>VLOOKUP(A52,Table3[#All],6,FALSE)</f>
        <v>6</v>
      </c>
      <c r="G52" s="2">
        <f>VLOOKUP(A52,Table3[#All],7,FALSE)</f>
        <v>27282</v>
      </c>
      <c r="H52" s="2">
        <f>VLOOKUP(A52,Table3[#All],8,FALSE)</f>
        <v>10</v>
      </c>
      <c r="I52" s="2">
        <f>VLOOKUP(A52,Table3[#All],9,FALSE)</f>
        <v>43</v>
      </c>
      <c r="J52" s="2">
        <f>VLOOKUP(A52,Table3[#All],10,FALSE)</f>
        <v>5</v>
      </c>
      <c r="K52" s="2">
        <f>VLOOKUP(A52,Table3[#All],11,FALSE)</f>
        <v>94</v>
      </c>
      <c r="L52" s="2" t="str">
        <f>VLOOKUP(A52,Table3[#All],12,FALSE)</f>
        <v>Pune</v>
      </c>
      <c r="M52" s="2" t="str">
        <f t="shared" si="0"/>
        <v>Not Eligible</v>
      </c>
    </row>
    <row r="53" spans="1:13" x14ac:dyDescent="0.25">
      <c r="A53" s="6" t="s">
        <v>787</v>
      </c>
      <c r="B53" s="2" t="str">
        <f>VLOOKUP(A53,Table3[#All],2,FALSE)</f>
        <v>Kavya</v>
      </c>
      <c r="C53" s="2" t="str">
        <f>VLOOKUP(A53,Table3[#All],3,FALSE)</f>
        <v>IT</v>
      </c>
      <c r="D53" s="2">
        <f>VLOOKUP(A53,Table3[#All],4,FALSE)</f>
        <v>40</v>
      </c>
      <c r="E53" s="2" t="str">
        <f>VLOOKUP(A53,Table3[#All],5,FALSE)</f>
        <v>Female</v>
      </c>
      <c r="F53" s="2">
        <f>VLOOKUP(A53,Table3[#All],6,FALSE)</f>
        <v>6</v>
      </c>
      <c r="G53" s="2">
        <f>VLOOKUP(A53,Table3[#All],7,FALSE)</f>
        <v>27347</v>
      </c>
      <c r="H53" s="2">
        <f>VLOOKUP(A53,Table3[#All],8,FALSE)</f>
        <v>11</v>
      </c>
      <c r="I53" s="2">
        <f>VLOOKUP(A53,Table3[#All],9,FALSE)</f>
        <v>35</v>
      </c>
      <c r="J53" s="2">
        <f>VLOOKUP(A53,Table3[#All],10,FALSE)</f>
        <v>2</v>
      </c>
      <c r="K53" s="2">
        <f>VLOOKUP(A53,Table3[#All],11,FALSE)</f>
        <v>91</v>
      </c>
      <c r="L53" s="2" t="str">
        <f>VLOOKUP(A53,Table3[#All],12,FALSE)</f>
        <v>Pune</v>
      </c>
      <c r="M53" s="2" t="str">
        <f t="shared" si="0"/>
        <v>Not Eligible</v>
      </c>
    </row>
    <row r="54" spans="1:13" hidden="1" x14ac:dyDescent="0.25">
      <c r="A54" s="5" t="s">
        <v>96</v>
      </c>
      <c r="B54" s="2" t="str">
        <f>VLOOKUP(A54,Table3[#All],2,FALSE)</f>
        <v>Lakshmi</v>
      </c>
      <c r="C54" s="2" t="str">
        <f>VLOOKUP(A54,Table3[#All],3,FALSE)</f>
        <v>Sales</v>
      </c>
      <c r="D54" s="2">
        <f>VLOOKUP(A54,Table3[#All],4,FALSE)</f>
        <v>39</v>
      </c>
      <c r="E54" s="2" t="str">
        <f>VLOOKUP(A54,Table3[#All],5,FALSE)</f>
        <v>Male</v>
      </c>
      <c r="F54" s="2">
        <f>VLOOKUP(A54,Table3[#All],6,FALSE)</f>
        <v>3</v>
      </c>
      <c r="G54" s="2">
        <f>VLOOKUP(A54,Table3[#All],7,FALSE)</f>
        <v>37378</v>
      </c>
      <c r="H54" s="2">
        <f>VLOOKUP(A54,Table3[#All],8,FALSE)</f>
        <v>7</v>
      </c>
      <c r="I54" s="2">
        <f>VLOOKUP(A54,Table3[#All],9,FALSE)</f>
        <v>37</v>
      </c>
      <c r="J54" s="2">
        <f>VLOOKUP(A54,Table3[#All],10,FALSE)</f>
        <v>1</v>
      </c>
      <c r="K54" s="2">
        <f>VLOOKUP(A54,Table3[#All],11,FALSE)</f>
        <v>94</v>
      </c>
      <c r="L54" s="2" t="str">
        <f>VLOOKUP(A54,Table3[#All],12,FALSE)</f>
        <v>Bangalore</v>
      </c>
      <c r="M54" s="2" t="str">
        <f t="shared" si="0"/>
        <v>Not Eligible</v>
      </c>
    </row>
    <row r="55" spans="1:13" hidden="1" x14ac:dyDescent="0.25">
      <c r="A55" s="6" t="s">
        <v>97</v>
      </c>
      <c r="B55" s="2" t="str">
        <f>VLOOKUP(A55,Table3[#All],2,FALSE)</f>
        <v>Priya</v>
      </c>
      <c r="C55" s="2" t="str">
        <f>VLOOKUP(A55,Table3[#All],3,FALSE)</f>
        <v>HR</v>
      </c>
      <c r="D55" s="2">
        <f>VLOOKUP(A55,Table3[#All],4,FALSE)</f>
        <v>24</v>
      </c>
      <c r="E55" s="2" t="str">
        <f>VLOOKUP(A55,Table3[#All],5,FALSE)</f>
        <v>Female</v>
      </c>
      <c r="F55" s="2">
        <f>VLOOKUP(A55,Table3[#All],6,FALSE)</f>
        <v>4</v>
      </c>
      <c r="G55" s="2">
        <f>VLOOKUP(A55,Table3[#All],7,FALSE)</f>
        <v>33955</v>
      </c>
      <c r="H55" s="2">
        <f>VLOOKUP(A55,Table3[#All],8,FALSE)</f>
        <v>14</v>
      </c>
      <c r="I55" s="2">
        <f>VLOOKUP(A55,Table3[#All],9,FALSE)</f>
        <v>35</v>
      </c>
      <c r="J55" s="2">
        <f>VLOOKUP(A55,Table3[#All],10,FALSE)</f>
        <v>2</v>
      </c>
      <c r="K55" s="2">
        <f>VLOOKUP(A55,Table3[#All],11,FALSE)</f>
        <v>99</v>
      </c>
      <c r="L55" s="2" t="str">
        <f>VLOOKUP(A55,Table3[#All],12,FALSE)</f>
        <v>Mumbai</v>
      </c>
      <c r="M55" s="2" t="str">
        <f t="shared" si="0"/>
        <v>Eligible</v>
      </c>
    </row>
    <row r="56" spans="1:13" hidden="1" x14ac:dyDescent="0.25">
      <c r="A56" s="5" t="s">
        <v>706</v>
      </c>
      <c r="B56" s="2" t="str">
        <f>VLOOKUP(A56,Table3[#All],2,FALSE)</f>
        <v>Meena</v>
      </c>
      <c r="C56" s="2" t="str">
        <f>VLOOKUP(A56,Table3[#All],3,FALSE)</f>
        <v>IT</v>
      </c>
      <c r="D56" s="2">
        <f>VLOOKUP(A56,Table3[#All],4,FALSE)</f>
        <v>28</v>
      </c>
      <c r="E56" s="2" t="str">
        <f>VLOOKUP(A56,Table3[#All],5,FALSE)</f>
        <v>Female</v>
      </c>
      <c r="F56" s="2">
        <f>VLOOKUP(A56,Table3[#All],6,FALSE)</f>
        <v>12</v>
      </c>
      <c r="G56" s="2">
        <f>VLOOKUP(A56,Table3[#All],7,FALSE)</f>
        <v>27390</v>
      </c>
      <c r="H56" s="2">
        <f>VLOOKUP(A56,Table3[#All],8,FALSE)</f>
        <v>12</v>
      </c>
      <c r="I56" s="2">
        <f>VLOOKUP(A56,Table3[#All],9,FALSE)</f>
        <v>38</v>
      </c>
      <c r="J56" s="2">
        <f>VLOOKUP(A56,Table3[#All],10,FALSE)</f>
        <v>3</v>
      </c>
      <c r="K56" s="2">
        <f>VLOOKUP(A56,Table3[#All],11,FALSE)</f>
        <v>85</v>
      </c>
      <c r="L56" s="2" t="str">
        <f>VLOOKUP(A56,Table3[#All],12,FALSE)</f>
        <v>Pune</v>
      </c>
      <c r="M56" s="2" t="str">
        <f t="shared" si="0"/>
        <v>Not Eligible</v>
      </c>
    </row>
    <row r="57" spans="1:13" hidden="1" x14ac:dyDescent="0.25">
      <c r="A57" s="5" t="s">
        <v>634</v>
      </c>
      <c r="B57" s="2" t="str">
        <f>VLOOKUP(A57,Table3[#All],2,FALSE)</f>
        <v>Ajay</v>
      </c>
      <c r="C57" s="2" t="str">
        <f>VLOOKUP(A57,Table3[#All],3,FALSE)</f>
        <v>Sales</v>
      </c>
      <c r="D57" s="2">
        <f>VLOOKUP(A57,Table3[#All],4,FALSE)</f>
        <v>32</v>
      </c>
      <c r="E57" s="2" t="str">
        <f>VLOOKUP(A57,Table3[#All],5,FALSE)</f>
        <v>Female</v>
      </c>
      <c r="F57" s="2">
        <f>VLOOKUP(A57,Table3[#All],6,FALSE)</f>
        <v>13</v>
      </c>
      <c r="G57" s="2">
        <f>VLOOKUP(A57,Table3[#All],7,FALSE)</f>
        <v>27399</v>
      </c>
      <c r="H57" s="2">
        <f>VLOOKUP(A57,Table3[#All],8,FALSE)</f>
        <v>6</v>
      </c>
      <c r="I57" s="2">
        <f>VLOOKUP(A57,Table3[#All],9,FALSE)</f>
        <v>50</v>
      </c>
      <c r="J57" s="2">
        <f>VLOOKUP(A57,Table3[#All],10,FALSE)</f>
        <v>1</v>
      </c>
      <c r="K57" s="2">
        <f>VLOOKUP(A57,Table3[#All],11,FALSE)</f>
        <v>91</v>
      </c>
      <c r="L57" s="2" t="str">
        <f>VLOOKUP(A57,Table3[#All],12,FALSE)</f>
        <v>Chennai</v>
      </c>
      <c r="M57" s="2" t="str">
        <f t="shared" si="0"/>
        <v>Not Eligible</v>
      </c>
    </row>
    <row r="58" spans="1:13" hidden="1" x14ac:dyDescent="0.25">
      <c r="A58" s="5" t="s">
        <v>682</v>
      </c>
      <c r="B58" s="2" t="str">
        <f>VLOOKUP(A58,Table3[#All],2,FALSE)</f>
        <v>Sanjay</v>
      </c>
      <c r="C58" s="2" t="str">
        <f>VLOOKUP(A58,Table3[#All],3,FALSE)</f>
        <v>IT</v>
      </c>
      <c r="D58" s="2">
        <f>VLOOKUP(A58,Table3[#All],4,FALSE)</f>
        <v>25</v>
      </c>
      <c r="E58" s="2" t="str">
        <f>VLOOKUP(A58,Table3[#All],5,FALSE)</f>
        <v>Male</v>
      </c>
      <c r="F58" s="2">
        <f>VLOOKUP(A58,Table3[#All],6,FALSE)</f>
        <v>7</v>
      </c>
      <c r="G58" s="2">
        <f>VLOOKUP(A58,Table3[#All],7,FALSE)</f>
        <v>27579</v>
      </c>
      <c r="H58" s="2">
        <f>VLOOKUP(A58,Table3[#All],8,FALSE)</f>
        <v>7</v>
      </c>
      <c r="I58" s="2">
        <f>VLOOKUP(A58,Table3[#All],9,FALSE)</f>
        <v>39</v>
      </c>
      <c r="J58" s="2">
        <f>VLOOKUP(A58,Table3[#All],10,FALSE)</f>
        <v>4</v>
      </c>
      <c r="K58" s="2">
        <f>VLOOKUP(A58,Table3[#All],11,FALSE)</f>
        <v>85</v>
      </c>
      <c r="L58" s="2" t="str">
        <f>VLOOKUP(A58,Table3[#All],12,FALSE)</f>
        <v>Hyderabad</v>
      </c>
      <c r="M58" s="2" t="str">
        <f t="shared" si="0"/>
        <v>Not Eligible</v>
      </c>
    </row>
    <row r="59" spans="1:13" hidden="1" x14ac:dyDescent="0.25">
      <c r="A59" s="5" t="s">
        <v>44</v>
      </c>
      <c r="B59" s="2" t="str">
        <f>VLOOKUP(A59,Table3[#All],2,FALSE)</f>
        <v>Kavya</v>
      </c>
      <c r="C59" s="2" t="str">
        <f>VLOOKUP(A59,Table3[#All],3,FALSE)</f>
        <v>IT</v>
      </c>
      <c r="D59" s="2">
        <f>VLOOKUP(A59,Table3[#All],4,FALSE)</f>
        <v>36</v>
      </c>
      <c r="E59" s="2" t="str">
        <f>VLOOKUP(A59,Table3[#All],5,FALSE)</f>
        <v>Female</v>
      </c>
      <c r="F59" s="2">
        <f>VLOOKUP(A59,Table3[#All],6,FALSE)</f>
        <v>14</v>
      </c>
      <c r="G59" s="2">
        <f>VLOOKUP(A59,Table3[#All],7,FALSE)</f>
        <v>27580</v>
      </c>
      <c r="H59" s="2">
        <f>VLOOKUP(A59,Table3[#All],8,FALSE)</f>
        <v>10</v>
      </c>
      <c r="I59" s="2">
        <f>VLOOKUP(A59,Table3[#All],9,FALSE)</f>
        <v>45</v>
      </c>
      <c r="J59" s="2">
        <f>VLOOKUP(A59,Table3[#All],10,FALSE)</f>
        <v>3</v>
      </c>
      <c r="K59" s="2">
        <f>VLOOKUP(A59,Table3[#All],11,FALSE)</f>
        <v>89</v>
      </c>
      <c r="L59" s="2" t="str">
        <f>VLOOKUP(A59,Table3[#All],12,FALSE)</f>
        <v>Hyderabad</v>
      </c>
      <c r="M59" s="2" t="str">
        <f t="shared" si="0"/>
        <v>Not Eligible</v>
      </c>
    </row>
    <row r="60" spans="1:13" x14ac:dyDescent="0.25">
      <c r="A60" s="5" t="s">
        <v>100</v>
      </c>
      <c r="B60" s="2" t="str">
        <f>VLOOKUP(A60,Table3[#All],2,FALSE)</f>
        <v>Priya</v>
      </c>
      <c r="C60" s="2" t="str">
        <f>VLOOKUP(A60,Table3[#All],3,FALSE)</f>
        <v>Sales</v>
      </c>
      <c r="D60" s="2">
        <f>VLOOKUP(A60,Table3[#All],4,FALSE)</f>
        <v>32</v>
      </c>
      <c r="E60" s="2" t="str">
        <f>VLOOKUP(A60,Table3[#All],5,FALSE)</f>
        <v>Male</v>
      </c>
      <c r="F60" s="2">
        <f>VLOOKUP(A60,Table3[#All],6,FALSE)</f>
        <v>14</v>
      </c>
      <c r="G60" s="2">
        <f>VLOOKUP(A60,Table3[#All],7,FALSE)</f>
        <v>27584</v>
      </c>
      <c r="H60" s="2">
        <f>VLOOKUP(A60,Table3[#All],8,FALSE)</f>
        <v>11</v>
      </c>
      <c r="I60" s="2">
        <f>VLOOKUP(A60,Table3[#All],9,FALSE)</f>
        <v>50</v>
      </c>
      <c r="J60" s="2">
        <f>VLOOKUP(A60,Table3[#All],10,FALSE)</f>
        <v>4</v>
      </c>
      <c r="K60" s="2">
        <f>VLOOKUP(A60,Table3[#All],11,FALSE)</f>
        <v>91</v>
      </c>
      <c r="L60" s="2" t="str">
        <f>VLOOKUP(A60,Table3[#All],12,FALSE)</f>
        <v>Chennai</v>
      </c>
      <c r="M60" s="2" t="str">
        <f t="shared" si="0"/>
        <v>Not Eligible</v>
      </c>
    </row>
    <row r="61" spans="1:13" hidden="1" x14ac:dyDescent="0.25">
      <c r="A61" s="6" t="s">
        <v>103</v>
      </c>
      <c r="B61" s="2" t="str">
        <f>VLOOKUP(A61,Table3[#All],2,FALSE)</f>
        <v>Meena</v>
      </c>
      <c r="C61" s="2" t="str">
        <f>VLOOKUP(A61,Table3[#All],3,FALSE)</f>
        <v>HR</v>
      </c>
      <c r="D61" s="2">
        <f>VLOOKUP(A61,Table3[#All],4,FALSE)</f>
        <v>34</v>
      </c>
      <c r="E61" s="2" t="str">
        <f>VLOOKUP(A61,Table3[#All],5,FALSE)</f>
        <v>Female</v>
      </c>
      <c r="F61" s="2">
        <f>VLOOKUP(A61,Table3[#All],6,FALSE)</f>
        <v>1</v>
      </c>
      <c r="G61" s="2">
        <f>VLOOKUP(A61,Table3[#All],7,FALSE)</f>
        <v>62090</v>
      </c>
      <c r="H61" s="2">
        <f>VLOOKUP(A61,Table3[#All],8,FALSE)</f>
        <v>10</v>
      </c>
      <c r="I61" s="2">
        <f>VLOOKUP(A61,Table3[#All],9,FALSE)</f>
        <v>45</v>
      </c>
      <c r="J61" s="2">
        <f>VLOOKUP(A61,Table3[#All],10,FALSE)</f>
        <v>4</v>
      </c>
      <c r="K61" s="2">
        <f>VLOOKUP(A61,Table3[#All],11,FALSE)</f>
        <v>89</v>
      </c>
      <c r="L61" s="2" t="str">
        <f>VLOOKUP(A61,Table3[#All],12,FALSE)</f>
        <v>Delhi</v>
      </c>
      <c r="M61" s="2" t="str">
        <f t="shared" si="0"/>
        <v>Not Eligible</v>
      </c>
    </row>
    <row r="62" spans="1:13" hidden="1" x14ac:dyDescent="0.25">
      <c r="A62" s="5" t="s">
        <v>104</v>
      </c>
      <c r="B62" s="2" t="str">
        <f>VLOOKUP(A62,Table3[#All],2,FALSE)</f>
        <v>Lakshmi</v>
      </c>
      <c r="C62" s="2" t="str">
        <f>VLOOKUP(A62,Table3[#All],3,FALSE)</f>
        <v>Finance</v>
      </c>
      <c r="D62" s="2">
        <f>VLOOKUP(A62,Table3[#All],4,FALSE)</f>
        <v>29</v>
      </c>
      <c r="E62" s="2" t="str">
        <f>VLOOKUP(A62,Table3[#All],5,FALSE)</f>
        <v>Male</v>
      </c>
      <c r="F62" s="2">
        <f>VLOOKUP(A62,Table3[#All],6,FALSE)</f>
        <v>1</v>
      </c>
      <c r="G62" s="2">
        <f>VLOOKUP(A62,Table3[#All],7,FALSE)</f>
        <v>37183</v>
      </c>
      <c r="H62" s="2">
        <f>VLOOKUP(A62,Table3[#All],8,FALSE)</f>
        <v>10</v>
      </c>
      <c r="I62" s="2">
        <f>VLOOKUP(A62,Table3[#All],9,FALSE)</f>
        <v>37</v>
      </c>
      <c r="J62" s="2">
        <f>VLOOKUP(A62,Table3[#All],10,FALSE)</f>
        <v>4</v>
      </c>
      <c r="K62" s="2">
        <f>VLOOKUP(A62,Table3[#All],11,FALSE)</f>
        <v>91</v>
      </c>
      <c r="L62" s="2" t="str">
        <f>VLOOKUP(A62,Table3[#All],12,FALSE)</f>
        <v>Pune</v>
      </c>
      <c r="M62" s="2" t="str">
        <f t="shared" si="0"/>
        <v>Not Eligible</v>
      </c>
    </row>
    <row r="63" spans="1:13" x14ac:dyDescent="0.25">
      <c r="A63" s="5" t="s">
        <v>764</v>
      </c>
      <c r="B63" s="2" t="str">
        <f>VLOOKUP(A63,Table3[#All],2,FALSE)</f>
        <v>Vijay</v>
      </c>
      <c r="C63" s="2" t="str">
        <f>VLOOKUP(A63,Table3[#All],3,FALSE)</f>
        <v>HR</v>
      </c>
      <c r="D63" s="2">
        <f>VLOOKUP(A63,Table3[#All],4,FALSE)</f>
        <v>31</v>
      </c>
      <c r="E63" s="2" t="str">
        <f>VLOOKUP(A63,Table3[#All],5,FALSE)</f>
        <v>Male</v>
      </c>
      <c r="F63" s="2">
        <f>VLOOKUP(A63,Table3[#All],6,FALSE)</f>
        <v>14</v>
      </c>
      <c r="G63" s="2">
        <f>VLOOKUP(A63,Table3[#All],7,FALSE)</f>
        <v>27658</v>
      </c>
      <c r="H63" s="2">
        <f>VLOOKUP(A63,Table3[#All],8,FALSE)</f>
        <v>14</v>
      </c>
      <c r="I63" s="2">
        <f>VLOOKUP(A63,Table3[#All],9,FALSE)</f>
        <v>50</v>
      </c>
      <c r="J63" s="2">
        <f>VLOOKUP(A63,Table3[#All],10,FALSE)</f>
        <v>5</v>
      </c>
      <c r="K63" s="2">
        <f>VLOOKUP(A63,Table3[#All],11,FALSE)</f>
        <v>99</v>
      </c>
      <c r="L63" s="2" t="str">
        <f>VLOOKUP(A63,Table3[#All],12,FALSE)</f>
        <v>Mumbai</v>
      </c>
      <c r="M63" s="2" t="str">
        <f t="shared" si="0"/>
        <v>Eligible</v>
      </c>
    </row>
    <row r="64" spans="1:13" hidden="1" x14ac:dyDescent="0.25">
      <c r="A64" s="5" t="s">
        <v>106</v>
      </c>
      <c r="B64" s="2" t="str">
        <f>VLOOKUP(A64,Table3[#All],2,FALSE)</f>
        <v>Arun</v>
      </c>
      <c r="C64" s="2" t="str">
        <f>VLOOKUP(A64,Table3[#All],3,FALSE)</f>
        <v>HR</v>
      </c>
      <c r="D64" s="2">
        <f>VLOOKUP(A64,Table3[#All],4,FALSE)</f>
        <v>38</v>
      </c>
      <c r="E64" s="2" t="str">
        <f>VLOOKUP(A64,Table3[#All],5,FALSE)</f>
        <v>Female</v>
      </c>
      <c r="F64" s="2">
        <f>VLOOKUP(A64,Table3[#All],6,FALSE)</f>
        <v>3</v>
      </c>
      <c r="G64" s="2">
        <f>VLOOKUP(A64,Table3[#All],7,FALSE)</f>
        <v>44152</v>
      </c>
      <c r="H64" s="2">
        <f>VLOOKUP(A64,Table3[#All],8,FALSE)</f>
        <v>9</v>
      </c>
      <c r="I64" s="2">
        <f>VLOOKUP(A64,Table3[#All],9,FALSE)</f>
        <v>45</v>
      </c>
      <c r="J64" s="2">
        <f>VLOOKUP(A64,Table3[#All],10,FALSE)</f>
        <v>2</v>
      </c>
      <c r="K64" s="2">
        <f>VLOOKUP(A64,Table3[#All],11,FALSE)</f>
        <v>100</v>
      </c>
      <c r="L64" s="2" t="str">
        <f>VLOOKUP(A64,Table3[#All],12,FALSE)</f>
        <v>Bangalore</v>
      </c>
      <c r="M64" s="2" t="str">
        <f t="shared" si="0"/>
        <v>Eligible</v>
      </c>
    </row>
    <row r="65" spans="1:13" hidden="1" x14ac:dyDescent="0.25">
      <c r="A65" s="6" t="s">
        <v>107</v>
      </c>
      <c r="B65" s="2" t="str">
        <f>VLOOKUP(A65,Table3[#All],2,FALSE)</f>
        <v>Ajay</v>
      </c>
      <c r="C65" s="2" t="str">
        <f>VLOOKUP(A65,Table3[#All],3,FALSE)</f>
        <v>Finance</v>
      </c>
      <c r="D65" s="2">
        <f>VLOOKUP(A65,Table3[#All],4,FALSE)</f>
        <v>28</v>
      </c>
      <c r="E65" s="2" t="str">
        <f>VLOOKUP(A65,Table3[#All],5,FALSE)</f>
        <v>Female</v>
      </c>
      <c r="F65" s="2">
        <f>VLOOKUP(A65,Table3[#All],6,FALSE)</f>
        <v>4</v>
      </c>
      <c r="G65" s="2">
        <f>VLOOKUP(A65,Table3[#All],7,FALSE)</f>
        <v>78320</v>
      </c>
      <c r="H65" s="2">
        <f>VLOOKUP(A65,Table3[#All],8,FALSE)</f>
        <v>15</v>
      </c>
      <c r="I65" s="2">
        <f>VLOOKUP(A65,Table3[#All],9,FALSE)</f>
        <v>45</v>
      </c>
      <c r="J65" s="2">
        <f>VLOOKUP(A65,Table3[#All],10,FALSE)</f>
        <v>5</v>
      </c>
      <c r="K65" s="2">
        <f>VLOOKUP(A65,Table3[#All],11,FALSE)</f>
        <v>89</v>
      </c>
      <c r="L65" s="2" t="str">
        <f>VLOOKUP(A65,Table3[#All],12,FALSE)</f>
        <v>Delhi</v>
      </c>
      <c r="M65" s="2" t="str">
        <f t="shared" si="0"/>
        <v>Not Eligible</v>
      </c>
    </row>
    <row r="66" spans="1:13" hidden="1" x14ac:dyDescent="0.25">
      <c r="A66" s="5" t="s">
        <v>108</v>
      </c>
      <c r="B66" s="2" t="str">
        <f>VLOOKUP(A66,Table3[#All],2,FALSE)</f>
        <v>Lakshmi</v>
      </c>
      <c r="C66" s="2" t="str">
        <f>VLOOKUP(A66,Table3[#All],3,FALSE)</f>
        <v>Sales</v>
      </c>
      <c r="D66" s="2">
        <f>VLOOKUP(A66,Table3[#All],4,FALSE)</f>
        <v>38</v>
      </c>
      <c r="E66" s="2" t="str">
        <f>VLOOKUP(A66,Table3[#All],5,FALSE)</f>
        <v>Female</v>
      </c>
      <c r="F66" s="2">
        <f>VLOOKUP(A66,Table3[#All],6,FALSE)</f>
        <v>1</v>
      </c>
      <c r="G66" s="2">
        <f>VLOOKUP(A66,Table3[#All],7,FALSE)</f>
        <v>76311</v>
      </c>
      <c r="H66" s="2">
        <f>VLOOKUP(A66,Table3[#All],8,FALSE)</f>
        <v>4</v>
      </c>
      <c r="I66" s="2">
        <f>VLOOKUP(A66,Table3[#All],9,FALSE)</f>
        <v>38</v>
      </c>
      <c r="J66" s="2">
        <f>VLOOKUP(A66,Table3[#All],10,FALSE)</f>
        <v>1</v>
      </c>
      <c r="K66" s="2">
        <f>VLOOKUP(A66,Table3[#All],11,FALSE)</f>
        <v>93</v>
      </c>
      <c r="L66" s="2" t="str">
        <f>VLOOKUP(A66,Table3[#All],12,FALSE)</f>
        <v>Delhi</v>
      </c>
      <c r="M66" s="2" t="str">
        <f t="shared" ref="M66:M129" si="1">IF(K66&gt;=95,"Eligible","Not Eligible")</f>
        <v>Not Eligible</v>
      </c>
    </row>
    <row r="67" spans="1:13" hidden="1" x14ac:dyDescent="0.25">
      <c r="A67" s="6" t="s">
        <v>109</v>
      </c>
      <c r="B67" s="2" t="str">
        <f>VLOOKUP(A67,Table3[#All],2,FALSE)</f>
        <v>Anitha</v>
      </c>
      <c r="C67" s="2" t="str">
        <f>VLOOKUP(A67,Table3[#All],3,FALSE)</f>
        <v>Sales</v>
      </c>
      <c r="D67" s="2">
        <f>VLOOKUP(A67,Table3[#All],4,FALSE)</f>
        <v>33</v>
      </c>
      <c r="E67" s="2" t="str">
        <f>VLOOKUP(A67,Table3[#All],5,FALSE)</f>
        <v>Male</v>
      </c>
      <c r="F67" s="2">
        <f>VLOOKUP(A67,Table3[#All],6,FALSE)</f>
        <v>2</v>
      </c>
      <c r="G67" s="2">
        <f>VLOOKUP(A67,Table3[#All],7,FALSE)</f>
        <v>76765</v>
      </c>
      <c r="H67" s="2">
        <f>VLOOKUP(A67,Table3[#All],8,FALSE)</f>
        <v>6</v>
      </c>
      <c r="I67" s="2">
        <f>VLOOKUP(A67,Table3[#All],9,FALSE)</f>
        <v>48</v>
      </c>
      <c r="J67" s="2">
        <f>VLOOKUP(A67,Table3[#All],10,FALSE)</f>
        <v>5</v>
      </c>
      <c r="K67" s="2">
        <f>VLOOKUP(A67,Table3[#All],11,FALSE)</f>
        <v>87</v>
      </c>
      <c r="L67" s="2" t="str">
        <f>VLOOKUP(A67,Table3[#All],12,FALSE)</f>
        <v>Mumbai</v>
      </c>
      <c r="M67" s="2" t="str">
        <f t="shared" si="1"/>
        <v>Not Eligible</v>
      </c>
    </row>
    <row r="68" spans="1:13" hidden="1" x14ac:dyDescent="0.25">
      <c r="A68" s="5" t="s">
        <v>110</v>
      </c>
      <c r="B68" s="2" t="str">
        <f>VLOOKUP(A68,Table3[#All],2,FALSE)</f>
        <v>Hari</v>
      </c>
      <c r="C68" s="2" t="str">
        <f>VLOOKUP(A68,Table3[#All],3,FALSE)</f>
        <v>IT</v>
      </c>
      <c r="D68" s="2">
        <f>VLOOKUP(A68,Table3[#All],4,FALSE)</f>
        <v>34</v>
      </c>
      <c r="E68" s="2" t="str">
        <f>VLOOKUP(A68,Table3[#All],5,FALSE)</f>
        <v>Male</v>
      </c>
      <c r="F68" s="2">
        <f>VLOOKUP(A68,Table3[#All],6,FALSE)</f>
        <v>3</v>
      </c>
      <c r="G68" s="2">
        <f>VLOOKUP(A68,Table3[#All],7,FALSE)</f>
        <v>53110</v>
      </c>
      <c r="H68" s="2">
        <f>VLOOKUP(A68,Table3[#All],8,FALSE)</f>
        <v>12</v>
      </c>
      <c r="I68" s="2">
        <f>VLOOKUP(A68,Table3[#All],9,FALSE)</f>
        <v>49</v>
      </c>
      <c r="J68" s="2">
        <f>VLOOKUP(A68,Table3[#All],10,FALSE)</f>
        <v>1</v>
      </c>
      <c r="K68" s="2">
        <f>VLOOKUP(A68,Table3[#All],11,FALSE)</f>
        <v>90</v>
      </c>
      <c r="L68" s="2" t="str">
        <f>VLOOKUP(A68,Table3[#All],12,FALSE)</f>
        <v>Delhi</v>
      </c>
      <c r="M68" s="2" t="str">
        <f t="shared" si="1"/>
        <v>Not Eligible</v>
      </c>
    </row>
    <row r="69" spans="1:13" hidden="1" x14ac:dyDescent="0.25">
      <c r="A69" s="6" t="s">
        <v>111</v>
      </c>
      <c r="B69" s="2" t="str">
        <f>VLOOKUP(A69,Table3[#All],2,FALSE)</f>
        <v>Priya</v>
      </c>
      <c r="C69" s="2" t="str">
        <f>VLOOKUP(A69,Table3[#All],3,FALSE)</f>
        <v>IT</v>
      </c>
      <c r="D69" s="2">
        <f>VLOOKUP(A69,Table3[#All],4,FALSE)</f>
        <v>26</v>
      </c>
      <c r="E69" s="2" t="str">
        <f>VLOOKUP(A69,Table3[#All],5,FALSE)</f>
        <v>Female</v>
      </c>
      <c r="F69" s="2">
        <f>VLOOKUP(A69,Table3[#All],6,FALSE)</f>
        <v>3</v>
      </c>
      <c r="G69" s="2">
        <f>VLOOKUP(A69,Table3[#All],7,FALSE)</f>
        <v>60011</v>
      </c>
      <c r="H69" s="2">
        <f>VLOOKUP(A69,Table3[#All],8,FALSE)</f>
        <v>15</v>
      </c>
      <c r="I69" s="2">
        <f>VLOOKUP(A69,Table3[#All],9,FALSE)</f>
        <v>47</v>
      </c>
      <c r="J69" s="2">
        <f>VLOOKUP(A69,Table3[#All],10,FALSE)</f>
        <v>5</v>
      </c>
      <c r="K69" s="2">
        <f>VLOOKUP(A69,Table3[#All],11,FALSE)</f>
        <v>100</v>
      </c>
      <c r="L69" s="2" t="str">
        <f>VLOOKUP(A69,Table3[#All],12,FALSE)</f>
        <v>Pune</v>
      </c>
      <c r="M69" s="2" t="str">
        <f t="shared" si="1"/>
        <v>Eligible</v>
      </c>
    </row>
    <row r="70" spans="1:13" x14ac:dyDescent="0.25">
      <c r="A70" s="5" t="s">
        <v>664</v>
      </c>
      <c r="B70" s="2" t="str">
        <f>VLOOKUP(A70,Table3[#All],2,FALSE)</f>
        <v>Sneha</v>
      </c>
      <c r="C70" s="2" t="str">
        <f>VLOOKUP(A70,Table3[#All],3,FALSE)</f>
        <v>IT</v>
      </c>
      <c r="D70" s="2">
        <f>VLOOKUP(A70,Table3[#All],4,FALSE)</f>
        <v>29</v>
      </c>
      <c r="E70" s="2" t="str">
        <f>VLOOKUP(A70,Table3[#All],5,FALSE)</f>
        <v>Male</v>
      </c>
      <c r="F70" s="2">
        <f>VLOOKUP(A70,Table3[#All],6,FALSE)</f>
        <v>15</v>
      </c>
      <c r="G70" s="2">
        <f>VLOOKUP(A70,Table3[#All],7,FALSE)</f>
        <v>27665</v>
      </c>
      <c r="H70" s="2">
        <f>VLOOKUP(A70,Table3[#All],8,FALSE)</f>
        <v>13</v>
      </c>
      <c r="I70" s="2">
        <f>VLOOKUP(A70,Table3[#All],9,FALSE)</f>
        <v>45</v>
      </c>
      <c r="J70" s="2">
        <f>VLOOKUP(A70,Table3[#All],10,FALSE)</f>
        <v>3</v>
      </c>
      <c r="K70" s="2">
        <f>VLOOKUP(A70,Table3[#All],11,FALSE)</f>
        <v>100</v>
      </c>
      <c r="L70" s="2" t="str">
        <f>VLOOKUP(A70,Table3[#All],12,FALSE)</f>
        <v>Bangalore</v>
      </c>
      <c r="M70" s="2" t="str">
        <f t="shared" si="1"/>
        <v>Eligible</v>
      </c>
    </row>
    <row r="71" spans="1:13" hidden="1" x14ac:dyDescent="0.25">
      <c r="A71" s="6" t="s">
        <v>151</v>
      </c>
      <c r="B71" s="2" t="str">
        <f>VLOOKUP(A71,Table3[#All],2,FALSE)</f>
        <v>Anitha</v>
      </c>
      <c r="C71" s="2" t="str">
        <f>VLOOKUP(A71,Table3[#All],3,FALSE)</f>
        <v>Sales</v>
      </c>
      <c r="D71" s="2">
        <f>VLOOKUP(A71,Table3[#All],4,FALSE)</f>
        <v>28</v>
      </c>
      <c r="E71" s="2" t="str">
        <f>VLOOKUP(A71,Table3[#All],5,FALSE)</f>
        <v>Female</v>
      </c>
      <c r="F71" s="2">
        <f>VLOOKUP(A71,Table3[#All],6,FALSE)</f>
        <v>7</v>
      </c>
      <c r="G71" s="2">
        <f>VLOOKUP(A71,Table3[#All],7,FALSE)</f>
        <v>27755</v>
      </c>
      <c r="H71" s="2">
        <f>VLOOKUP(A71,Table3[#All],8,FALSE)</f>
        <v>4</v>
      </c>
      <c r="I71" s="2">
        <f>VLOOKUP(A71,Table3[#All],9,FALSE)</f>
        <v>46</v>
      </c>
      <c r="J71" s="2">
        <f>VLOOKUP(A71,Table3[#All],10,FALSE)</f>
        <v>4</v>
      </c>
      <c r="K71" s="2">
        <f>VLOOKUP(A71,Table3[#All],11,FALSE)</f>
        <v>97</v>
      </c>
      <c r="L71" s="2" t="str">
        <f>VLOOKUP(A71,Table3[#All],12,FALSE)</f>
        <v>Mumbai</v>
      </c>
      <c r="M71" s="2" t="str">
        <f t="shared" si="1"/>
        <v>Eligible</v>
      </c>
    </row>
    <row r="72" spans="1:13" hidden="1" x14ac:dyDescent="0.25">
      <c r="A72" s="6" t="s">
        <v>441</v>
      </c>
      <c r="B72" s="2" t="str">
        <f>VLOOKUP(A72,Table3[#All],2,FALSE)</f>
        <v>Sanjay</v>
      </c>
      <c r="C72" s="2" t="str">
        <f>VLOOKUP(A72,Table3[#All],3,FALSE)</f>
        <v>Finance</v>
      </c>
      <c r="D72" s="2">
        <f>VLOOKUP(A72,Table3[#All],4,FALSE)</f>
        <v>33</v>
      </c>
      <c r="E72" s="2" t="str">
        <f>VLOOKUP(A72,Table3[#All],5,FALSE)</f>
        <v>Female</v>
      </c>
      <c r="F72" s="2">
        <f>VLOOKUP(A72,Table3[#All],6,FALSE)</f>
        <v>6</v>
      </c>
      <c r="G72" s="2">
        <f>VLOOKUP(A72,Table3[#All],7,FALSE)</f>
        <v>28023</v>
      </c>
      <c r="H72" s="2">
        <f>VLOOKUP(A72,Table3[#All],8,FALSE)</f>
        <v>7</v>
      </c>
      <c r="I72" s="2">
        <f>VLOOKUP(A72,Table3[#All],9,FALSE)</f>
        <v>49</v>
      </c>
      <c r="J72" s="2">
        <f>VLOOKUP(A72,Table3[#All],10,FALSE)</f>
        <v>5</v>
      </c>
      <c r="K72" s="2">
        <f>VLOOKUP(A72,Table3[#All],11,FALSE)</f>
        <v>93</v>
      </c>
      <c r="L72" s="2" t="str">
        <f>VLOOKUP(A72,Table3[#All],12,FALSE)</f>
        <v>Hyderabad</v>
      </c>
      <c r="M72" s="2" t="str">
        <f t="shared" si="1"/>
        <v>Not Eligible</v>
      </c>
    </row>
    <row r="73" spans="1:13" x14ac:dyDescent="0.25">
      <c r="A73" s="6" t="s">
        <v>411</v>
      </c>
      <c r="B73" s="2" t="str">
        <f>VLOOKUP(A73,Table3[#All],2,FALSE)</f>
        <v>Ravi</v>
      </c>
      <c r="C73" s="2" t="str">
        <f>VLOOKUP(A73,Table3[#All],3,FALSE)</f>
        <v>Finance</v>
      </c>
      <c r="D73" s="2">
        <f>VLOOKUP(A73,Table3[#All],4,FALSE)</f>
        <v>30</v>
      </c>
      <c r="E73" s="2" t="str">
        <f>VLOOKUP(A73,Table3[#All],5,FALSE)</f>
        <v>Male</v>
      </c>
      <c r="F73" s="2">
        <f>VLOOKUP(A73,Table3[#All],6,FALSE)</f>
        <v>12</v>
      </c>
      <c r="G73" s="2">
        <f>VLOOKUP(A73,Table3[#All],7,FALSE)</f>
        <v>28049</v>
      </c>
      <c r="H73" s="2">
        <f>VLOOKUP(A73,Table3[#All],8,FALSE)</f>
        <v>14</v>
      </c>
      <c r="I73" s="2">
        <f>VLOOKUP(A73,Table3[#All],9,FALSE)</f>
        <v>43</v>
      </c>
      <c r="J73" s="2">
        <f>VLOOKUP(A73,Table3[#All],10,FALSE)</f>
        <v>1</v>
      </c>
      <c r="K73" s="2">
        <f>VLOOKUP(A73,Table3[#All],11,FALSE)</f>
        <v>92</v>
      </c>
      <c r="L73" s="2" t="str">
        <f>VLOOKUP(A73,Table3[#All],12,FALSE)</f>
        <v>Mumbai</v>
      </c>
      <c r="M73" s="2" t="str">
        <f t="shared" si="1"/>
        <v>Not Eligible</v>
      </c>
    </row>
    <row r="74" spans="1:13" hidden="1" x14ac:dyDescent="0.25">
      <c r="A74" s="5" t="s">
        <v>116</v>
      </c>
      <c r="B74" s="2" t="str">
        <f>VLOOKUP(A74,Table3[#All],2,FALSE)</f>
        <v>Ajay</v>
      </c>
      <c r="C74" s="2" t="str">
        <f>VLOOKUP(A74,Table3[#All],3,FALSE)</f>
        <v>HR</v>
      </c>
      <c r="D74" s="2">
        <f>VLOOKUP(A74,Table3[#All],4,FALSE)</f>
        <v>38</v>
      </c>
      <c r="E74" s="2" t="str">
        <f>VLOOKUP(A74,Table3[#All],5,FALSE)</f>
        <v>Female</v>
      </c>
      <c r="F74" s="2">
        <f>VLOOKUP(A74,Table3[#All],6,FALSE)</f>
        <v>1</v>
      </c>
      <c r="G74" s="2">
        <f>VLOOKUP(A74,Table3[#All],7,FALSE)</f>
        <v>40792</v>
      </c>
      <c r="H74" s="2">
        <f>VLOOKUP(A74,Table3[#All],8,FALSE)</f>
        <v>12</v>
      </c>
      <c r="I74" s="2">
        <f>VLOOKUP(A74,Table3[#All],9,FALSE)</f>
        <v>47</v>
      </c>
      <c r="J74" s="2">
        <f>VLOOKUP(A74,Table3[#All],10,FALSE)</f>
        <v>5</v>
      </c>
      <c r="K74" s="2">
        <f>VLOOKUP(A74,Table3[#All],11,FALSE)</f>
        <v>100</v>
      </c>
      <c r="L74" s="2" t="str">
        <f>VLOOKUP(A74,Table3[#All],12,FALSE)</f>
        <v>Hyderabad</v>
      </c>
      <c r="M74" s="2" t="str">
        <f t="shared" si="1"/>
        <v>Eligible</v>
      </c>
    </row>
    <row r="75" spans="1:13" hidden="1" x14ac:dyDescent="0.25">
      <c r="A75" s="5" t="s">
        <v>888</v>
      </c>
      <c r="B75" s="2" t="str">
        <f>VLOOKUP(A75,Table3[#All],2,FALSE)</f>
        <v>Ajay</v>
      </c>
      <c r="C75" s="2" t="str">
        <f>VLOOKUP(A75,Table3[#All],3,FALSE)</f>
        <v>IT</v>
      </c>
      <c r="D75" s="2">
        <f>VLOOKUP(A75,Table3[#All],4,FALSE)</f>
        <v>29</v>
      </c>
      <c r="E75" s="2" t="str">
        <f>VLOOKUP(A75,Table3[#All],5,FALSE)</f>
        <v>Female</v>
      </c>
      <c r="F75" s="2">
        <f>VLOOKUP(A75,Table3[#All],6,FALSE)</f>
        <v>9</v>
      </c>
      <c r="G75" s="2">
        <f>VLOOKUP(A75,Table3[#All],7,FALSE)</f>
        <v>28079</v>
      </c>
      <c r="H75" s="2">
        <f>VLOOKUP(A75,Table3[#All],8,FALSE)</f>
        <v>4</v>
      </c>
      <c r="I75" s="2">
        <f>VLOOKUP(A75,Table3[#All],9,FALSE)</f>
        <v>50</v>
      </c>
      <c r="J75" s="2">
        <f>VLOOKUP(A75,Table3[#All],10,FALSE)</f>
        <v>4</v>
      </c>
      <c r="K75" s="2">
        <f>VLOOKUP(A75,Table3[#All],11,FALSE)</f>
        <v>86</v>
      </c>
      <c r="L75" s="2" t="str">
        <f>VLOOKUP(A75,Table3[#All],12,FALSE)</f>
        <v>Mumbai</v>
      </c>
      <c r="M75" s="2" t="str">
        <f t="shared" si="1"/>
        <v>Not Eligible</v>
      </c>
    </row>
    <row r="76" spans="1:13" hidden="1" x14ac:dyDescent="0.25">
      <c r="A76" s="6" t="s">
        <v>1009</v>
      </c>
      <c r="B76" s="2" t="str">
        <f>VLOOKUP(A76,Table3[#All],2,FALSE)</f>
        <v>Suresh</v>
      </c>
      <c r="C76" s="2" t="str">
        <f>VLOOKUP(A76,Table3[#All],3,FALSE)</f>
        <v>IT</v>
      </c>
      <c r="D76" s="2">
        <f>VLOOKUP(A76,Table3[#All],4,FALSE)</f>
        <v>26</v>
      </c>
      <c r="E76" s="2" t="str">
        <f>VLOOKUP(A76,Table3[#All],5,FALSE)</f>
        <v>Female</v>
      </c>
      <c r="F76" s="2">
        <f>VLOOKUP(A76,Table3[#All],6,FALSE)</f>
        <v>10</v>
      </c>
      <c r="G76" s="2">
        <f>VLOOKUP(A76,Table3[#All],7,FALSE)</f>
        <v>28084</v>
      </c>
      <c r="H76" s="2">
        <f>VLOOKUP(A76,Table3[#All],8,FALSE)</f>
        <v>14</v>
      </c>
      <c r="I76" s="2">
        <f>VLOOKUP(A76,Table3[#All],9,FALSE)</f>
        <v>45</v>
      </c>
      <c r="J76" s="2">
        <f>VLOOKUP(A76,Table3[#All],10,FALSE)</f>
        <v>2</v>
      </c>
      <c r="K76" s="2">
        <f>VLOOKUP(A76,Table3[#All],11,FALSE)</f>
        <v>89</v>
      </c>
      <c r="L76" s="2" t="str">
        <f>VLOOKUP(A76,Table3[#All],12,FALSE)</f>
        <v>Hyderabad</v>
      </c>
      <c r="M76" s="2" t="str">
        <f t="shared" si="1"/>
        <v>Not Eligible</v>
      </c>
    </row>
    <row r="77" spans="1:13" hidden="1" x14ac:dyDescent="0.25">
      <c r="A77" s="6" t="s">
        <v>135</v>
      </c>
      <c r="B77" s="2" t="str">
        <f>VLOOKUP(A77,Table3[#All],2,FALSE)</f>
        <v>Sanjay</v>
      </c>
      <c r="C77" s="2" t="str">
        <f>VLOOKUP(A77,Table3[#All],3,FALSE)</f>
        <v>Sales</v>
      </c>
      <c r="D77" s="2">
        <f>VLOOKUP(A77,Table3[#All],4,FALSE)</f>
        <v>36</v>
      </c>
      <c r="E77" s="2" t="str">
        <f>VLOOKUP(A77,Table3[#All],5,FALSE)</f>
        <v>Male</v>
      </c>
      <c r="F77" s="2">
        <f>VLOOKUP(A77,Table3[#All],6,FALSE)</f>
        <v>5</v>
      </c>
      <c r="G77" s="2">
        <f>VLOOKUP(A77,Table3[#All],7,FALSE)</f>
        <v>28253</v>
      </c>
      <c r="H77" s="2">
        <f>VLOOKUP(A77,Table3[#All],8,FALSE)</f>
        <v>8</v>
      </c>
      <c r="I77" s="2">
        <f>VLOOKUP(A77,Table3[#All],9,FALSE)</f>
        <v>46</v>
      </c>
      <c r="J77" s="2">
        <f>VLOOKUP(A77,Table3[#All],10,FALSE)</f>
        <v>3</v>
      </c>
      <c r="K77" s="2">
        <f>VLOOKUP(A77,Table3[#All],11,FALSE)</f>
        <v>94</v>
      </c>
      <c r="L77" s="2" t="str">
        <f>VLOOKUP(A77,Table3[#All],12,FALSE)</f>
        <v>Delhi</v>
      </c>
      <c r="M77" s="2" t="str">
        <f t="shared" si="1"/>
        <v>Not Eligible</v>
      </c>
    </row>
    <row r="78" spans="1:13" hidden="1" x14ac:dyDescent="0.25">
      <c r="A78" s="5" t="s">
        <v>120</v>
      </c>
      <c r="B78" s="2" t="str">
        <f>VLOOKUP(A78,Table3[#All],2,FALSE)</f>
        <v>Meena</v>
      </c>
      <c r="C78" s="2" t="str">
        <f>VLOOKUP(A78,Table3[#All],3,FALSE)</f>
        <v>IT</v>
      </c>
      <c r="D78" s="2">
        <f>VLOOKUP(A78,Table3[#All],4,FALSE)</f>
        <v>33</v>
      </c>
      <c r="E78" s="2" t="str">
        <f>VLOOKUP(A78,Table3[#All],5,FALSE)</f>
        <v>Male</v>
      </c>
      <c r="F78" s="2">
        <f>VLOOKUP(A78,Table3[#All],6,FALSE)</f>
        <v>3</v>
      </c>
      <c r="G78" s="2">
        <f>VLOOKUP(A78,Table3[#All],7,FALSE)</f>
        <v>41031</v>
      </c>
      <c r="H78" s="2">
        <f>VLOOKUP(A78,Table3[#All],8,FALSE)</f>
        <v>14</v>
      </c>
      <c r="I78" s="2">
        <f>VLOOKUP(A78,Table3[#All],9,FALSE)</f>
        <v>35</v>
      </c>
      <c r="J78" s="2">
        <f>VLOOKUP(A78,Table3[#All],10,FALSE)</f>
        <v>5</v>
      </c>
      <c r="K78" s="2">
        <f>VLOOKUP(A78,Table3[#All],11,FALSE)</f>
        <v>97</v>
      </c>
      <c r="L78" s="2" t="str">
        <f>VLOOKUP(A78,Table3[#All],12,FALSE)</f>
        <v>Chennai</v>
      </c>
      <c r="M78" s="2" t="str">
        <f t="shared" si="1"/>
        <v>Eligible</v>
      </c>
    </row>
    <row r="79" spans="1:13" x14ac:dyDescent="0.25">
      <c r="A79" s="5" t="s">
        <v>192</v>
      </c>
      <c r="B79" s="2" t="str">
        <f>VLOOKUP(A79,Table3[#All],2,FALSE)</f>
        <v>Ajay</v>
      </c>
      <c r="C79" s="2" t="str">
        <f>VLOOKUP(A79,Table3[#All],3,FALSE)</f>
        <v>Finance</v>
      </c>
      <c r="D79" s="2">
        <f>VLOOKUP(A79,Table3[#All],4,FALSE)</f>
        <v>28</v>
      </c>
      <c r="E79" s="2" t="str">
        <f>VLOOKUP(A79,Table3[#All],5,FALSE)</f>
        <v>Female</v>
      </c>
      <c r="F79" s="2">
        <f>VLOOKUP(A79,Table3[#All],6,FALSE)</f>
        <v>14</v>
      </c>
      <c r="G79" s="2">
        <f>VLOOKUP(A79,Table3[#All],7,FALSE)</f>
        <v>28328</v>
      </c>
      <c r="H79" s="2">
        <f>VLOOKUP(A79,Table3[#All],8,FALSE)</f>
        <v>14</v>
      </c>
      <c r="I79" s="2">
        <f>VLOOKUP(A79,Table3[#All],9,FALSE)</f>
        <v>50</v>
      </c>
      <c r="J79" s="2">
        <f>VLOOKUP(A79,Table3[#All],10,FALSE)</f>
        <v>5</v>
      </c>
      <c r="K79" s="2">
        <f>VLOOKUP(A79,Table3[#All],11,FALSE)</f>
        <v>96</v>
      </c>
      <c r="L79" s="2" t="str">
        <f>VLOOKUP(A79,Table3[#All],12,FALSE)</f>
        <v>Chennai</v>
      </c>
      <c r="M79" s="2" t="str">
        <f t="shared" si="1"/>
        <v>Eligible</v>
      </c>
    </row>
    <row r="80" spans="1:13" hidden="1" x14ac:dyDescent="0.25">
      <c r="A80" s="6" t="s">
        <v>515</v>
      </c>
      <c r="B80" s="2" t="str">
        <f>VLOOKUP(A80,Table3[#All],2,FALSE)</f>
        <v>Meena</v>
      </c>
      <c r="C80" s="2" t="str">
        <f>VLOOKUP(A80,Table3[#All],3,FALSE)</f>
        <v>HR</v>
      </c>
      <c r="D80" s="2">
        <f>VLOOKUP(A80,Table3[#All],4,FALSE)</f>
        <v>28</v>
      </c>
      <c r="E80" s="2" t="str">
        <f>VLOOKUP(A80,Table3[#All],5,FALSE)</f>
        <v>Male</v>
      </c>
      <c r="F80" s="2">
        <f>VLOOKUP(A80,Table3[#All],6,FALSE)</f>
        <v>11</v>
      </c>
      <c r="G80" s="2">
        <f>VLOOKUP(A80,Table3[#All],7,FALSE)</f>
        <v>28417</v>
      </c>
      <c r="H80" s="2">
        <f>VLOOKUP(A80,Table3[#All],8,FALSE)</f>
        <v>7</v>
      </c>
      <c r="I80" s="2">
        <f>VLOOKUP(A80,Table3[#All],9,FALSE)</f>
        <v>48</v>
      </c>
      <c r="J80" s="2">
        <f>VLOOKUP(A80,Table3[#All],10,FALSE)</f>
        <v>2</v>
      </c>
      <c r="K80" s="2">
        <f>VLOOKUP(A80,Table3[#All],11,FALSE)</f>
        <v>91</v>
      </c>
      <c r="L80" s="2" t="str">
        <f>VLOOKUP(A80,Table3[#All],12,FALSE)</f>
        <v>Delhi</v>
      </c>
      <c r="M80" s="2" t="str">
        <f t="shared" si="1"/>
        <v>Not Eligible</v>
      </c>
    </row>
    <row r="81" spans="1:13" x14ac:dyDescent="0.25">
      <c r="A81" s="5" t="s">
        <v>526</v>
      </c>
      <c r="B81" s="2" t="str">
        <f>VLOOKUP(A81,Table3[#All],2,FALSE)</f>
        <v>Karthik</v>
      </c>
      <c r="C81" s="2" t="str">
        <f>VLOOKUP(A81,Table3[#All],3,FALSE)</f>
        <v>IT</v>
      </c>
      <c r="D81" s="2">
        <f>VLOOKUP(A81,Table3[#All],4,FALSE)</f>
        <v>32</v>
      </c>
      <c r="E81" s="2" t="str">
        <f>VLOOKUP(A81,Table3[#All],5,FALSE)</f>
        <v>Female</v>
      </c>
      <c r="F81" s="2">
        <f>VLOOKUP(A81,Table3[#All],6,FALSE)</f>
        <v>9</v>
      </c>
      <c r="G81" s="2">
        <f>VLOOKUP(A81,Table3[#All],7,FALSE)</f>
        <v>28455</v>
      </c>
      <c r="H81" s="2">
        <f>VLOOKUP(A81,Table3[#All],8,FALSE)</f>
        <v>14</v>
      </c>
      <c r="I81" s="2">
        <f>VLOOKUP(A81,Table3[#All],9,FALSE)</f>
        <v>39</v>
      </c>
      <c r="J81" s="2">
        <f>VLOOKUP(A81,Table3[#All],10,FALSE)</f>
        <v>2</v>
      </c>
      <c r="K81" s="2">
        <f>VLOOKUP(A81,Table3[#All],11,FALSE)</f>
        <v>95</v>
      </c>
      <c r="L81" s="2" t="str">
        <f>VLOOKUP(A81,Table3[#All],12,FALSE)</f>
        <v>Bangalore</v>
      </c>
      <c r="M81" s="2" t="str">
        <f t="shared" si="1"/>
        <v>Eligible</v>
      </c>
    </row>
    <row r="82" spans="1:13" hidden="1" x14ac:dyDescent="0.25">
      <c r="A82" s="6" t="s">
        <v>819</v>
      </c>
      <c r="B82" s="2" t="str">
        <f>VLOOKUP(A82,Table3[#All],2,FALSE)</f>
        <v>Meena</v>
      </c>
      <c r="C82" s="2" t="str">
        <f>VLOOKUP(A82,Table3[#All],3,FALSE)</f>
        <v>HR</v>
      </c>
      <c r="D82" s="2">
        <f>VLOOKUP(A82,Table3[#All],4,FALSE)</f>
        <v>40</v>
      </c>
      <c r="E82" s="2" t="str">
        <f>VLOOKUP(A82,Table3[#All],5,FALSE)</f>
        <v>Female</v>
      </c>
      <c r="F82" s="2">
        <f>VLOOKUP(A82,Table3[#All],6,FALSE)</f>
        <v>5</v>
      </c>
      <c r="G82" s="2">
        <f>VLOOKUP(A82,Table3[#All],7,FALSE)</f>
        <v>28572</v>
      </c>
      <c r="H82" s="2">
        <f>VLOOKUP(A82,Table3[#All],8,FALSE)</f>
        <v>6</v>
      </c>
      <c r="I82" s="2">
        <f>VLOOKUP(A82,Table3[#All],9,FALSE)</f>
        <v>48</v>
      </c>
      <c r="J82" s="2">
        <f>VLOOKUP(A82,Table3[#All],10,FALSE)</f>
        <v>3</v>
      </c>
      <c r="K82" s="2">
        <f>VLOOKUP(A82,Table3[#All],11,FALSE)</f>
        <v>91</v>
      </c>
      <c r="L82" s="2" t="str">
        <f>VLOOKUP(A82,Table3[#All],12,FALSE)</f>
        <v>Mumbai</v>
      </c>
      <c r="M82" s="2" t="str">
        <f t="shared" si="1"/>
        <v>Not Eligible</v>
      </c>
    </row>
    <row r="83" spans="1:13" hidden="1" x14ac:dyDescent="0.25">
      <c r="A83" s="5" t="s">
        <v>758</v>
      </c>
      <c r="B83" s="2" t="str">
        <f>VLOOKUP(A83,Table3[#All],2,FALSE)</f>
        <v>Ravi</v>
      </c>
      <c r="C83" s="2" t="str">
        <f>VLOOKUP(A83,Table3[#All],3,FALSE)</f>
        <v>Sales</v>
      </c>
      <c r="D83" s="2">
        <f>VLOOKUP(A83,Table3[#All],4,FALSE)</f>
        <v>39</v>
      </c>
      <c r="E83" s="2" t="str">
        <f>VLOOKUP(A83,Table3[#All],5,FALSE)</f>
        <v>Male</v>
      </c>
      <c r="F83" s="2">
        <f>VLOOKUP(A83,Table3[#All],6,FALSE)</f>
        <v>15</v>
      </c>
      <c r="G83" s="2">
        <f>VLOOKUP(A83,Table3[#All],7,FALSE)</f>
        <v>28807</v>
      </c>
      <c r="H83" s="2">
        <f>VLOOKUP(A83,Table3[#All],8,FALSE)</f>
        <v>12</v>
      </c>
      <c r="I83" s="2">
        <f>VLOOKUP(A83,Table3[#All],9,FALSE)</f>
        <v>38</v>
      </c>
      <c r="J83" s="2">
        <f>VLOOKUP(A83,Table3[#All],10,FALSE)</f>
        <v>1</v>
      </c>
      <c r="K83" s="2">
        <f>VLOOKUP(A83,Table3[#All],11,FALSE)</f>
        <v>87</v>
      </c>
      <c r="L83" s="2" t="str">
        <f>VLOOKUP(A83,Table3[#All],12,FALSE)</f>
        <v>Mumbai</v>
      </c>
      <c r="M83" s="2" t="str">
        <f t="shared" si="1"/>
        <v>Not Eligible</v>
      </c>
    </row>
    <row r="84" spans="1:13" hidden="1" x14ac:dyDescent="0.25">
      <c r="A84" s="5" t="s">
        <v>126</v>
      </c>
      <c r="B84" s="2" t="str">
        <f>VLOOKUP(A84,Table3[#All],2,FALSE)</f>
        <v>Hari</v>
      </c>
      <c r="C84" s="2" t="str">
        <f>VLOOKUP(A84,Table3[#All],3,FALSE)</f>
        <v>HR</v>
      </c>
      <c r="D84" s="2">
        <f>VLOOKUP(A84,Table3[#All],4,FALSE)</f>
        <v>36</v>
      </c>
      <c r="E84" s="2" t="str">
        <f>VLOOKUP(A84,Table3[#All],5,FALSE)</f>
        <v>Female</v>
      </c>
      <c r="F84" s="2">
        <f>VLOOKUP(A84,Table3[#All],6,FALSE)</f>
        <v>2</v>
      </c>
      <c r="G84" s="2">
        <f>VLOOKUP(A84,Table3[#All],7,FALSE)</f>
        <v>34409</v>
      </c>
      <c r="H84" s="2">
        <f>VLOOKUP(A84,Table3[#All],8,FALSE)</f>
        <v>14</v>
      </c>
      <c r="I84" s="2">
        <f>VLOOKUP(A84,Table3[#All],9,FALSE)</f>
        <v>36</v>
      </c>
      <c r="J84" s="2">
        <f>VLOOKUP(A84,Table3[#All],10,FALSE)</f>
        <v>3</v>
      </c>
      <c r="K84" s="2">
        <f>VLOOKUP(A84,Table3[#All],11,FALSE)</f>
        <v>100</v>
      </c>
      <c r="L84" s="2" t="str">
        <f>VLOOKUP(A84,Table3[#All],12,FALSE)</f>
        <v>Hyderabad</v>
      </c>
      <c r="M84" s="2" t="str">
        <f t="shared" si="1"/>
        <v>Eligible</v>
      </c>
    </row>
    <row r="85" spans="1:13" hidden="1" x14ac:dyDescent="0.25">
      <c r="A85" s="6" t="s">
        <v>127</v>
      </c>
      <c r="B85" s="2" t="str">
        <f>VLOOKUP(A85,Table3[#All],2,FALSE)</f>
        <v>Hari</v>
      </c>
      <c r="C85" s="2" t="str">
        <f>VLOOKUP(A85,Table3[#All],3,FALSE)</f>
        <v>Finance</v>
      </c>
      <c r="D85" s="2">
        <f>VLOOKUP(A85,Table3[#All],4,FALSE)</f>
        <v>28</v>
      </c>
      <c r="E85" s="2" t="str">
        <f>VLOOKUP(A85,Table3[#All],5,FALSE)</f>
        <v>Female</v>
      </c>
      <c r="F85" s="2">
        <f>VLOOKUP(A85,Table3[#All],6,FALSE)</f>
        <v>3</v>
      </c>
      <c r="G85" s="2">
        <f>VLOOKUP(A85,Table3[#All],7,FALSE)</f>
        <v>40095</v>
      </c>
      <c r="H85" s="2">
        <f>VLOOKUP(A85,Table3[#All],8,FALSE)</f>
        <v>15</v>
      </c>
      <c r="I85" s="2">
        <f>VLOOKUP(A85,Table3[#All],9,FALSE)</f>
        <v>48</v>
      </c>
      <c r="J85" s="2">
        <f>VLOOKUP(A85,Table3[#All],10,FALSE)</f>
        <v>4</v>
      </c>
      <c r="K85" s="2">
        <f>VLOOKUP(A85,Table3[#All],11,FALSE)</f>
        <v>85</v>
      </c>
      <c r="L85" s="2" t="str">
        <f>VLOOKUP(A85,Table3[#All],12,FALSE)</f>
        <v>Chennai</v>
      </c>
      <c r="M85" s="2" t="str">
        <f t="shared" si="1"/>
        <v>Not Eligible</v>
      </c>
    </row>
    <row r="86" spans="1:13" x14ac:dyDescent="0.25">
      <c r="A86" s="5" t="s">
        <v>1038</v>
      </c>
      <c r="B86" s="2" t="str">
        <f>VLOOKUP(A86,Table3[#All],2,FALSE)</f>
        <v>Arun</v>
      </c>
      <c r="C86" s="2" t="str">
        <f>VLOOKUP(A86,Table3[#All],3,FALSE)</f>
        <v>IT</v>
      </c>
      <c r="D86" s="2">
        <f>VLOOKUP(A86,Table3[#All],4,FALSE)</f>
        <v>24</v>
      </c>
      <c r="E86" s="2" t="str">
        <f>VLOOKUP(A86,Table3[#All],5,FALSE)</f>
        <v>Female</v>
      </c>
      <c r="F86" s="2">
        <f>VLOOKUP(A86,Table3[#All],6,FALSE)</f>
        <v>15</v>
      </c>
      <c r="G86" s="2">
        <f>VLOOKUP(A86,Table3[#All],7,FALSE)</f>
        <v>28846</v>
      </c>
      <c r="H86" s="2">
        <f>VLOOKUP(A86,Table3[#All],8,FALSE)</f>
        <v>12</v>
      </c>
      <c r="I86" s="2">
        <f>VLOOKUP(A86,Table3[#All],9,FALSE)</f>
        <v>38</v>
      </c>
      <c r="J86" s="2">
        <f>VLOOKUP(A86,Table3[#All],10,FALSE)</f>
        <v>5</v>
      </c>
      <c r="K86" s="2">
        <f>VLOOKUP(A86,Table3[#All],11,FALSE)</f>
        <v>99</v>
      </c>
      <c r="L86" s="2" t="str">
        <f>VLOOKUP(A86,Table3[#All],12,FALSE)</f>
        <v>Bangalore</v>
      </c>
      <c r="M86" s="2" t="str">
        <f t="shared" si="1"/>
        <v>Eligible</v>
      </c>
    </row>
    <row r="87" spans="1:13" x14ac:dyDescent="0.25">
      <c r="A87" s="5" t="s">
        <v>102</v>
      </c>
      <c r="B87" s="2" t="str">
        <f>VLOOKUP(A87,Table3[#All],2,FALSE)</f>
        <v>Suresh</v>
      </c>
      <c r="C87" s="2" t="str">
        <f>VLOOKUP(A87,Table3[#All],3,FALSE)</f>
        <v>IT</v>
      </c>
      <c r="D87" s="2">
        <f>VLOOKUP(A87,Table3[#All],4,FALSE)</f>
        <v>25</v>
      </c>
      <c r="E87" s="2" t="str">
        <f>VLOOKUP(A87,Table3[#All],5,FALSE)</f>
        <v>Male</v>
      </c>
      <c r="F87" s="2">
        <f>VLOOKUP(A87,Table3[#All],6,FALSE)</f>
        <v>15</v>
      </c>
      <c r="G87" s="2">
        <f>VLOOKUP(A87,Table3[#All],7,FALSE)</f>
        <v>28874</v>
      </c>
      <c r="H87" s="2">
        <f>VLOOKUP(A87,Table3[#All],8,FALSE)</f>
        <v>13</v>
      </c>
      <c r="I87" s="2">
        <f>VLOOKUP(A87,Table3[#All],9,FALSE)</f>
        <v>41</v>
      </c>
      <c r="J87" s="2">
        <f>VLOOKUP(A87,Table3[#All],10,FALSE)</f>
        <v>2</v>
      </c>
      <c r="K87" s="2">
        <f>VLOOKUP(A87,Table3[#All],11,FALSE)</f>
        <v>95</v>
      </c>
      <c r="L87" s="2" t="str">
        <f>VLOOKUP(A87,Table3[#All],12,FALSE)</f>
        <v>Mumbai</v>
      </c>
      <c r="M87" s="2" t="str">
        <f t="shared" si="1"/>
        <v>Eligible</v>
      </c>
    </row>
    <row r="88" spans="1:13" hidden="1" x14ac:dyDescent="0.25">
      <c r="A88" s="5" t="s">
        <v>130</v>
      </c>
      <c r="B88" s="2" t="str">
        <f>VLOOKUP(A88,Table3[#All],2,FALSE)</f>
        <v>Arun</v>
      </c>
      <c r="C88" s="2" t="str">
        <f>VLOOKUP(A88,Table3[#All],3,FALSE)</f>
        <v>Sales</v>
      </c>
      <c r="D88" s="2">
        <f>VLOOKUP(A88,Table3[#All],4,FALSE)</f>
        <v>27</v>
      </c>
      <c r="E88" s="2" t="str">
        <f>VLOOKUP(A88,Table3[#All],5,FALSE)</f>
        <v>Female</v>
      </c>
      <c r="F88" s="2">
        <f>VLOOKUP(A88,Table3[#All],6,FALSE)</f>
        <v>3</v>
      </c>
      <c r="G88" s="2">
        <f>VLOOKUP(A88,Table3[#All],7,FALSE)</f>
        <v>31087</v>
      </c>
      <c r="H88" s="2">
        <f>VLOOKUP(A88,Table3[#All],8,FALSE)</f>
        <v>6</v>
      </c>
      <c r="I88" s="2">
        <f>VLOOKUP(A88,Table3[#All],9,FALSE)</f>
        <v>47</v>
      </c>
      <c r="J88" s="2">
        <f>VLOOKUP(A88,Table3[#All],10,FALSE)</f>
        <v>4</v>
      </c>
      <c r="K88" s="2">
        <f>VLOOKUP(A88,Table3[#All],11,FALSE)</f>
        <v>85</v>
      </c>
      <c r="L88" s="2" t="str">
        <f>VLOOKUP(A88,Table3[#All],12,FALSE)</f>
        <v>Chennai</v>
      </c>
      <c r="M88" s="2" t="str">
        <f t="shared" si="1"/>
        <v>Not Eligible</v>
      </c>
    </row>
    <row r="89" spans="1:13" hidden="1" x14ac:dyDescent="0.25">
      <c r="A89" s="6" t="s">
        <v>131</v>
      </c>
      <c r="B89" s="2" t="str">
        <f>VLOOKUP(A89,Table3[#All],2,FALSE)</f>
        <v>Lakshmi</v>
      </c>
      <c r="C89" s="2" t="str">
        <f>VLOOKUP(A89,Table3[#All],3,FALSE)</f>
        <v>IT</v>
      </c>
      <c r="D89" s="2">
        <f>VLOOKUP(A89,Table3[#All],4,FALSE)</f>
        <v>39</v>
      </c>
      <c r="E89" s="2" t="str">
        <f>VLOOKUP(A89,Table3[#All],5,FALSE)</f>
        <v>Male</v>
      </c>
      <c r="F89" s="2">
        <f>VLOOKUP(A89,Table3[#All],6,FALSE)</f>
        <v>1</v>
      </c>
      <c r="G89" s="2">
        <f>VLOOKUP(A89,Table3[#All],7,FALSE)</f>
        <v>53482</v>
      </c>
      <c r="H89" s="2">
        <f>VLOOKUP(A89,Table3[#All],8,FALSE)</f>
        <v>5</v>
      </c>
      <c r="I89" s="2">
        <f>VLOOKUP(A89,Table3[#All],9,FALSE)</f>
        <v>42</v>
      </c>
      <c r="J89" s="2">
        <f>VLOOKUP(A89,Table3[#All],10,FALSE)</f>
        <v>4</v>
      </c>
      <c r="K89" s="2">
        <f>VLOOKUP(A89,Table3[#All],11,FALSE)</f>
        <v>92</v>
      </c>
      <c r="L89" s="2" t="str">
        <f>VLOOKUP(A89,Table3[#All],12,FALSE)</f>
        <v>Delhi</v>
      </c>
      <c r="M89" s="2" t="str">
        <f t="shared" si="1"/>
        <v>Not Eligible</v>
      </c>
    </row>
    <row r="90" spans="1:13" x14ac:dyDescent="0.25">
      <c r="A90" s="6" t="s">
        <v>365</v>
      </c>
      <c r="B90" s="2" t="str">
        <f>VLOOKUP(A90,Table3[#All],2,FALSE)</f>
        <v>Kavya</v>
      </c>
      <c r="C90" s="2" t="str">
        <f>VLOOKUP(A90,Table3[#All],3,FALSE)</f>
        <v>IT</v>
      </c>
      <c r="D90" s="2">
        <f>VLOOKUP(A90,Table3[#All],4,FALSE)</f>
        <v>22</v>
      </c>
      <c r="E90" s="2" t="str">
        <f>VLOOKUP(A90,Table3[#All],5,FALSE)</f>
        <v>Male</v>
      </c>
      <c r="F90" s="2">
        <f>VLOOKUP(A90,Table3[#All],6,FALSE)</f>
        <v>5</v>
      </c>
      <c r="G90" s="2">
        <f>VLOOKUP(A90,Table3[#All],7,FALSE)</f>
        <v>28942</v>
      </c>
      <c r="H90" s="2">
        <f>VLOOKUP(A90,Table3[#All],8,FALSE)</f>
        <v>15</v>
      </c>
      <c r="I90" s="2">
        <f>VLOOKUP(A90,Table3[#All],9,FALSE)</f>
        <v>49</v>
      </c>
      <c r="J90" s="2">
        <f>VLOOKUP(A90,Table3[#All],10,FALSE)</f>
        <v>5</v>
      </c>
      <c r="K90" s="2">
        <f>VLOOKUP(A90,Table3[#All],11,FALSE)</f>
        <v>100</v>
      </c>
      <c r="L90" s="2" t="str">
        <f>VLOOKUP(A90,Table3[#All],12,FALSE)</f>
        <v>Hyderabad</v>
      </c>
      <c r="M90" s="2" t="str">
        <f t="shared" si="1"/>
        <v>Eligible</v>
      </c>
    </row>
    <row r="91" spans="1:13" hidden="1" x14ac:dyDescent="0.25">
      <c r="A91" s="6" t="s">
        <v>409</v>
      </c>
      <c r="B91" s="2" t="str">
        <f>VLOOKUP(A91,Table3[#All],2,FALSE)</f>
        <v>Priya</v>
      </c>
      <c r="C91" s="2" t="str">
        <f>VLOOKUP(A91,Table3[#All],3,FALSE)</f>
        <v>Finance</v>
      </c>
      <c r="D91" s="2">
        <f>VLOOKUP(A91,Table3[#All],4,FALSE)</f>
        <v>28</v>
      </c>
      <c r="E91" s="2" t="str">
        <f>VLOOKUP(A91,Table3[#All],5,FALSE)</f>
        <v>Male</v>
      </c>
      <c r="F91" s="2">
        <f>VLOOKUP(A91,Table3[#All],6,FALSE)</f>
        <v>10</v>
      </c>
      <c r="G91" s="2">
        <f>VLOOKUP(A91,Table3[#All],7,FALSE)</f>
        <v>28948</v>
      </c>
      <c r="H91" s="2">
        <f>VLOOKUP(A91,Table3[#All],8,FALSE)</f>
        <v>3</v>
      </c>
      <c r="I91" s="2">
        <f>VLOOKUP(A91,Table3[#All],9,FALSE)</f>
        <v>37</v>
      </c>
      <c r="J91" s="2">
        <f>VLOOKUP(A91,Table3[#All],10,FALSE)</f>
        <v>1</v>
      </c>
      <c r="K91" s="2">
        <f>VLOOKUP(A91,Table3[#All],11,FALSE)</f>
        <v>97</v>
      </c>
      <c r="L91" s="2" t="str">
        <f>VLOOKUP(A91,Table3[#All],12,FALSE)</f>
        <v>Delhi</v>
      </c>
      <c r="M91" s="2" t="str">
        <f t="shared" si="1"/>
        <v>Eligible</v>
      </c>
    </row>
    <row r="92" spans="1:13" hidden="1" x14ac:dyDescent="0.25">
      <c r="A92" s="5" t="s">
        <v>134</v>
      </c>
      <c r="B92" s="2" t="str">
        <f>VLOOKUP(A92,Table3[#All],2,FALSE)</f>
        <v>Deepa</v>
      </c>
      <c r="C92" s="2" t="str">
        <f>VLOOKUP(A92,Table3[#All],3,FALSE)</f>
        <v>Sales</v>
      </c>
      <c r="D92" s="2">
        <f>VLOOKUP(A92,Table3[#All],4,FALSE)</f>
        <v>40</v>
      </c>
      <c r="E92" s="2" t="str">
        <f>VLOOKUP(A92,Table3[#All],5,FALSE)</f>
        <v>Female</v>
      </c>
      <c r="F92" s="2">
        <f>VLOOKUP(A92,Table3[#All],6,FALSE)</f>
        <v>1</v>
      </c>
      <c r="G92" s="2">
        <f>VLOOKUP(A92,Table3[#All],7,FALSE)</f>
        <v>29211</v>
      </c>
      <c r="H92" s="2">
        <f>VLOOKUP(A92,Table3[#All],8,FALSE)</f>
        <v>6</v>
      </c>
      <c r="I92" s="2">
        <f>VLOOKUP(A92,Table3[#All],9,FALSE)</f>
        <v>36</v>
      </c>
      <c r="J92" s="2">
        <f>VLOOKUP(A92,Table3[#All],10,FALSE)</f>
        <v>3</v>
      </c>
      <c r="K92" s="2">
        <f>VLOOKUP(A92,Table3[#All],11,FALSE)</f>
        <v>93</v>
      </c>
      <c r="L92" s="2" t="str">
        <f>VLOOKUP(A92,Table3[#All],12,FALSE)</f>
        <v>Mumbai</v>
      </c>
      <c r="M92" s="2" t="str">
        <f t="shared" si="1"/>
        <v>Not Eligible</v>
      </c>
    </row>
    <row r="93" spans="1:13" hidden="1" x14ac:dyDescent="0.25">
      <c r="A93" s="6" t="s">
        <v>177</v>
      </c>
      <c r="B93" s="2" t="str">
        <f>VLOOKUP(A93,Table3[#All],2,FALSE)</f>
        <v>Ravi</v>
      </c>
      <c r="C93" s="2" t="str">
        <f>VLOOKUP(A93,Table3[#All],3,FALSE)</f>
        <v>Finance</v>
      </c>
      <c r="D93" s="2">
        <f>VLOOKUP(A93,Table3[#All],4,FALSE)</f>
        <v>38</v>
      </c>
      <c r="E93" s="2" t="str">
        <f>VLOOKUP(A93,Table3[#All],5,FALSE)</f>
        <v>Female</v>
      </c>
      <c r="F93" s="2">
        <f>VLOOKUP(A93,Table3[#All],6,FALSE)</f>
        <v>9</v>
      </c>
      <c r="G93" s="2">
        <f>VLOOKUP(A93,Table3[#All],7,FALSE)</f>
        <v>28981</v>
      </c>
      <c r="H93" s="2">
        <f>VLOOKUP(A93,Table3[#All],8,FALSE)</f>
        <v>6</v>
      </c>
      <c r="I93" s="2">
        <f>VLOOKUP(A93,Table3[#All],9,FALSE)</f>
        <v>36</v>
      </c>
      <c r="J93" s="2">
        <f>VLOOKUP(A93,Table3[#All],10,FALSE)</f>
        <v>3</v>
      </c>
      <c r="K93" s="2">
        <f>VLOOKUP(A93,Table3[#All],11,FALSE)</f>
        <v>98</v>
      </c>
      <c r="L93" s="2" t="str">
        <f>VLOOKUP(A93,Table3[#All],12,FALSE)</f>
        <v>Chennai</v>
      </c>
      <c r="M93" s="2" t="str">
        <f t="shared" si="1"/>
        <v>Eligible</v>
      </c>
    </row>
    <row r="94" spans="1:13" hidden="1" x14ac:dyDescent="0.25">
      <c r="A94" s="5" t="s">
        <v>136</v>
      </c>
      <c r="B94" s="2" t="str">
        <f>VLOOKUP(A94,Table3[#All],2,FALSE)</f>
        <v>Suresh</v>
      </c>
      <c r="C94" s="2" t="str">
        <f>VLOOKUP(A94,Table3[#All],3,FALSE)</f>
        <v>HR</v>
      </c>
      <c r="D94" s="2">
        <f>VLOOKUP(A94,Table3[#All],4,FALSE)</f>
        <v>40</v>
      </c>
      <c r="E94" s="2" t="str">
        <f>VLOOKUP(A94,Table3[#All],5,FALSE)</f>
        <v>Male</v>
      </c>
      <c r="F94" s="2">
        <f>VLOOKUP(A94,Table3[#All],6,FALSE)</f>
        <v>3</v>
      </c>
      <c r="G94" s="2">
        <f>VLOOKUP(A94,Table3[#All],7,FALSE)</f>
        <v>32379</v>
      </c>
      <c r="H94" s="2">
        <f>VLOOKUP(A94,Table3[#All],8,FALSE)</f>
        <v>5</v>
      </c>
      <c r="I94" s="2">
        <f>VLOOKUP(A94,Table3[#All],9,FALSE)</f>
        <v>48</v>
      </c>
      <c r="J94" s="2">
        <f>VLOOKUP(A94,Table3[#All],10,FALSE)</f>
        <v>2</v>
      </c>
      <c r="K94" s="2">
        <f>VLOOKUP(A94,Table3[#All],11,FALSE)</f>
        <v>97</v>
      </c>
      <c r="L94" s="2" t="str">
        <f>VLOOKUP(A94,Table3[#All],12,FALSE)</f>
        <v>Pune</v>
      </c>
      <c r="M94" s="2" t="str">
        <f t="shared" si="1"/>
        <v>Eligible</v>
      </c>
    </row>
    <row r="95" spans="1:13" hidden="1" x14ac:dyDescent="0.25">
      <c r="A95" s="6" t="s">
        <v>155</v>
      </c>
      <c r="B95" s="2" t="str">
        <f>VLOOKUP(A95,Table3[#All],2,FALSE)</f>
        <v>Sneha</v>
      </c>
      <c r="C95" s="2" t="str">
        <f>VLOOKUP(A95,Table3[#All],3,FALSE)</f>
        <v>HR</v>
      </c>
      <c r="D95" s="2">
        <f>VLOOKUP(A95,Table3[#All],4,FALSE)</f>
        <v>24</v>
      </c>
      <c r="E95" s="2" t="str">
        <f>VLOOKUP(A95,Table3[#All],5,FALSE)</f>
        <v>Male</v>
      </c>
      <c r="F95" s="2">
        <f>VLOOKUP(A95,Table3[#All],6,FALSE)</f>
        <v>13</v>
      </c>
      <c r="G95" s="2">
        <f>VLOOKUP(A95,Table3[#All],7,FALSE)</f>
        <v>28984</v>
      </c>
      <c r="H95" s="2">
        <f>VLOOKUP(A95,Table3[#All],8,FALSE)</f>
        <v>7</v>
      </c>
      <c r="I95" s="2">
        <f>VLOOKUP(A95,Table3[#All],9,FALSE)</f>
        <v>43</v>
      </c>
      <c r="J95" s="2">
        <f>VLOOKUP(A95,Table3[#All],10,FALSE)</f>
        <v>4</v>
      </c>
      <c r="K95" s="2">
        <f>VLOOKUP(A95,Table3[#All],11,FALSE)</f>
        <v>94</v>
      </c>
      <c r="L95" s="2" t="str">
        <f>VLOOKUP(A95,Table3[#All],12,FALSE)</f>
        <v>Mumbai</v>
      </c>
      <c r="M95" s="2" t="str">
        <f t="shared" si="1"/>
        <v>Not Eligible</v>
      </c>
    </row>
    <row r="96" spans="1:13" hidden="1" x14ac:dyDescent="0.25">
      <c r="A96" s="6" t="s">
        <v>213</v>
      </c>
      <c r="B96" s="2" t="str">
        <f>VLOOKUP(A96,Table3[#All],2,FALSE)</f>
        <v>Kavya</v>
      </c>
      <c r="C96" s="2" t="str">
        <f>VLOOKUP(A96,Table3[#All],3,FALSE)</f>
        <v>IT</v>
      </c>
      <c r="D96" s="2">
        <f>VLOOKUP(A96,Table3[#All],4,FALSE)</f>
        <v>35</v>
      </c>
      <c r="E96" s="2" t="str">
        <f>VLOOKUP(A96,Table3[#All],5,FALSE)</f>
        <v>Male</v>
      </c>
      <c r="F96" s="2">
        <f>VLOOKUP(A96,Table3[#All],6,FALSE)</f>
        <v>9</v>
      </c>
      <c r="G96" s="2">
        <f>VLOOKUP(A96,Table3[#All],7,FALSE)</f>
        <v>29128</v>
      </c>
      <c r="H96" s="2">
        <f>VLOOKUP(A96,Table3[#All],8,FALSE)</f>
        <v>6</v>
      </c>
      <c r="I96" s="2">
        <f>VLOOKUP(A96,Table3[#All],9,FALSE)</f>
        <v>37</v>
      </c>
      <c r="J96" s="2">
        <f>VLOOKUP(A96,Table3[#All],10,FALSE)</f>
        <v>2</v>
      </c>
      <c r="K96" s="2">
        <f>VLOOKUP(A96,Table3[#All],11,FALSE)</f>
        <v>89</v>
      </c>
      <c r="L96" s="2" t="str">
        <f>VLOOKUP(A96,Table3[#All],12,FALSE)</f>
        <v>Hyderabad</v>
      </c>
      <c r="M96" s="2" t="str">
        <f t="shared" si="1"/>
        <v>Not Eligible</v>
      </c>
    </row>
    <row r="97" spans="1:13" x14ac:dyDescent="0.25">
      <c r="A97" s="5" t="s">
        <v>298</v>
      </c>
      <c r="B97" s="2" t="str">
        <f>VLOOKUP(A97,Table3[#All],2,FALSE)</f>
        <v>Meena</v>
      </c>
      <c r="C97" s="2" t="str">
        <f>VLOOKUP(A97,Table3[#All],3,FALSE)</f>
        <v>Finance</v>
      </c>
      <c r="D97" s="2">
        <f>VLOOKUP(A97,Table3[#All],4,FALSE)</f>
        <v>33</v>
      </c>
      <c r="E97" s="2" t="str">
        <f>VLOOKUP(A97,Table3[#All],5,FALSE)</f>
        <v>Male</v>
      </c>
      <c r="F97" s="2">
        <f>VLOOKUP(A97,Table3[#All],6,FALSE)</f>
        <v>13</v>
      </c>
      <c r="G97" s="2">
        <f>VLOOKUP(A97,Table3[#All],7,FALSE)</f>
        <v>29178</v>
      </c>
      <c r="H97" s="2">
        <f>VLOOKUP(A97,Table3[#All],8,FALSE)</f>
        <v>13</v>
      </c>
      <c r="I97" s="2">
        <f>VLOOKUP(A97,Table3[#All],9,FALSE)</f>
        <v>37</v>
      </c>
      <c r="J97" s="2">
        <f>VLOOKUP(A97,Table3[#All],10,FALSE)</f>
        <v>2</v>
      </c>
      <c r="K97" s="2">
        <f>VLOOKUP(A97,Table3[#All],11,FALSE)</f>
        <v>93</v>
      </c>
      <c r="L97" s="2" t="str">
        <f>VLOOKUP(A97,Table3[#All],12,FALSE)</f>
        <v>Bangalore</v>
      </c>
      <c r="M97" s="2" t="str">
        <f t="shared" si="1"/>
        <v>Not Eligible</v>
      </c>
    </row>
    <row r="98" spans="1:13" hidden="1" x14ac:dyDescent="0.25">
      <c r="A98" s="5" t="s">
        <v>646</v>
      </c>
      <c r="B98" s="2" t="str">
        <f>VLOOKUP(A98,Table3[#All],2,FALSE)</f>
        <v>Ramesh</v>
      </c>
      <c r="C98" s="2" t="str">
        <f>VLOOKUP(A98,Table3[#All],3,FALSE)</f>
        <v>Finance</v>
      </c>
      <c r="D98" s="2">
        <f>VLOOKUP(A98,Table3[#All],4,FALSE)</f>
        <v>31</v>
      </c>
      <c r="E98" s="2" t="str">
        <f>VLOOKUP(A98,Table3[#All],5,FALSE)</f>
        <v>Male</v>
      </c>
      <c r="F98" s="2">
        <f>VLOOKUP(A98,Table3[#All],6,FALSE)</f>
        <v>6</v>
      </c>
      <c r="G98" s="2">
        <f>VLOOKUP(A98,Table3[#All],7,FALSE)</f>
        <v>29190</v>
      </c>
      <c r="H98" s="2">
        <f>VLOOKUP(A98,Table3[#All],8,FALSE)</f>
        <v>12</v>
      </c>
      <c r="I98" s="2">
        <f>VLOOKUP(A98,Table3[#All],9,FALSE)</f>
        <v>38</v>
      </c>
      <c r="J98" s="2">
        <f>VLOOKUP(A98,Table3[#All],10,FALSE)</f>
        <v>4</v>
      </c>
      <c r="K98" s="2">
        <f>VLOOKUP(A98,Table3[#All],11,FALSE)</f>
        <v>88</v>
      </c>
      <c r="L98" s="2" t="str">
        <f>VLOOKUP(A98,Table3[#All],12,FALSE)</f>
        <v>Chennai</v>
      </c>
      <c r="M98" s="2" t="str">
        <f t="shared" si="1"/>
        <v>Not Eligible</v>
      </c>
    </row>
    <row r="99" spans="1:13" x14ac:dyDescent="0.25">
      <c r="A99" s="5" t="s">
        <v>816</v>
      </c>
      <c r="B99" s="2" t="str">
        <f>VLOOKUP(A99,Table3[#All],2,FALSE)</f>
        <v>Sneha</v>
      </c>
      <c r="C99" s="2" t="str">
        <f>VLOOKUP(A99,Table3[#All],3,FALSE)</f>
        <v>Sales</v>
      </c>
      <c r="D99" s="2">
        <f>VLOOKUP(A99,Table3[#All],4,FALSE)</f>
        <v>32</v>
      </c>
      <c r="E99" s="2" t="str">
        <f>VLOOKUP(A99,Table3[#All],5,FALSE)</f>
        <v>Female</v>
      </c>
      <c r="F99" s="2">
        <f>VLOOKUP(A99,Table3[#All],6,FALSE)</f>
        <v>8</v>
      </c>
      <c r="G99" s="2">
        <f>VLOOKUP(A99,Table3[#All],7,FALSE)</f>
        <v>29324</v>
      </c>
      <c r="H99" s="2">
        <f>VLOOKUP(A99,Table3[#All],8,FALSE)</f>
        <v>13</v>
      </c>
      <c r="I99" s="2">
        <f>VLOOKUP(A99,Table3[#All],9,FALSE)</f>
        <v>36</v>
      </c>
      <c r="J99" s="2">
        <f>VLOOKUP(A99,Table3[#All],10,FALSE)</f>
        <v>5</v>
      </c>
      <c r="K99" s="2">
        <f>VLOOKUP(A99,Table3[#All],11,FALSE)</f>
        <v>97</v>
      </c>
      <c r="L99" s="2" t="str">
        <f>VLOOKUP(A99,Table3[#All],12,FALSE)</f>
        <v>Chennai</v>
      </c>
      <c r="M99" s="2" t="str">
        <f t="shared" si="1"/>
        <v>Eligible</v>
      </c>
    </row>
    <row r="100" spans="1:13" hidden="1" x14ac:dyDescent="0.25">
      <c r="A100" s="5" t="s">
        <v>492</v>
      </c>
      <c r="B100" s="2" t="str">
        <f>VLOOKUP(A100,Table3[#All],2,FALSE)</f>
        <v>Anitha</v>
      </c>
      <c r="C100" s="2" t="str">
        <f>VLOOKUP(A100,Table3[#All],3,FALSE)</f>
        <v>Sales</v>
      </c>
      <c r="D100" s="2">
        <f>VLOOKUP(A100,Table3[#All],4,FALSE)</f>
        <v>26</v>
      </c>
      <c r="E100" s="2" t="str">
        <f>VLOOKUP(A100,Table3[#All],5,FALSE)</f>
        <v>Female</v>
      </c>
      <c r="F100" s="2">
        <f>VLOOKUP(A100,Table3[#All],6,FALSE)</f>
        <v>7</v>
      </c>
      <c r="G100" s="2">
        <f>VLOOKUP(A100,Table3[#All],7,FALSE)</f>
        <v>29325</v>
      </c>
      <c r="H100" s="2">
        <f>VLOOKUP(A100,Table3[#All],8,FALSE)</f>
        <v>4</v>
      </c>
      <c r="I100" s="2">
        <f>VLOOKUP(A100,Table3[#All],9,FALSE)</f>
        <v>48</v>
      </c>
      <c r="J100" s="2">
        <f>VLOOKUP(A100,Table3[#All],10,FALSE)</f>
        <v>5</v>
      </c>
      <c r="K100" s="2">
        <f>VLOOKUP(A100,Table3[#All],11,FALSE)</f>
        <v>85</v>
      </c>
      <c r="L100" s="2" t="str">
        <f>VLOOKUP(A100,Table3[#All],12,FALSE)</f>
        <v>Chennai</v>
      </c>
      <c r="M100" s="2" t="str">
        <f t="shared" si="1"/>
        <v>Not Eligible</v>
      </c>
    </row>
    <row r="101" spans="1:13" hidden="1" x14ac:dyDescent="0.25">
      <c r="A101" s="6" t="s">
        <v>143</v>
      </c>
      <c r="B101" s="2" t="str">
        <f>VLOOKUP(A101,Table3[#All],2,FALSE)</f>
        <v>Sanjay</v>
      </c>
      <c r="C101" s="2" t="str">
        <f>VLOOKUP(A101,Table3[#All],3,FALSE)</f>
        <v>Sales</v>
      </c>
      <c r="D101" s="2">
        <f>VLOOKUP(A101,Table3[#All],4,FALSE)</f>
        <v>33</v>
      </c>
      <c r="E101" s="2" t="str">
        <f>VLOOKUP(A101,Table3[#All],5,FALSE)</f>
        <v>Female</v>
      </c>
      <c r="F101" s="2">
        <f>VLOOKUP(A101,Table3[#All],6,FALSE)</f>
        <v>3</v>
      </c>
      <c r="G101" s="2">
        <f>VLOOKUP(A101,Table3[#All],7,FALSE)</f>
        <v>50280</v>
      </c>
      <c r="H101" s="2">
        <f>VLOOKUP(A101,Table3[#All],8,FALSE)</f>
        <v>8</v>
      </c>
      <c r="I101" s="2">
        <f>VLOOKUP(A101,Table3[#All],9,FALSE)</f>
        <v>43</v>
      </c>
      <c r="J101" s="2">
        <f>VLOOKUP(A101,Table3[#All],10,FALSE)</f>
        <v>2</v>
      </c>
      <c r="K101" s="2">
        <f>VLOOKUP(A101,Table3[#All],11,FALSE)</f>
        <v>96</v>
      </c>
      <c r="L101" s="2" t="str">
        <f>VLOOKUP(A101,Table3[#All],12,FALSE)</f>
        <v>Pune</v>
      </c>
      <c r="M101" s="2" t="str">
        <f t="shared" si="1"/>
        <v>Eligible</v>
      </c>
    </row>
    <row r="102" spans="1:13" hidden="1" x14ac:dyDescent="0.25">
      <c r="A102" s="5" t="s">
        <v>144</v>
      </c>
      <c r="B102" s="2" t="str">
        <f>VLOOKUP(A102,Table3[#All],2,FALSE)</f>
        <v>Rekha</v>
      </c>
      <c r="C102" s="2" t="str">
        <f>VLOOKUP(A102,Table3[#All],3,FALSE)</f>
        <v>IT</v>
      </c>
      <c r="D102" s="2">
        <f>VLOOKUP(A102,Table3[#All],4,FALSE)</f>
        <v>24</v>
      </c>
      <c r="E102" s="2" t="str">
        <f>VLOOKUP(A102,Table3[#All],5,FALSE)</f>
        <v>Female</v>
      </c>
      <c r="F102" s="2">
        <f>VLOOKUP(A102,Table3[#All],6,FALSE)</f>
        <v>3</v>
      </c>
      <c r="G102" s="2">
        <f>VLOOKUP(A102,Table3[#All],7,FALSE)</f>
        <v>46748</v>
      </c>
      <c r="H102" s="2">
        <f>VLOOKUP(A102,Table3[#All],8,FALSE)</f>
        <v>14</v>
      </c>
      <c r="I102" s="2">
        <f>VLOOKUP(A102,Table3[#All],9,FALSE)</f>
        <v>38</v>
      </c>
      <c r="J102" s="2">
        <f>VLOOKUP(A102,Table3[#All],10,FALSE)</f>
        <v>1</v>
      </c>
      <c r="K102" s="2">
        <f>VLOOKUP(A102,Table3[#All],11,FALSE)</f>
        <v>89</v>
      </c>
      <c r="L102" s="2" t="str">
        <f>VLOOKUP(A102,Table3[#All],12,FALSE)</f>
        <v>Hyderabad</v>
      </c>
      <c r="M102" s="2" t="str">
        <f t="shared" si="1"/>
        <v>Not Eligible</v>
      </c>
    </row>
    <row r="103" spans="1:13" hidden="1" x14ac:dyDescent="0.25">
      <c r="A103" s="6" t="s">
        <v>609</v>
      </c>
      <c r="B103" s="2" t="str">
        <f>VLOOKUP(A103,Table3[#All],2,FALSE)</f>
        <v>Ajay</v>
      </c>
      <c r="C103" s="2" t="str">
        <f>VLOOKUP(A103,Table3[#All],3,FALSE)</f>
        <v>Finance</v>
      </c>
      <c r="D103" s="2">
        <f>VLOOKUP(A103,Table3[#All],4,FALSE)</f>
        <v>24</v>
      </c>
      <c r="E103" s="2" t="str">
        <f>VLOOKUP(A103,Table3[#All],5,FALSE)</f>
        <v>Female</v>
      </c>
      <c r="F103" s="2">
        <f>VLOOKUP(A103,Table3[#All],6,FALSE)</f>
        <v>6</v>
      </c>
      <c r="G103" s="2">
        <f>VLOOKUP(A103,Table3[#All],7,FALSE)</f>
        <v>29327</v>
      </c>
      <c r="H103" s="2">
        <f>VLOOKUP(A103,Table3[#All],8,FALSE)</f>
        <v>13</v>
      </c>
      <c r="I103" s="2">
        <f>VLOOKUP(A103,Table3[#All],9,FALSE)</f>
        <v>46</v>
      </c>
      <c r="J103" s="2">
        <f>VLOOKUP(A103,Table3[#All],10,FALSE)</f>
        <v>5</v>
      </c>
      <c r="K103" s="2">
        <f>VLOOKUP(A103,Table3[#All],11,FALSE)</f>
        <v>86</v>
      </c>
      <c r="L103" s="2" t="str">
        <f>VLOOKUP(A103,Table3[#All],12,FALSE)</f>
        <v>Hyderabad</v>
      </c>
      <c r="M103" s="2" t="str">
        <f t="shared" si="1"/>
        <v>Not Eligible</v>
      </c>
    </row>
    <row r="104" spans="1:13" hidden="1" x14ac:dyDescent="0.25">
      <c r="A104" s="6" t="s">
        <v>703</v>
      </c>
      <c r="B104" s="2" t="str">
        <f>VLOOKUP(A104,Table3[#All],2,FALSE)</f>
        <v>Ajay</v>
      </c>
      <c r="C104" s="2" t="str">
        <f>VLOOKUP(A104,Table3[#All],3,FALSE)</f>
        <v>Sales</v>
      </c>
      <c r="D104" s="2">
        <f>VLOOKUP(A104,Table3[#All],4,FALSE)</f>
        <v>39</v>
      </c>
      <c r="E104" s="2" t="str">
        <f>VLOOKUP(A104,Table3[#All],5,FALSE)</f>
        <v>Male</v>
      </c>
      <c r="F104" s="2">
        <f>VLOOKUP(A104,Table3[#All],6,FALSE)</f>
        <v>15</v>
      </c>
      <c r="G104" s="2">
        <f>VLOOKUP(A104,Table3[#All],7,FALSE)</f>
        <v>29381</v>
      </c>
      <c r="H104" s="2">
        <f>VLOOKUP(A104,Table3[#All],8,FALSE)</f>
        <v>13</v>
      </c>
      <c r="I104" s="2">
        <f>VLOOKUP(A104,Table3[#All],9,FALSE)</f>
        <v>48</v>
      </c>
      <c r="J104" s="2">
        <f>VLOOKUP(A104,Table3[#All],10,FALSE)</f>
        <v>2</v>
      </c>
      <c r="K104" s="2">
        <f>VLOOKUP(A104,Table3[#All],11,FALSE)</f>
        <v>90</v>
      </c>
      <c r="L104" s="2" t="str">
        <f>VLOOKUP(A104,Table3[#All],12,FALSE)</f>
        <v>Pune</v>
      </c>
      <c r="M104" s="2" t="str">
        <f t="shared" si="1"/>
        <v>Not Eligible</v>
      </c>
    </row>
    <row r="105" spans="1:13" hidden="1" x14ac:dyDescent="0.25">
      <c r="A105" s="6" t="s">
        <v>943</v>
      </c>
      <c r="B105" s="2" t="str">
        <f>VLOOKUP(A105,Table3[#All],2,FALSE)</f>
        <v>Arun</v>
      </c>
      <c r="C105" s="2" t="str">
        <f>VLOOKUP(A105,Table3[#All],3,FALSE)</f>
        <v>Finance</v>
      </c>
      <c r="D105" s="2">
        <f>VLOOKUP(A105,Table3[#All],4,FALSE)</f>
        <v>28</v>
      </c>
      <c r="E105" s="2" t="str">
        <f>VLOOKUP(A105,Table3[#All],5,FALSE)</f>
        <v>Female</v>
      </c>
      <c r="F105" s="2">
        <f>VLOOKUP(A105,Table3[#All],6,FALSE)</f>
        <v>15</v>
      </c>
      <c r="G105" s="2">
        <f>VLOOKUP(A105,Table3[#All],7,FALSE)</f>
        <v>29421</v>
      </c>
      <c r="H105" s="2">
        <f>VLOOKUP(A105,Table3[#All],8,FALSE)</f>
        <v>15</v>
      </c>
      <c r="I105" s="2">
        <f>VLOOKUP(A105,Table3[#All],9,FALSE)</f>
        <v>42</v>
      </c>
      <c r="J105" s="2">
        <f>VLOOKUP(A105,Table3[#All],10,FALSE)</f>
        <v>2</v>
      </c>
      <c r="K105" s="2">
        <f>VLOOKUP(A105,Table3[#All],11,FALSE)</f>
        <v>88</v>
      </c>
      <c r="L105" s="2" t="str">
        <f>VLOOKUP(A105,Table3[#All],12,FALSE)</f>
        <v>Mumbai</v>
      </c>
      <c r="M105" s="2" t="str">
        <f t="shared" si="1"/>
        <v>Not Eligible</v>
      </c>
    </row>
    <row r="106" spans="1:13" x14ac:dyDescent="0.25">
      <c r="A106" s="6" t="s">
        <v>539</v>
      </c>
      <c r="B106" s="2" t="str">
        <f>VLOOKUP(A106,Table3[#All],2,FALSE)</f>
        <v>Meena</v>
      </c>
      <c r="C106" s="2" t="str">
        <f>VLOOKUP(A106,Table3[#All],3,FALSE)</f>
        <v>HR</v>
      </c>
      <c r="D106" s="2">
        <f>VLOOKUP(A106,Table3[#All],4,FALSE)</f>
        <v>37</v>
      </c>
      <c r="E106" s="2" t="str">
        <f>VLOOKUP(A106,Table3[#All],5,FALSE)</f>
        <v>Male</v>
      </c>
      <c r="F106" s="2">
        <f>VLOOKUP(A106,Table3[#All],6,FALSE)</f>
        <v>6</v>
      </c>
      <c r="G106" s="2">
        <f>VLOOKUP(A106,Table3[#All],7,FALSE)</f>
        <v>29437</v>
      </c>
      <c r="H106" s="2">
        <f>VLOOKUP(A106,Table3[#All],8,FALSE)</f>
        <v>12</v>
      </c>
      <c r="I106" s="2">
        <f>VLOOKUP(A106,Table3[#All],9,FALSE)</f>
        <v>45</v>
      </c>
      <c r="J106" s="2">
        <f>VLOOKUP(A106,Table3[#All],10,FALSE)</f>
        <v>5</v>
      </c>
      <c r="K106" s="2">
        <f>VLOOKUP(A106,Table3[#All],11,FALSE)</f>
        <v>100</v>
      </c>
      <c r="L106" s="2" t="str">
        <f>VLOOKUP(A106,Table3[#All],12,FALSE)</f>
        <v>Pune</v>
      </c>
      <c r="M106" s="2" t="str">
        <f t="shared" si="1"/>
        <v>Eligible</v>
      </c>
    </row>
    <row r="107" spans="1:13" hidden="1" x14ac:dyDescent="0.25">
      <c r="A107" s="6" t="s">
        <v>149</v>
      </c>
      <c r="B107" s="2" t="str">
        <f>VLOOKUP(A107,Table3[#All],2,FALSE)</f>
        <v>Karthik</v>
      </c>
      <c r="C107" s="2" t="str">
        <f>VLOOKUP(A107,Table3[#All],3,FALSE)</f>
        <v>IT</v>
      </c>
      <c r="D107" s="2">
        <f>VLOOKUP(A107,Table3[#All],4,FALSE)</f>
        <v>38</v>
      </c>
      <c r="E107" s="2" t="str">
        <f>VLOOKUP(A107,Table3[#All],5,FALSE)</f>
        <v>Female</v>
      </c>
      <c r="F107" s="2">
        <f>VLOOKUP(A107,Table3[#All],6,FALSE)</f>
        <v>1</v>
      </c>
      <c r="G107" s="2">
        <f>VLOOKUP(A107,Table3[#All],7,FALSE)</f>
        <v>41203</v>
      </c>
      <c r="H107" s="2">
        <f>VLOOKUP(A107,Table3[#All],8,FALSE)</f>
        <v>9</v>
      </c>
      <c r="I107" s="2">
        <f>VLOOKUP(A107,Table3[#All],9,FALSE)</f>
        <v>49</v>
      </c>
      <c r="J107" s="2">
        <f>VLOOKUP(A107,Table3[#All],10,FALSE)</f>
        <v>5</v>
      </c>
      <c r="K107" s="2">
        <f>VLOOKUP(A107,Table3[#All],11,FALSE)</f>
        <v>90</v>
      </c>
      <c r="L107" s="2" t="str">
        <f>VLOOKUP(A107,Table3[#All],12,FALSE)</f>
        <v>Delhi</v>
      </c>
      <c r="M107" s="2" t="str">
        <f t="shared" si="1"/>
        <v>Not Eligible</v>
      </c>
    </row>
    <row r="108" spans="1:13" hidden="1" x14ac:dyDescent="0.25">
      <c r="A108" s="6" t="s">
        <v>491</v>
      </c>
      <c r="B108" s="2" t="str">
        <f>VLOOKUP(A108,Table3[#All],2,FALSE)</f>
        <v>Lakshmi</v>
      </c>
      <c r="C108" s="2" t="str">
        <f>VLOOKUP(A108,Table3[#All],3,FALSE)</f>
        <v>Sales</v>
      </c>
      <c r="D108" s="2">
        <f>VLOOKUP(A108,Table3[#All],4,FALSE)</f>
        <v>30</v>
      </c>
      <c r="E108" s="2" t="str">
        <f>VLOOKUP(A108,Table3[#All],5,FALSE)</f>
        <v>Male</v>
      </c>
      <c r="F108" s="2">
        <f>VLOOKUP(A108,Table3[#All],6,FALSE)</f>
        <v>12</v>
      </c>
      <c r="G108" s="2">
        <f>VLOOKUP(A108,Table3[#All],7,FALSE)</f>
        <v>29477</v>
      </c>
      <c r="H108" s="2">
        <f>VLOOKUP(A108,Table3[#All],8,FALSE)</f>
        <v>4</v>
      </c>
      <c r="I108" s="2">
        <f>VLOOKUP(A108,Table3[#All],9,FALSE)</f>
        <v>43</v>
      </c>
      <c r="J108" s="2">
        <f>VLOOKUP(A108,Table3[#All],10,FALSE)</f>
        <v>4</v>
      </c>
      <c r="K108" s="2">
        <f>VLOOKUP(A108,Table3[#All],11,FALSE)</f>
        <v>94</v>
      </c>
      <c r="L108" s="2" t="str">
        <f>VLOOKUP(A108,Table3[#All],12,FALSE)</f>
        <v>Delhi</v>
      </c>
      <c r="M108" s="2" t="str">
        <f t="shared" si="1"/>
        <v>Not Eligible</v>
      </c>
    </row>
    <row r="109" spans="1:13" hidden="1" x14ac:dyDescent="0.25">
      <c r="A109" s="6" t="s">
        <v>327</v>
      </c>
      <c r="B109" s="2" t="str">
        <f>VLOOKUP(A109,Table3[#All],2,FALSE)</f>
        <v>Manoj</v>
      </c>
      <c r="C109" s="2" t="str">
        <f>VLOOKUP(A109,Table3[#All],3,FALSE)</f>
        <v>Finance</v>
      </c>
      <c r="D109" s="2">
        <f>VLOOKUP(A109,Table3[#All],4,FALSE)</f>
        <v>37</v>
      </c>
      <c r="E109" s="2" t="str">
        <f>VLOOKUP(A109,Table3[#All],5,FALSE)</f>
        <v>Female</v>
      </c>
      <c r="F109" s="2">
        <f>VLOOKUP(A109,Table3[#All],6,FALSE)</f>
        <v>8</v>
      </c>
      <c r="G109" s="2">
        <f>VLOOKUP(A109,Table3[#All],7,FALSE)</f>
        <v>29631</v>
      </c>
      <c r="H109" s="2">
        <f>VLOOKUP(A109,Table3[#All],8,FALSE)</f>
        <v>6</v>
      </c>
      <c r="I109" s="2">
        <f>VLOOKUP(A109,Table3[#All],9,FALSE)</f>
        <v>35</v>
      </c>
      <c r="J109" s="2">
        <f>VLOOKUP(A109,Table3[#All],10,FALSE)</f>
        <v>3</v>
      </c>
      <c r="K109" s="2">
        <f>VLOOKUP(A109,Table3[#All],11,FALSE)</f>
        <v>89</v>
      </c>
      <c r="L109" s="2" t="str">
        <f>VLOOKUP(A109,Table3[#All],12,FALSE)</f>
        <v>Bangalore</v>
      </c>
      <c r="M109" s="2" t="str">
        <f t="shared" si="1"/>
        <v>Not Eligible</v>
      </c>
    </row>
    <row r="110" spans="1:13" x14ac:dyDescent="0.25">
      <c r="A110" s="6" t="s">
        <v>523</v>
      </c>
      <c r="B110" s="2" t="str">
        <f>VLOOKUP(A110,Table3[#All],2,FALSE)</f>
        <v>Suresh</v>
      </c>
      <c r="C110" s="2" t="str">
        <f>VLOOKUP(A110,Table3[#All],3,FALSE)</f>
        <v>HR</v>
      </c>
      <c r="D110" s="2">
        <f>VLOOKUP(A110,Table3[#All],4,FALSE)</f>
        <v>34</v>
      </c>
      <c r="E110" s="2" t="str">
        <f>VLOOKUP(A110,Table3[#All],5,FALSE)</f>
        <v>Male</v>
      </c>
      <c r="F110" s="2">
        <f>VLOOKUP(A110,Table3[#All],6,FALSE)</f>
        <v>11</v>
      </c>
      <c r="G110" s="2">
        <f>VLOOKUP(A110,Table3[#All],7,FALSE)</f>
        <v>29748</v>
      </c>
      <c r="H110" s="2">
        <f>VLOOKUP(A110,Table3[#All],8,FALSE)</f>
        <v>15</v>
      </c>
      <c r="I110" s="2">
        <f>VLOOKUP(A110,Table3[#All],9,FALSE)</f>
        <v>41</v>
      </c>
      <c r="J110" s="2">
        <f>VLOOKUP(A110,Table3[#All],10,FALSE)</f>
        <v>4</v>
      </c>
      <c r="K110" s="2">
        <f>VLOOKUP(A110,Table3[#All],11,FALSE)</f>
        <v>98</v>
      </c>
      <c r="L110" s="2" t="str">
        <f>VLOOKUP(A110,Table3[#All],12,FALSE)</f>
        <v>Chennai</v>
      </c>
      <c r="M110" s="2" t="str">
        <f t="shared" si="1"/>
        <v>Eligible</v>
      </c>
    </row>
    <row r="111" spans="1:13" hidden="1" x14ac:dyDescent="0.25">
      <c r="A111" s="6" t="s">
        <v>631</v>
      </c>
      <c r="B111" s="2" t="str">
        <f>VLOOKUP(A111,Table3[#All],2,FALSE)</f>
        <v>Ravi</v>
      </c>
      <c r="C111" s="2" t="str">
        <f>VLOOKUP(A111,Table3[#All],3,FALSE)</f>
        <v>Finance</v>
      </c>
      <c r="D111" s="2">
        <f>VLOOKUP(A111,Table3[#All],4,FALSE)</f>
        <v>35</v>
      </c>
      <c r="E111" s="2" t="str">
        <f>VLOOKUP(A111,Table3[#All],5,FALSE)</f>
        <v>Male</v>
      </c>
      <c r="F111" s="2">
        <f>VLOOKUP(A111,Table3[#All],6,FALSE)</f>
        <v>13</v>
      </c>
      <c r="G111" s="2">
        <f>VLOOKUP(A111,Table3[#All],7,FALSE)</f>
        <v>29834</v>
      </c>
      <c r="H111" s="2">
        <f>VLOOKUP(A111,Table3[#All],8,FALSE)</f>
        <v>4</v>
      </c>
      <c r="I111" s="2">
        <f>VLOOKUP(A111,Table3[#All],9,FALSE)</f>
        <v>50</v>
      </c>
      <c r="J111" s="2">
        <f>VLOOKUP(A111,Table3[#All],10,FALSE)</f>
        <v>4</v>
      </c>
      <c r="K111" s="2">
        <f>VLOOKUP(A111,Table3[#All],11,FALSE)</f>
        <v>100</v>
      </c>
      <c r="L111" s="2" t="str">
        <f>VLOOKUP(A111,Table3[#All],12,FALSE)</f>
        <v>Chennai</v>
      </c>
      <c r="M111" s="2" t="str">
        <f t="shared" si="1"/>
        <v>Eligible</v>
      </c>
    </row>
    <row r="112" spans="1:13" x14ac:dyDescent="0.25">
      <c r="A112" s="5" t="s">
        <v>650</v>
      </c>
      <c r="B112" s="2" t="str">
        <f>VLOOKUP(A112,Table3[#All],2,FALSE)</f>
        <v>Priya</v>
      </c>
      <c r="C112" s="2" t="str">
        <f>VLOOKUP(A112,Table3[#All],3,FALSE)</f>
        <v>HR</v>
      </c>
      <c r="D112" s="2">
        <f>VLOOKUP(A112,Table3[#All],4,FALSE)</f>
        <v>33</v>
      </c>
      <c r="E112" s="2" t="str">
        <f>VLOOKUP(A112,Table3[#All],5,FALSE)</f>
        <v>Female</v>
      </c>
      <c r="F112" s="2">
        <f>VLOOKUP(A112,Table3[#All],6,FALSE)</f>
        <v>8</v>
      </c>
      <c r="G112" s="2">
        <f>VLOOKUP(A112,Table3[#All],7,FALSE)</f>
        <v>30040</v>
      </c>
      <c r="H112" s="2">
        <f>VLOOKUP(A112,Table3[#All],8,FALSE)</f>
        <v>11</v>
      </c>
      <c r="I112" s="2">
        <f>VLOOKUP(A112,Table3[#All],9,FALSE)</f>
        <v>39</v>
      </c>
      <c r="J112" s="2">
        <f>VLOOKUP(A112,Table3[#All],10,FALSE)</f>
        <v>4</v>
      </c>
      <c r="K112" s="2">
        <f>VLOOKUP(A112,Table3[#All],11,FALSE)</f>
        <v>100</v>
      </c>
      <c r="L112" s="2" t="str">
        <f>VLOOKUP(A112,Table3[#All],12,FALSE)</f>
        <v>Pune</v>
      </c>
      <c r="M112" s="2" t="str">
        <f t="shared" si="1"/>
        <v>Eligible</v>
      </c>
    </row>
    <row r="113" spans="1:13" hidden="1" x14ac:dyDescent="0.25">
      <c r="A113" s="6" t="s">
        <v>891</v>
      </c>
      <c r="B113" s="2" t="str">
        <f>VLOOKUP(A113,Table3[#All],2,FALSE)</f>
        <v>Arun</v>
      </c>
      <c r="C113" s="2" t="str">
        <f>VLOOKUP(A113,Table3[#All],3,FALSE)</f>
        <v>HR</v>
      </c>
      <c r="D113" s="2">
        <f>VLOOKUP(A113,Table3[#All],4,FALSE)</f>
        <v>24</v>
      </c>
      <c r="E113" s="2" t="str">
        <f>VLOOKUP(A113,Table3[#All],5,FALSE)</f>
        <v>Male</v>
      </c>
      <c r="F113" s="2">
        <f>VLOOKUP(A113,Table3[#All],6,FALSE)</f>
        <v>11</v>
      </c>
      <c r="G113" s="2">
        <f>VLOOKUP(A113,Table3[#All],7,FALSE)</f>
        <v>30124</v>
      </c>
      <c r="H113" s="2">
        <f>VLOOKUP(A113,Table3[#All],8,FALSE)</f>
        <v>5</v>
      </c>
      <c r="I113" s="2">
        <f>VLOOKUP(A113,Table3[#All],9,FALSE)</f>
        <v>38</v>
      </c>
      <c r="J113" s="2">
        <f>VLOOKUP(A113,Table3[#All],10,FALSE)</f>
        <v>5</v>
      </c>
      <c r="K113" s="2">
        <f>VLOOKUP(A113,Table3[#All],11,FALSE)</f>
        <v>90</v>
      </c>
      <c r="L113" s="2" t="str">
        <f>VLOOKUP(A113,Table3[#All],12,FALSE)</f>
        <v>Pune</v>
      </c>
      <c r="M113" s="2" t="str">
        <f t="shared" si="1"/>
        <v>Not Eligible</v>
      </c>
    </row>
    <row r="114" spans="1:13" hidden="1" x14ac:dyDescent="0.25">
      <c r="A114" s="6" t="s">
        <v>113</v>
      </c>
      <c r="B114" s="2" t="str">
        <f>VLOOKUP(A114,Table3[#All],2,FALSE)</f>
        <v>Priya</v>
      </c>
      <c r="C114" s="2" t="str">
        <f>VLOOKUP(A114,Table3[#All],3,FALSE)</f>
        <v>Finance</v>
      </c>
      <c r="D114" s="2">
        <f>VLOOKUP(A114,Table3[#All],4,FALSE)</f>
        <v>35</v>
      </c>
      <c r="E114" s="2" t="str">
        <f>VLOOKUP(A114,Table3[#All],5,FALSE)</f>
        <v>Female</v>
      </c>
      <c r="F114" s="2">
        <f>VLOOKUP(A114,Table3[#All],6,FALSE)</f>
        <v>14</v>
      </c>
      <c r="G114" s="2">
        <f>VLOOKUP(A114,Table3[#All],7,FALSE)</f>
        <v>30444</v>
      </c>
      <c r="H114" s="2">
        <f>VLOOKUP(A114,Table3[#All],8,FALSE)</f>
        <v>12</v>
      </c>
      <c r="I114" s="2">
        <f>VLOOKUP(A114,Table3[#All],9,FALSE)</f>
        <v>45</v>
      </c>
      <c r="J114" s="2">
        <f>VLOOKUP(A114,Table3[#All],10,FALSE)</f>
        <v>4</v>
      </c>
      <c r="K114" s="2">
        <f>VLOOKUP(A114,Table3[#All],11,FALSE)</f>
        <v>88</v>
      </c>
      <c r="L114" s="2" t="str">
        <f>VLOOKUP(A114,Table3[#All],12,FALSE)</f>
        <v>Hyderabad</v>
      </c>
      <c r="M114" s="2" t="str">
        <f t="shared" si="1"/>
        <v>Not Eligible</v>
      </c>
    </row>
    <row r="115" spans="1:13" hidden="1" x14ac:dyDescent="0.25">
      <c r="A115" s="6" t="s">
        <v>157</v>
      </c>
      <c r="B115" s="2" t="str">
        <f>VLOOKUP(A115,Table3[#All],2,FALSE)</f>
        <v>Sneha</v>
      </c>
      <c r="C115" s="2" t="str">
        <f>VLOOKUP(A115,Table3[#All],3,FALSE)</f>
        <v>IT</v>
      </c>
      <c r="D115" s="2">
        <f>VLOOKUP(A115,Table3[#All],4,FALSE)</f>
        <v>31</v>
      </c>
      <c r="E115" s="2" t="str">
        <f>VLOOKUP(A115,Table3[#All],5,FALSE)</f>
        <v>Female</v>
      </c>
      <c r="F115" s="2">
        <f>VLOOKUP(A115,Table3[#All],6,FALSE)</f>
        <v>1</v>
      </c>
      <c r="G115" s="2">
        <f>VLOOKUP(A115,Table3[#All],7,FALSE)</f>
        <v>69780</v>
      </c>
      <c r="H115" s="2">
        <f>VLOOKUP(A115,Table3[#All],8,FALSE)</f>
        <v>5</v>
      </c>
      <c r="I115" s="2">
        <f>VLOOKUP(A115,Table3[#All],9,FALSE)</f>
        <v>43</v>
      </c>
      <c r="J115" s="2">
        <f>VLOOKUP(A115,Table3[#All],10,FALSE)</f>
        <v>4</v>
      </c>
      <c r="K115" s="2">
        <f>VLOOKUP(A115,Table3[#All],11,FALSE)</f>
        <v>96</v>
      </c>
      <c r="L115" s="2" t="str">
        <f>VLOOKUP(A115,Table3[#All],12,FALSE)</f>
        <v>Chennai</v>
      </c>
      <c r="M115" s="2" t="str">
        <f t="shared" si="1"/>
        <v>Eligible</v>
      </c>
    </row>
    <row r="116" spans="1:13" hidden="1" x14ac:dyDescent="0.25">
      <c r="A116" s="5" t="s">
        <v>158</v>
      </c>
      <c r="B116" s="2" t="str">
        <f>VLOOKUP(A116,Table3[#All],2,FALSE)</f>
        <v>Vijay</v>
      </c>
      <c r="C116" s="2" t="str">
        <f>VLOOKUP(A116,Table3[#All],3,FALSE)</f>
        <v>HR</v>
      </c>
      <c r="D116" s="2">
        <f>VLOOKUP(A116,Table3[#All],4,FALSE)</f>
        <v>25</v>
      </c>
      <c r="E116" s="2" t="str">
        <f>VLOOKUP(A116,Table3[#All],5,FALSE)</f>
        <v>Female</v>
      </c>
      <c r="F116" s="2">
        <f>VLOOKUP(A116,Table3[#All],6,FALSE)</f>
        <v>2</v>
      </c>
      <c r="G116" s="2">
        <f>VLOOKUP(A116,Table3[#All],7,FALSE)</f>
        <v>42355</v>
      </c>
      <c r="H116" s="2">
        <f>VLOOKUP(A116,Table3[#All],8,FALSE)</f>
        <v>14</v>
      </c>
      <c r="I116" s="2">
        <f>VLOOKUP(A116,Table3[#All],9,FALSE)</f>
        <v>49</v>
      </c>
      <c r="J116" s="2">
        <f>VLOOKUP(A116,Table3[#All],10,FALSE)</f>
        <v>2</v>
      </c>
      <c r="K116" s="2">
        <f>VLOOKUP(A116,Table3[#All],11,FALSE)</f>
        <v>100</v>
      </c>
      <c r="L116" s="2" t="str">
        <f>VLOOKUP(A116,Table3[#All],12,FALSE)</f>
        <v>Bangalore</v>
      </c>
      <c r="M116" s="2" t="str">
        <f t="shared" si="1"/>
        <v>Eligible</v>
      </c>
    </row>
    <row r="117" spans="1:13" hidden="1" x14ac:dyDescent="0.25">
      <c r="A117" s="5" t="s">
        <v>142</v>
      </c>
      <c r="B117" s="2" t="str">
        <f>VLOOKUP(A117,Table3[#All],2,FALSE)</f>
        <v>Nisha</v>
      </c>
      <c r="C117" s="2" t="str">
        <f>VLOOKUP(A117,Table3[#All],3,FALSE)</f>
        <v>HR</v>
      </c>
      <c r="D117" s="2">
        <f>VLOOKUP(A117,Table3[#All],4,FALSE)</f>
        <v>28</v>
      </c>
      <c r="E117" s="2" t="str">
        <f>VLOOKUP(A117,Table3[#All],5,FALSE)</f>
        <v>Male</v>
      </c>
      <c r="F117" s="2">
        <f>VLOOKUP(A117,Table3[#All],6,FALSE)</f>
        <v>9</v>
      </c>
      <c r="G117" s="2">
        <f>VLOOKUP(A117,Table3[#All],7,FALSE)</f>
        <v>30446</v>
      </c>
      <c r="H117" s="2">
        <f>VLOOKUP(A117,Table3[#All],8,FALSE)</f>
        <v>15</v>
      </c>
      <c r="I117" s="2">
        <f>VLOOKUP(A117,Table3[#All],9,FALSE)</f>
        <v>43</v>
      </c>
      <c r="J117" s="2">
        <f>VLOOKUP(A117,Table3[#All],10,FALSE)</f>
        <v>1</v>
      </c>
      <c r="K117" s="2">
        <f>VLOOKUP(A117,Table3[#All],11,FALSE)</f>
        <v>87</v>
      </c>
      <c r="L117" s="2" t="str">
        <f>VLOOKUP(A117,Table3[#All],12,FALSE)</f>
        <v>Chennai</v>
      </c>
      <c r="M117" s="2" t="str">
        <f t="shared" si="1"/>
        <v>Not Eligible</v>
      </c>
    </row>
    <row r="118" spans="1:13" x14ac:dyDescent="0.25">
      <c r="A118" s="5" t="s">
        <v>278</v>
      </c>
      <c r="B118" s="2" t="str">
        <f>VLOOKUP(A118,Table3[#All],2,FALSE)</f>
        <v>Vijay</v>
      </c>
      <c r="C118" s="2" t="str">
        <f>VLOOKUP(A118,Table3[#All],3,FALSE)</f>
        <v>Sales</v>
      </c>
      <c r="D118" s="2">
        <f>VLOOKUP(A118,Table3[#All],4,FALSE)</f>
        <v>23</v>
      </c>
      <c r="E118" s="2" t="str">
        <f>VLOOKUP(A118,Table3[#All],5,FALSE)</f>
        <v>Male</v>
      </c>
      <c r="F118" s="2">
        <f>VLOOKUP(A118,Table3[#All],6,FALSE)</f>
        <v>14</v>
      </c>
      <c r="G118" s="2">
        <f>VLOOKUP(A118,Table3[#All],7,FALSE)</f>
        <v>30448</v>
      </c>
      <c r="H118" s="2">
        <f>VLOOKUP(A118,Table3[#All],8,FALSE)</f>
        <v>15</v>
      </c>
      <c r="I118" s="2">
        <f>VLOOKUP(A118,Table3[#All],9,FALSE)</f>
        <v>41</v>
      </c>
      <c r="J118" s="2">
        <f>VLOOKUP(A118,Table3[#All],10,FALSE)</f>
        <v>5</v>
      </c>
      <c r="K118" s="2">
        <f>VLOOKUP(A118,Table3[#All],11,FALSE)</f>
        <v>94</v>
      </c>
      <c r="L118" s="2" t="str">
        <f>VLOOKUP(A118,Table3[#All],12,FALSE)</f>
        <v>Delhi</v>
      </c>
      <c r="M118" s="2" t="str">
        <f t="shared" si="1"/>
        <v>Not Eligible</v>
      </c>
    </row>
    <row r="119" spans="1:13" hidden="1" x14ac:dyDescent="0.25">
      <c r="A119" s="6" t="s">
        <v>161</v>
      </c>
      <c r="B119" s="2" t="str">
        <f>VLOOKUP(A119,Table3[#All],2,FALSE)</f>
        <v>Vijay</v>
      </c>
      <c r="C119" s="2" t="str">
        <f>VLOOKUP(A119,Table3[#All],3,FALSE)</f>
        <v>IT</v>
      </c>
      <c r="D119" s="2">
        <f>VLOOKUP(A119,Table3[#All],4,FALSE)</f>
        <v>22</v>
      </c>
      <c r="E119" s="2" t="str">
        <f>VLOOKUP(A119,Table3[#All],5,FALSE)</f>
        <v>Female</v>
      </c>
      <c r="F119" s="2">
        <f>VLOOKUP(A119,Table3[#All],6,FALSE)</f>
        <v>4</v>
      </c>
      <c r="G119" s="2">
        <f>VLOOKUP(A119,Table3[#All],7,FALSE)</f>
        <v>47715</v>
      </c>
      <c r="H119" s="2">
        <f>VLOOKUP(A119,Table3[#All],8,FALSE)</f>
        <v>5</v>
      </c>
      <c r="I119" s="2">
        <f>VLOOKUP(A119,Table3[#All],9,FALSE)</f>
        <v>45</v>
      </c>
      <c r="J119" s="2">
        <f>VLOOKUP(A119,Table3[#All],10,FALSE)</f>
        <v>3</v>
      </c>
      <c r="K119" s="2">
        <f>VLOOKUP(A119,Table3[#All],11,FALSE)</f>
        <v>96</v>
      </c>
      <c r="L119" s="2" t="str">
        <f>VLOOKUP(A119,Table3[#All],12,FALSE)</f>
        <v>Pune</v>
      </c>
      <c r="M119" s="2" t="str">
        <f t="shared" si="1"/>
        <v>Eligible</v>
      </c>
    </row>
    <row r="120" spans="1:13" hidden="1" x14ac:dyDescent="0.25">
      <c r="A120" s="5" t="s">
        <v>162</v>
      </c>
      <c r="B120" s="2" t="str">
        <f>VLOOKUP(A120,Table3[#All],2,FALSE)</f>
        <v>Hari</v>
      </c>
      <c r="C120" s="2" t="str">
        <f>VLOOKUP(A120,Table3[#All],3,FALSE)</f>
        <v>Finance</v>
      </c>
      <c r="D120" s="2">
        <f>VLOOKUP(A120,Table3[#All],4,FALSE)</f>
        <v>31</v>
      </c>
      <c r="E120" s="2" t="str">
        <f>VLOOKUP(A120,Table3[#All],5,FALSE)</f>
        <v>Male</v>
      </c>
      <c r="F120" s="2">
        <f>VLOOKUP(A120,Table3[#All],6,FALSE)</f>
        <v>2</v>
      </c>
      <c r="G120" s="2">
        <f>VLOOKUP(A120,Table3[#All],7,FALSE)</f>
        <v>43221</v>
      </c>
      <c r="H120" s="2">
        <f>VLOOKUP(A120,Table3[#All],8,FALSE)</f>
        <v>5</v>
      </c>
      <c r="I120" s="2">
        <f>VLOOKUP(A120,Table3[#All],9,FALSE)</f>
        <v>50</v>
      </c>
      <c r="J120" s="2">
        <f>VLOOKUP(A120,Table3[#All],10,FALSE)</f>
        <v>2</v>
      </c>
      <c r="K120" s="2">
        <f>VLOOKUP(A120,Table3[#All],11,FALSE)</f>
        <v>89</v>
      </c>
      <c r="L120" s="2" t="str">
        <f>VLOOKUP(A120,Table3[#All],12,FALSE)</f>
        <v>Bangalore</v>
      </c>
      <c r="M120" s="2" t="str">
        <f t="shared" si="1"/>
        <v>Not Eligible</v>
      </c>
    </row>
    <row r="121" spans="1:13" hidden="1" x14ac:dyDescent="0.25">
      <c r="A121" s="5" t="s">
        <v>244</v>
      </c>
      <c r="B121" s="2" t="str">
        <f>VLOOKUP(A121,Table3[#All],2,FALSE)</f>
        <v>Arun</v>
      </c>
      <c r="C121" s="2" t="str">
        <f>VLOOKUP(A121,Table3[#All],3,FALSE)</f>
        <v>HR</v>
      </c>
      <c r="D121" s="2">
        <f>VLOOKUP(A121,Table3[#All],4,FALSE)</f>
        <v>31</v>
      </c>
      <c r="E121" s="2" t="str">
        <f>VLOOKUP(A121,Table3[#All],5,FALSE)</f>
        <v>Male</v>
      </c>
      <c r="F121" s="2">
        <f>VLOOKUP(A121,Table3[#All],6,FALSE)</f>
        <v>9</v>
      </c>
      <c r="G121" s="2">
        <f>VLOOKUP(A121,Table3[#All],7,FALSE)</f>
        <v>30471</v>
      </c>
      <c r="H121" s="2">
        <f>VLOOKUP(A121,Table3[#All],8,FALSE)</f>
        <v>6</v>
      </c>
      <c r="I121" s="2">
        <f>VLOOKUP(A121,Table3[#All],9,FALSE)</f>
        <v>46</v>
      </c>
      <c r="J121" s="2">
        <f>VLOOKUP(A121,Table3[#All],10,FALSE)</f>
        <v>2</v>
      </c>
      <c r="K121" s="2">
        <f>VLOOKUP(A121,Table3[#All],11,FALSE)</f>
        <v>88</v>
      </c>
      <c r="L121" s="2" t="str">
        <f>VLOOKUP(A121,Table3[#All],12,FALSE)</f>
        <v>Bangalore</v>
      </c>
      <c r="M121" s="2" t="str">
        <f t="shared" si="1"/>
        <v>Not Eligible</v>
      </c>
    </row>
    <row r="122" spans="1:13" hidden="1" x14ac:dyDescent="0.25">
      <c r="A122" s="5" t="s">
        <v>164</v>
      </c>
      <c r="B122" s="2" t="str">
        <f>VLOOKUP(A122,Table3[#All],2,FALSE)</f>
        <v>Arun</v>
      </c>
      <c r="C122" s="2" t="str">
        <f>VLOOKUP(A122,Table3[#All],3,FALSE)</f>
        <v>Finance</v>
      </c>
      <c r="D122" s="2">
        <f>VLOOKUP(A122,Table3[#All],4,FALSE)</f>
        <v>23</v>
      </c>
      <c r="E122" s="2" t="str">
        <f>VLOOKUP(A122,Table3[#All],5,FALSE)</f>
        <v>Male</v>
      </c>
      <c r="F122" s="2">
        <f>VLOOKUP(A122,Table3[#All],6,FALSE)</f>
        <v>4</v>
      </c>
      <c r="G122" s="2">
        <f>VLOOKUP(A122,Table3[#All],7,FALSE)</f>
        <v>33910</v>
      </c>
      <c r="H122" s="2">
        <f>VLOOKUP(A122,Table3[#All],8,FALSE)</f>
        <v>12</v>
      </c>
      <c r="I122" s="2">
        <f>VLOOKUP(A122,Table3[#All],9,FALSE)</f>
        <v>36</v>
      </c>
      <c r="J122" s="2">
        <f>VLOOKUP(A122,Table3[#All],10,FALSE)</f>
        <v>5</v>
      </c>
      <c r="K122" s="2">
        <f>VLOOKUP(A122,Table3[#All],11,FALSE)</f>
        <v>91</v>
      </c>
      <c r="L122" s="2" t="str">
        <f>VLOOKUP(A122,Table3[#All],12,FALSE)</f>
        <v>Bangalore</v>
      </c>
      <c r="M122" s="2" t="str">
        <f t="shared" si="1"/>
        <v>Not Eligible</v>
      </c>
    </row>
    <row r="123" spans="1:13" hidden="1" x14ac:dyDescent="0.25">
      <c r="A123" s="6" t="s">
        <v>165</v>
      </c>
      <c r="B123" s="2" t="str">
        <f>VLOOKUP(A123,Table3[#All],2,FALSE)</f>
        <v>Ramesh</v>
      </c>
      <c r="C123" s="2" t="str">
        <f>VLOOKUP(A123,Table3[#All],3,FALSE)</f>
        <v>HR</v>
      </c>
      <c r="D123" s="2">
        <f>VLOOKUP(A123,Table3[#All],4,FALSE)</f>
        <v>27</v>
      </c>
      <c r="E123" s="2" t="str">
        <f>VLOOKUP(A123,Table3[#All],5,FALSE)</f>
        <v>Female</v>
      </c>
      <c r="F123" s="2">
        <f>VLOOKUP(A123,Table3[#All],6,FALSE)</f>
        <v>3</v>
      </c>
      <c r="G123" s="2">
        <f>VLOOKUP(A123,Table3[#All],7,FALSE)</f>
        <v>40987</v>
      </c>
      <c r="H123" s="2">
        <f>VLOOKUP(A123,Table3[#All],8,FALSE)</f>
        <v>10</v>
      </c>
      <c r="I123" s="2">
        <f>VLOOKUP(A123,Table3[#All],9,FALSE)</f>
        <v>40</v>
      </c>
      <c r="J123" s="2">
        <f>VLOOKUP(A123,Table3[#All],10,FALSE)</f>
        <v>3</v>
      </c>
      <c r="K123" s="2">
        <f>VLOOKUP(A123,Table3[#All],11,FALSE)</f>
        <v>87</v>
      </c>
      <c r="L123" s="2" t="str">
        <f>VLOOKUP(A123,Table3[#All],12,FALSE)</f>
        <v>Bangalore</v>
      </c>
      <c r="M123" s="2" t="str">
        <f t="shared" si="1"/>
        <v>Not Eligible</v>
      </c>
    </row>
    <row r="124" spans="1:13" hidden="1" x14ac:dyDescent="0.25">
      <c r="A124" s="6" t="s">
        <v>261</v>
      </c>
      <c r="B124" s="2" t="str">
        <f>VLOOKUP(A124,Table3[#All],2,FALSE)</f>
        <v>Vijay</v>
      </c>
      <c r="C124" s="2" t="str">
        <f>VLOOKUP(A124,Table3[#All],3,FALSE)</f>
        <v>HR</v>
      </c>
      <c r="D124" s="2">
        <f>VLOOKUP(A124,Table3[#All],4,FALSE)</f>
        <v>29</v>
      </c>
      <c r="E124" s="2" t="str">
        <f>VLOOKUP(A124,Table3[#All],5,FALSE)</f>
        <v>Male</v>
      </c>
      <c r="F124" s="2">
        <f>VLOOKUP(A124,Table3[#All],6,FALSE)</f>
        <v>11</v>
      </c>
      <c r="G124" s="2">
        <f>VLOOKUP(A124,Table3[#All],7,FALSE)</f>
        <v>30474</v>
      </c>
      <c r="H124" s="2">
        <f>VLOOKUP(A124,Table3[#All],8,FALSE)</f>
        <v>11</v>
      </c>
      <c r="I124" s="2">
        <f>VLOOKUP(A124,Table3[#All],9,FALSE)</f>
        <v>48</v>
      </c>
      <c r="J124" s="2">
        <f>VLOOKUP(A124,Table3[#All],10,FALSE)</f>
        <v>3</v>
      </c>
      <c r="K124" s="2">
        <f>VLOOKUP(A124,Table3[#All],11,FALSE)</f>
        <v>90</v>
      </c>
      <c r="L124" s="2" t="str">
        <f>VLOOKUP(A124,Table3[#All],12,FALSE)</f>
        <v>Pune</v>
      </c>
      <c r="M124" s="2" t="str">
        <f t="shared" si="1"/>
        <v>Not Eligible</v>
      </c>
    </row>
    <row r="125" spans="1:13" hidden="1" x14ac:dyDescent="0.25">
      <c r="A125" s="5" t="s">
        <v>27</v>
      </c>
      <c r="B125" s="2" t="str">
        <f>VLOOKUP(A125,Table3[#All],2,FALSE)</f>
        <v>Sanjay</v>
      </c>
      <c r="C125" s="2" t="str">
        <f>VLOOKUP(A125,Table3[#All],3,FALSE)</f>
        <v>HR</v>
      </c>
      <c r="D125" s="2">
        <f>VLOOKUP(A125,Table3[#All],4,FALSE)</f>
        <v>36</v>
      </c>
      <c r="E125" s="2" t="str">
        <f>VLOOKUP(A125,Table3[#All],5,FALSE)</f>
        <v>Female</v>
      </c>
      <c r="F125" s="2">
        <f>VLOOKUP(A125,Table3[#All],6,FALSE)</f>
        <v>7</v>
      </c>
      <c r="G125" s="2">
        <f>VLOOKUP(A125,Table3[#All],7,FALSE)</f>
        <v>30627</v>
      </c>
      <c r="H125" s="2">
        <f>VLOOKUP(A125,Table3[#All],8,FALSE)</f>
        <v>8</v>
      </c>
      <c r="I125" s="2">
        <f>VLOOKUP(A125,Table3[#All],9,FALSE)</f>
        <v>46</v>
      </c>
      <c r="J125" s="2">
        <f>VLOOKUP(A125,Table3[#All],10,FALSE)</f>
        <v>4</v>
      </c>
      <c r="K125" s="2">
        <f>VLOOKUP(A125,Table3[#All],11,FALSE)</f>
        <v>87</v>
      </c>
      <c r="L125" s="2" t="str">
        <f>VLOOKUP(A125,Table3[#All],12,FALSE)</f>
        <v>Delhi</v>
      </c>
      <c r="M125" s="2" t="str">
        <f t="shared" si="1"/>
        <v>Not Eligible</v>
      </c>
    </row>
    <row r="126" spans="1:13" hidden="1" x14ac:dyDescent="0.25">
      <c r="A126" s="5" t="s">
        <v>370</v>
      </c>
      <c r="B126" s="2" t="str">
        <f>VLOOKUP(A126,Table3[#All],2,FALSE)</f>
        <v>Vijay</v>
      </c>
      <c r="C126" s="2" t="str">
        <f>VLOOKUP(A126,Table3[#All],3,FALSE)</f>
        <v>IT</v>
      </c>
      <c r="D126" s="2">
        <f>VLOOKUP(A126,Table3[#All],4,FALSE)</f>
        <v>40</v>
      </c>
      <c r="E126" s="2" t="str">
        <f>VLOOKUP(A126,Table3[#All],5,FALSE)</f>
        <v>Male</v>
      </c>
      <c r="F126" s="2">
        <f>VLOOKUP(A126,Table3[#All],6,FALSE)</f>
        <v>12</v>
      </c>
      <c r="G126" s="2">
        <f>VLOOKUP(A126,Table3[#All],7,FALSE)</f>
        <v>30640</v>
      </c>
      <c r="H126" s="2">
        <f>VLOOKUP(A126,Table3[#All],8,FALSE)</f>
        <v>5</v>
      </c>
      <c r="I126" s="2">
        <f>VLOOKUP(A126,Table3[#All],9,FALSE)</f>
        <v>44</v>
      </c>
      <c r="J126" s="2">
        <f>VLOOKUP(A126,Table3[#All],10,FALSE)</f>
        <v>4</v>
      </c>
      <c r="K126" s="2">
        <f>VLOOKUP(A126,Table3[#All],11,FALSE)</f>
        <v>92</v>
      </c>
      <c r="L126" s="2" t="str">
        <f>VLOOKUP(A126,Table3[#All],12,FALSE)</f>
        <v>Mumbai</v>
      </c>
      <c r="M126" s="2" t="str">
        <f t="shared" si="1"/>
        <v>Not Eligible</v>
      </c>
    </row>
    <row r="127" spans="1:13" hidden="1" x14ac:dyDescent="0.25">
      <c r="A127" s="5" t="s">
        <v>272</v>
      </c>
      <c r="B127" s="2" t="str">
        <f>VLOOKUP(A127,Table3[#All],2,FALSE)</f>
        <v>Lakshmi</v>
      </c>
      <c r="C127" s="2" t="str">
        <f>VLOOKUP(A127,Table3[#All],3,FALSE)</f>
        <v>HR</v>
      </c>
      <c r="D127" s="2">
        <f>VLOOKUP(A127,Table3[#All],4,FALSE)</f>
        <v>35</v>
      </c>
      <c r="E127" s="2" t="str">
        <f>VLOOKUP(A127,Table3[#All],5,FALSE)</f>
        <v>Female</v>
      </c>
      <c r="F127" s="2">
        <f>VLOOKUP(A127,Table3[#All],6,FALSE)</f>
        <v>9</v>
      </c>
      <c r="G127" s="2">
        <f>VLOOKUP(A127,Table3[#All],7,FALSE)</f>
        <v>30701</v>
      </c>
      <c r="H127" s="2">
        <f>VLOOKUP(A127,Table3[#All],8,FALSE)</f>
        <v>6</v>
      </c>
      <c r="I127" s="2">
        <f>VLOOKUP(A127,Table3[#All],9,FALSE)</f>
        <v>35</v>
      </c>
      <c r="J127" s="2">
        <f>VLOOKUP(A127,Table3[#All],10,FALSE)</f>
        <v>2</v>
      </c>
      <c r="K127" s="2">
        <f>VLOOKUP(A127,Table3[#All],11,FALSE)</f>
        <v>89</v>
      </c>
      <c r="L127" s="2" t="str">
        <f>VLOOKUP(A127,Table3[#All],12,FALSE)</f>
        <v>Hyderabad</v>
      </c>
      <c r="M127" s="2" t="str">
        <f t="shared" si="1"/>
        <v>Not Eligible</v>
      </c>
    </row>
    <row r="128" spans="1:13" hidden="1" x14ac:dyDescent="0.25">
      <c r="A128" s="5" t="s">
        <v>170</v>
      </c>
      <c r="B128" s="2" t="str">
        <f>VLOOKUP(A128,Table3[#All],2,FALSE)</f>
        <v>Vijay</v>
      </c>
      <c r="C128" s="2" t="str">
        <f>VLOOKUP(A128,Table3[#All],3,FALSE)</f>
        <v>IT</v>
      </c>
      <c r="D128" s="2">
        <f>VLOOKUP(A128,Table3[#All],4,FALSE)</f>
        <v>34</v>
      </c>
      <c r="E128" s="2" t="str">
        <f>VLOOKUP(A128,Table3[#All],5,FALSE)</f>
        <v>Male</v>
      </c>
      <c r="F128" s="2">
        <f>VLOOKUP(A128,Table3[#All],6,FALSE)</f>
        <v>4</v>
      </c>
      <c r="G128" s="2">
        <f>VLOOKUP(A128,Table3[#All],7,FALSE)</f>
        <v>36242</v>
      </c>
      <c r="H128" s="2">
        <f>VLOOKUP(A128,Table3[#All],8,FALSE)</f>
        <v>6</v>
      </c>
      <c r="I128" s="2">
        <f>VLOOKUP(A128,Table3[#All],9,FALSE)</f>
        <v>39</v>
      </c>
      <c r="J128" s="2">
        <f>VLOOKUP(A128,Table3[#All],10,FALSE)</f>
        <v>1</v>
      </c>
      <c r="K128" s="2">
        <f>VLOOKUP(A128,Table3[#All],11,FALSE)</f>
        <v>95</v>
      </c>
      <c r="L128" s="2" t="str">
        <f>VLOOKUP(A128,Table3[#All],12,FALSE)</f>
        <v>Bangalore</v>
      </c>
      <c r="M128" s="2" t="str">
        <f t="shared" si="1"/>
        <v>Eligible</v>
      </c>
    </row>
    <row r="129" spans="1:13" hidden="1" x14ac:dyDescent="0.25">
      <c r="A129" s="5" t="s">
        <v>57</v>
      </c>
      <c r="B129" s="2" t="str">
        <f>VLOOKUP(A129,Table3[#All],2,FALSE)</f>
        <v>Rekha</v>
      </c>
      <c r="C129" s="2" t="str">
        <f>VLOOKUP(A129,Table3[#All],3,FALSE)</f>
        <v>HR</v>
      </c>
      <c r="D129" s="2">
        <f>VLOOKUP(A129,Table3[#All],4,FALSE)</f>
        <v>28</v>
      </c>
      <c r="E129" s="2" t="str">
        <f>VLOOKUP(A129,Table3[#All],5,FALSE)</f>
        <v>Female</v>
      </c>
      <c r="F129" s="2">
        <f>VLOOKUP(A129,Table3[#All],6,FALSE)</f>
        <v>7</v>
      </c>
      <c r="G129" s="2">
        <f>VLOOKUP(A129,Table3[#All],7,FALSE)</f>
        <v>30889</v>
      </c>
      <c r="H129" s="2">
        <f>VLOOKUP(A129,Table3[#All],8,FALSE)</f>
        <v>3</v>
      </c>
      <c r="I129" s="2">
        <f>VLOOKUP(A129,Table3[#All],9,FALSE)</f>
        <v>42</v>
      </c>
      <c r="J129" s="2">
        <f>VLOOKUP(A129,Table3[#All],10,FALSE)</f>
        <v>3</v>
      </c>
      <c r="K129" s="2">
        <f>VLOOKUP(A129,Table3[#All],11,FALSE)</f>
        <v>99</v>
      </c>
      <c r="L129" s="2" t="str">
        <f>VLOOKUP(A129,Table3[#All],12,FALSE)</f>
        <v>Delhi</v>
      </c>
      <c r="M129" s="2" t="str">
        <f t="shared" si="1"/>
        <v>Eligible</v>
      </c>
    </row>
    <row r="130" spans="1:13" x14ac:dyDescent="0.25">
      <c r="A130" s="6" t="s">
        <v>387</v>
      </c>
      <c r="B130" s="2" t="str">
        <f>VLOOKUP(A130,Table3[#All],2,FALSE)</f>
        <v>Hari</v>
      </c>
      <c r="C130" s="2" t="str">
        <f>VLOOKUP(A130,Table3[#All],3,FALSE)</f>
        <v>IT</v>
      </c>
      <c r="D130" s="2">
        <f>VLOOKUP(A130,Table3[#All],4,FALSE)</f>
        <v>39</v>
      </c>
      <c r="E130" s="2" t="str">
        <f>VLOOKUP(A130,Table3[#All],5,FALSE)</f>
        <v>Female</v>
      </c>
      <c r="F130" s="2">
        <f>VLOOKUP(A130,Table3[#All],6,FALSE)</f>
        <v>11</v>
      </c>
      <c r="G130" s="2">
        <f>VLOOKUP(A130,Table3[#All],7,FALSE)</f>
        <v>30914</v>
      </c>
      <c r="H130" s="2">
        <f>VLOOKUP(A130,Table3[#All],8,FALSE)</f>
        <v>15</v>
      </c>
      <c r="I130" s="2">
        <f>VLOOKUP(A130,Table3[#All],9,FALSE)</f>
        <v>44</v>
      </c>
      <c r="J130" s="2">
        <f>VLOOKUP(A130,Table3[#All],10,FALSE)</f>
        <v>4</v>
      </c>
      <c r="K130" s="2">
        <f>VLOOKUP(A130,Table3[#All],11,FALSE)</f>
        <v>96</v>
      </c>
      <c r="L130" s="2" t="str">
        <f>VLOOKUP(A130,Table3[#All],12,FALSE)</f>
        <v>Bangalore</v>
      </c>
      <c r="M130" s="2" t="str">
        <f t="shared" ref="M130:M193" si="2">IF(K130&gt;=95,"Eligible","Not Eligible")</f>
        <v>Eligible</v>
      </c>
    </row>
    <row r="131" spans="1:13" hidden="1" x14ac:dyDescent="0.25">
      <c r="A131" s="6" t="s">
        <v>343</v>
      </c>
      <c r="B131" s="2" t="str">
        <f>VLOOKUP(A131,Table3[#All],2,FALSE)</f>
        <v>Divya</v>
      </c>
      <c r="C131" s="2" t="str">
        <f>VLOOKUP(A131,Table3[#All],3,FALSE)</f>
        <v>Finance</v>
      </c>
      <c r="D131" s="2">
        <f>VLOOKUP(A131,Table3[#All],4,FALSE)</f>
        <v>33</v>
      </c>
      <c r="E131" s="2" t="str">
        <f>VLOOKUP(A131,Table3[#All],5,FALSE)</f>
        <v>Male</v>
      </c>
      <c r="F131" s="2">
        <f>VLOOKUP(A131,Table3[#All],6,FALSE)</f>
        <v>9</v>
      </c>
      <c r="G131" s="2">
        <f>VLOOKUP(A131,Table3[#All],7,FALSE)</f>
        <v>31007</v>
      </c>
      <c r="H131" s="2">
        <f>VLOOKUP(A131,Table3[#All],8,FALSE)</f>
        <v>4</v>
      </c>
      <c r="I131" s="2">
        <f>VLOOKUP(A131,Table3[#All],9,FALSE)</f>
        <v>40</v>
      </c>
      <c r="J131" s="2">
        <f>VLOOKUP(A131,Table3[#All],10,FALSE)</f>
        <v>4</v>
      </c>
      <c r="K131" s="2">
        <f>VLOOKUP(A131,Table3[#All],11,FALSE)</f>
        <v>88</v>
      </c>
      <c r="L131" s="2" t="str">
        <f>VLOOKUP(A131,Table3[#All],12,FALSE)</f>
        <v>Mumbai</v>
      </c>
      <c r="M131" s="2" t="str">
        <f t="shared" si="2"/>
        <v>Not Eligible</v>
      </c>
    </row>
    <row r="132" spans="1:13" hidden="1" x14ac:dyDescent="0.25">
      <c r="A132" s="5" t="s">
        <v>174</v>
      </c>
      <c r="B132" s="2" t="str">
        <f>VLOOKUP(A132,Table3[#All],2,FALSE)</f>
        <v>Sneha</v>
      </c>
      <c r="C132" s="2" t="str">
        <f>VLOOKUP(A132,Table3[#All],3,FALSE)</f>
        <v>Finance</v>
      </c>
      <c r="D132" s="2">
        <f>VLOOKUP(A132,Table3[#All],4,FALSE)</f>
        <v>30</v>
      </c>
      <c r="E132" s="2" t="str">
        <f>VLOOKUP(A132,Table3[#All],5,FALSE)</f>
        <v>Male</v>
      </c>
      <c r="F132" s="2">
        <f>VLOOKUP(A132,Table3[#All],6,FALSE)</f>
        <v>4</v>
      </c>
      <c r="G132" s="2">
        <f>VLOOKUP(A132,Table3[#All],7,FALSE)</f>
        <v>74693</v>
      </c>
      <c r="H132" s="2">
        <f>VLOOKUP(A132,Table3[#All],8,FALSE)</f>
        <v>3</v>
      </c>
      <c r="I132" s="2">
        <f>VLOOKUP(A132,Table3[#All],9,FALSE)</f>
        <v>48</v>
      </c>
      <c r="J132" s="2">
        <f>VLOOKUP(A132,Table3[#All],10,FALSE)</f>
        <v>5</v>
      </c>
      <c r="K132" s="2">
        <f>VLOOKUP(A132,Table3[#All],11,FALSE)</f>
        <v>95</v>
      </c>
      <c r="L132" s="2" t="str">
        <f>VLOOKUP(A132,Table3[#All],12,FALSE)</f>
        <v>Delhi</v>
      </c>
      <c r="M132" s="2" t="str">
        <f t="shared" si="2"/>
        <v>Eligible</v>
      </c>
    </row>
    <row r="133" spans="1:13" hidden="1" x14ac:dyDescent="0.25">
      <c r="A133" s="6" t="s">
        <v>419</v>
      </c>
      <c r="B133" s="2" t="str">
        <f>VLOOKUP(A133,Table3[#All],2,FALSE)</f>
        <v>Manoj</v>
      </c>
      <c r="C133" s="2" t="str">
        <f>VLOOKUP(A133,Table3[#All],3,FALSE)</f>
        <v>Sales</v>
      </c>
      <c r="D133" s="2">
        <f>VLOOKUP(A133,Table3[#All],4,FALSE)</f>
        <v>24</v>
      </c>
      <c r="E133" s="2" t="str">
        <f>VLOOKUP(A133,Table3[#All],5,FALSE)</f>
        <v>Female</v>
      </c>
      <c r="F133" s="2">
        <f>VLOOKUP(A133,Table3[#All],6,FALSE)</f>
        <v>10</v>
      </c>
      <c r="G133" s="2">
        <f>VLOOKUP(A133,Table3[#All],7,FALSE)</f>
        <v>31355</v>
      </c>
      <c r="H133" s="2">
        <f>VLOOKUP(A133,Table3[#All],8,FALSE)</f>
        <v>15</v>
      </c>
      <c r="I133" s="2">
        <f>VLOOKUP(A133,Table3[#All],9,FALSE)</f>
        <v>50</v>
      </c>
      <c r="J133" s="2">
        <f>VLOOKUP(A133,Table3[#All],10,FALSE)</f>
        <v>5</v>
      </c>
      <c r="K133" s="2">
        <f>VLOOKUP(A133,Table3[#All],11,FALSE)</f>
        <v>87</v>
      </c>
      <c r="L133" s="2" t="str">
        <f>VLOOKUP(A133,Table3[#All],12,FALSE)</f>
        <v>Bangalore</v>
      </c>
      <c r="M133" s="2" t="str">
        <f t="shared" si="2"/>
        <v>Not Eligible</v>
      </c>
    </row>
    <row r="134" spans="1:13" hidden="1" x14ac:dyDescent="0.25">
      <c r="A134" s="5" t="s">
        <v>176</v>
      </c>
      <c r="B134" s="2" t="str">
        <f>VLOOKUP(A134,Table3[#All],2,FALSE)</f>
        <v>Ravi</v>
      </c>
      <c r="C134" s="2" t="str">
        <f>VLOOKUP(A134,Table3[#All],3,FALSE)</f>
        <v>Finance</v>
      </c>
      <c r="D134" s="2">
        <f>VLOOKUP(A134,Table3[#All],4,FALSE)</f>
        <v>24</v>
      </c>
      <c r="E134" s="2" t="str">
        <f>VLOOKUP(A134,Table3[#All],5,FALSE)</f>
        <v>Male</v>
      </c>
      <c r="F134" s="2">
        <f>VLOOKUP(A134,Table3[#All],6,FALSE)</f>
        <v>2</v>
      </c>
      <c r="G134" s="2">
        <f>VLOOKUP(A134,Table3[#All],7,FALSE)</f>
        <v>34785</v>
      </c>
      <c r="H134" s="2">
        <f>VLOOKUP(A134,Table3[#All],8,FALSE)</f>
        <v>13</v>
      </c>
      <c r="I134" s="2">
        <f>VLOOKUP(A134,Table3[#All],9,FALSE)</f>
        <v>38</v>
      </c>
      <c r="J134" s="2">
        <f>VLOOKUP(A134,Table3[#All],10,FALSE)</f>
        <v>1</v>
      </c>
      <c r="K134" s="2">
        <f>VLOOKUP(A134,Table3[#All],11,FALSE)</f>
        <v>86</v>
      </c>
      <c r="L134" s="2" t="str">
        <f>VLOOKUP(A134,Table3[#All],12,FALSE)</f>
        <v>Chennai</v>
      </c>
      <c r="M134" s="2" t="str">
        <f t="shared" si="2"/>
        <v>Not Eligible</v>
      </c>
    </row>
    <row r="135" spans="1:13" x14ac:dyDescent="0.25">
      <c r="A135" s="6" t="s">
        <v>795</v>
      </c>
      <c r="B135" s="2" t="str">
        <f>VLOOKUP(A135,Table3[#All],2,FALSE)</f>
        <v>Arun</v>
      </c>
      <c r="C135" s="2" t="str">
        <f>VLOOKUP(A135,Table3[#All],3,FALSE)</f>
        <v>Sales</v>
      </c>
      <c r="D135" s="2">
        <f>VLOOKUP(A135,Table3[#All],4,FALSE)</f>
        <v>37</v>
      </c>
      <c r="E135" s="2" t="str">
        <f>VLOOKUP(A135,Table3[#All],5,FALSE)</f>
        <v>Female</v>
      </c>
      <c r="F135" s="2">
        <f>VLOOKUP(A135,Table3[#All],6,FALSE)</f>
        <v>15</v>
      </c>
      <c r="G135" s="2">
        <f>VLOOKUP(A135,Table3[#All],7,FALSE)</f>
        <v>31449</v>
      </c>
      <c r="H135" s="2">
        <f>VLOOKUP(A135,Table3[#All],8,FALSE)</f>
        <v>11</v>
      </c>
      <c r="I135" s="2">
        <f>VLOOKUP(A135,Table3[#All],9,FALSE)</f>
        <v>49</v>
      </c>
      <c r="J135" s="2">
        <f>VLOOKUP(A135,Table3[#All],10,FALSE)</f>
        <v>5</v>
      </c>
      <c r="K135" s="2">
        <f>VLOOKUP(A135,Table3[#All],11,FALSE)</f>
        <v>95</v>
      </c>
      <c r="L135" s="2" t="str">
        <f>VLOOKUP(A135,Table3[#All],12,FALSE)</f>
        <v>Hyderabad</v>
      </c>
      <c r="M135" s="2" t="str">
        <f t="shared" si="2"/>
        <v>Eligible</v>
      </c>
    </row>
    <row r="136" spans="1:13" hidden="1" x14ac:dyDescent="0.25">
      <c r="A136" s="5" t="s">
        <v>900</v>
      </c>
      <c r="B136" s="2" t="str">
        <f>VLOOKUP(A136,Table3[#All],2,FALSE)</f>
        <v>Lakshmi</v>
      </c>
      <c r="C136" s="2" t="str">
        <f>VLOOKUP(A136,Table3[#All],3,FALSE)</f>
        <v>Finance</v>
      </c>
      <c r="D136" s="2">
        <f>VLOOKUP(A136,Table3[#All],4,FALSE)</f>
        <v>40</v>
      </c>
      <c r="E136" s="2" t="str">
        <f>VLOOKUP(A136,Table3[#All],5,FALSE)</f>
        <v>Male</v>
      </c>
      <c r="F136" s="2">
        <f>VLOOKUP(A136,Table3[#All],6,FALSE)</f>
        <v>10</v>
      </c>
      <c r="G136" s="2">
        <f>VLOOKUP(A136,Table3[#All],7,FALSE)</f>
        <v>31457</v>
      </c>
      <c r="H136" s="2">
        <f>VLOOKUP(A136,Table3[#All],8,FALSE)</f>
        <v>8</v>
      </c>
      <c r="I136" s="2">
        <f>VLOOKUP(A136,Table3[#All],9,FALSE)</f>
        <v>44</v>
      </c>
      <c r="J136" s="2">
        <f>VLOOKUP(A136,Table3[#All],10,FALSE)</f>
        <v>4</v>
      </c>
      <c r="K136" s="2">
        <f>VLOOKUP(A136,Table3[#All],11,FALSE)</f>
        <v>91</v>
      </c>
      <c r="L136" s="2" t="str">
        <f>VLOOKUP(A136,Table3[#All],12,FALSE)</f>
        <v>Hyderabad</v>
      </c>
      <c r="M136" s="2" t="str">
        <f t="shared" si="2"/>
        <v>Not Eligible</v>
      </c>
    </row>
    <row r="137" spans="1:13" hidden="1" x14ac:dyDescent="0.25">
      <c r="A137" s="5" t="s">
        <v>122</v>
      </c>
      <c r="B137" s="2" t="str">
        <f>VLOOKUP(A137,Table3[#All],2,FALSE)</f>
        <v>Ramesh</v>
      </c>
      <c r="C137" s="2" t="str">
        <f>VLOOKUP(A137,Table3[#All],3,FALSE)</f>
        <v>Finance</v>
      </c>
      <c r="D137" s="2">
        <f>VLOOKUP(A137,Table3[#All],4,FALSE)</f>
        <v>22</v>
      </c>
      <c r="E137" s="2" t="str">
        <f>VLOOKUP(A137,Table3[#All],5,FALSE)</f>
        <v>Female</v>
      </c>
      <c r="F137" s="2">
        <f>VLOOKUP(A137,Table3[#All],6,FALSE)</f>
        <v>8</v>
      </c>
      <c r="G137" s="2">
        <f>VLOOKUP(A137,Table3[#All],7,FALSE)</f>
        <v>31915</v>
      </c>
      <c r="H137" s="2">
        <f>VLOOKUP(A137,Table3[#All],8,FALSE)</f>
        <v>6</v>
      </c>
      <c r="I137" s="2">
        <f>VLOOKUP(A137,Table3[#All],9,FALSE)</f>
        <v>42</v>
      </c>
      <c r="J137" s="2">
        <f>VLOOKUP(A137,Table3[#All],10,FALSE)</f>
        <v>1</v>
      </c>
      <c r="K137" s="2">
        <f>VLOOKUP(A137,Table3[#All],11,FALSE)</f>
        <v>93</v>
      </c>
      <c r="L137" s="2" t="str">
        <f>VLOOKUP(A137,Table3[#All],12,FALSE)</f>
        <v>Pune</v>
      </c>
      <c r="M137" s="2" t="str">
        <f t="shared" si="2"/>
        <v>Not Eligible</v>
      </c>
    </row>
    <row r="138" spans="1:13" hidden="1" x14ac:dyDescent="0.25">
      <c r="A138" s="5" t="s">
        <v>534</v>
      </c>
      <c r="B138" s="2" t="str">
        <f>VLOOKUP(A138,Table3[#All],2,FALSE)</f>
        <v>Deepa</v>
      </c>
      <c r="C138" s="2" t="str">
        <f>VLOOKUP(A138,Table3[#All],3,FALSE)</f>
        <v>Sales</v>
      </c>
      <c r="D138" s="2">
        <f>VLOOKUP(A138,Table3[#All],4,FALSE)</f>
        <v>30</v>
      </c>
      <c r="E138" s="2" t="str">
        <f>VLOOKUP(A138,Table3[#All],5,FALSE)</f>
        <v>Female</v>
      </c>
      <c r="F138" s="2">
        <f>VLOOKUP(A138,Table3[#All],6,FALSE)</f>
        <v>10</v>
      </c>
      <c r="G138" s="2">
        <f>VLOOKUP(A138,Table3[#All],7,FALSE)</f>
        <v>31977</v>
      </c>
      <c r="H138" s="2">
        <f>VLOOKUP(A138,Table3[#All],8,FALSE)</f>
        <v>10</v>
      </c>
      <c r="I138" s="2">
        <f>VLOOKUP(A138,Table3[#All],9,FALSE)</f>
        <v>41</v>
      </c>
      <c r="J138" s="2">
        <f>VLOOKUP(A138,Table3[#All],10,FALSE)</f>
        <v>3</v>
      </c>
      <c r="K138" s="2">
        <f>VLOOKUP(A138,Table3[#All],11,FALSE)</f>
        <v>89</v>
      </c>
      <c r="L138" s="2" t="str">
        <f>VLOOKUP(A138,Table3[#All],12,FALSE)</f>
        <v>Bangalore</v>
      </c>
      <c r="M138" s="2" t="str">
        <f t="shared" si="2"/>
        <v>Not Eligible</v>
      </c>
    </row>
    <row r="139" spans="1:13" hidden="1" x14ac:dyDescent="0.25">
      <c r="A139" s="5" t="s">
        <v>606</v>
      </c>
      <c r="B139" s="2" t="str">
        <f>VLOOKUP(A139,Table3[#All],2,FALSE)</f>
        <v>Arun</v>
      </c>
      <c r="C139" s="2" t="str">
        <f>VLOOKUP(A139,Table3[#All],3,FALSE)</f>
        <v>HR</v>
      </c>
      <c r="D139" s="2">
        <f>VLOOKUP(A139,Table3[#All],4,FALSE)</f>
        <v>25</v>
      </c>
      <c r="E139" s="2" t="str">
        <f>VLOOKUP(A139,Table3[#All],5,FALSE)</f>
        <v>Female</v>
      </c>
      <c r="F139" s="2">
        <f>VLOOKUP(A139,Table3[#All],6,FALSE)</f>
        <v>9</v>
      </c>
      <c r="G139" s="2">
        <f>VLOOKUP(A139,Table3[#All],7,FALSE)</f>
        <v>32025</v>
      </c>
      <c r="H139" s="2">
        <f>VLOOKUP(A139,Table3[#All],8,FALSE)</f>
        <v>8</v>
      </c>
      <c r="I139" s="2">
        <f>VLOOKUP(A139,Table3[#All],9,FALSE)</f>
        <v>38</v>
      </c>
      <c r="J139" s="2">
        <f>VLOOKUP(A139,Table3[#All],10,FALSE)</f>
        <v>5</v>
      </c>
      <c r="K139" s="2">
        <f>VLOOKUP(A139,Table3[#All],11,FALSE)</f>
        <v>87</v>
      </c>
      <c r="L139" s="2" t="str">
        <f>VLOOKUP(A139,Table3[#All],12,FALSE)</f>
        <v>Chennai</v>
      </c>
      <c r="M139" s="2" t="str">
        <f t="shared" si="2"/>
        <v>Not Eligible</v>
      </c>
    </row>
    <row r="140" spans="1:13" x14ac:dyDescent="0.25">
      <c r="A140" s="6" t="s">
        <v>611</v>
      </c>
      <c r="B140" s="2" t="str">
        <f>VLOOKUP(A140,Table3[#All],2,FALSE)</f>
        <v>Vijay</v>
      </c>
      <c r="C140" s="2" t="str">
        <f>VLOOKUP(A140,Table3[#All],3,FALSE)</f>
        <v>Sales</v>
      </c>
      <c r="D140" s="2">
        <f>VLOOKUP(A140,Table3[#All],4,FALSE)</f>
        <v>34</v>
      </c>
      <c r="E140" s="2" t="str">
        <f>VLOOKUP(A140,Table3[#All],5,FALSE)</f>
        <v>Male</v>
      </c>
      <c r="F140" s="2">
        <f>VLOOKUP(A140,Table3[#All],6,FALSE)</f>
        <v>8</v>
      </c>
      <c r="G140" s="2">
        <f>VLOOKUP(A140,Table3[#All],7,FALSE)</f>
        <v>32065</v>
      </c>
      <c r="H140" s="2">
        <f>VLOOKUP(A140,Table3[#All],8,FALSE)</f>
        <v>11</v>
      </c>
      <c r="I140" s="2">
        <f>VLOOKUP(A140,Table3[#All],9,FALSE)</f>
        <v>47</v>
      </c>
      <c r="J140" s="2">
        <f>VLOOKUP(A140,Table3[#All],10,FALSE)</f>
        <v>2</v>
      </c>
      <c r="K140" s="2">
        <f>VLOOKUP(A140,Table3[#All],11,FALSE)</f>
        <v>99</v>
      </c>
      <c r="L140" s="2" t="str">
        <f>VLOOKUP(A140,Table3[#All],12,FALSE)</f>
        <v>Delhi</v>
      </c>
      <c r="M140" s="2" t="str">
        <f t="shared" si="2"/>
        <v>Eligible</v>
      </c>
    </row>
    <row r="141" spans="1:13" hidden="1" x14ac:dyDescent="0.25">
      <c r="A141" s="6" t="s">
        <v>947</v>
      </c>
      <c r="B141" s="2" t="str">
        <f>VLOOKUP(A141,Table3[#All],2,FALSE)</f>
        <v>Arun</v>
      </c>
      <c r="C141" s="2" t="str">
        <f>VLOOKUP(A141,Table3[#All],3,FALSE)</f>
        <v>IT</v>
      </c>
      <c r="D141" s="2">
        <f>VLOOKUP(A141,Table3[#All],4,FALSE)</f>
        <v>27</v>
      </c>
      <c r="E141" s="2" t="str">
        <f>VLOOKUP(A141,Table3[#All],5,FALSE)</f>
        <v>Male</v>
      </c>
      <c r="F141" s="2">
        <f>VLOOKUP(A141,Table3[#All],6,FALSE)</f>
        <v>13</v>
      </c>
      <c r="G141" s="2">
        <f>VLOOKUP(A141,Table3[#All],7,FALSE)</f>
        <v>32093</v>
      </c>
      <c r="H141" s="2">
        <f>VLOOKUP(A141,Table3[#All],8,FALSE)</f>
        <v>4</v>
      </c>
      <c r="I141" s="2">
        <f>VLOOKUP(A141,Table3[#All],9,FALSE)</f>
        <v>46</v>
      </c>
      <c r="J141" s="2">
        <f>VLOOKUP(A141,Table3[#All],10,FALSE)</f>
        <v>5</v>
      </c>
      <c r="K141" s="2">
        <f>VLOOKUP(A141,Table3[#All],11,FALSE)</f>
        <v>98</v>
      </c>
      <c r="L141" s="2" t="str">
        <f>VLOOKUP(A141,Table3[#All],12,FALSE)</f>
        <v>Bangalore</v>
      </c>
      <c r="M141" s="2" t="str">
        <f t="shared" si="2"/>
        <v>Eligible</v>
      </c>
    </row>
    <row r="142" spans="1:13" x14ac:dyDescent="0.25">
      <c r="A142" s="5" t="s">
        <v>584</v>
      </c>
      <c r="B142" s="2" t="str">
        <f>VLOOKUP(A142,Table3[#All],2,FALSE)</f>
        <v>Nisha</v>
      </c>
      <c r="C142" s="2" t="str">
        <f>VLOOKUP(A142,Table3[#All],3,FALSE)</f>
        <v>IT</v>
      </c>
      <c r="D142" s="2">
        <f>VLOOKUP(A142,Table3[#All],4,FALSE)</f>
        <v>27</v>
      </c>
      <c r="E142" s="2" t="str">
        <f>VLOOKUP(A142,Table3[#All],5,FALSE)</f>
        <v>Female</v>
      </c>
      <c r="F142" s="2">
        <f>VLOOKUP(A142,Table3[#All],6,FALSE)</f>
        <v>15</v>
      </c>
      <c r="G142" s="2">
        <f>VLOOKUP(A142,Table3[#All],7,FALSE)</f>
        <v>32192</v>
      </c>
      <c r="H142" s="2">
        <f>VLOOKUP(A142,Table3[#All],8,FALSE)</f>
        <v>14</v>
      </c>
      <c r="I142" s="2">
        <f>VLOOKUP(A142,Table3[#All],9,FALSE)</f>
        <v>46</v>
      </c>
      <c r="J142" s="2">
        <f>VLOOKUP(A142,Table3[#All],10,FALSE)</f>
        <v>4</v>
      </c>
      <c r="K142" s="2">
        <f>VLOOKUP(A142,Table3[#All],11,FALSE)</f>
        <v>94</v>
      </c>
      <c r="L142" s="2" t="str">
        <f>VLOOKUP(A142,Table3[#All],12,FALSE)</f>
        <v>Hyderabad</v>
      </c>
      <c r="M142" s="2" t="str">
        <f t="shared" si="2"/>
        <v>Not Eligible</v>
      </c>
    </row>
    <row r="143" spans="1:13" x14ac:dyDescent="0.25">
      <c r="A143" s="6" t="s">
        <v>669</v>
      </c>
      <c r="B143" s="2" t="str">
        <f>VLOOKUP(A143,Table3[#All],2,FALSE)</f>
        <v>Arun</v>
      </c>
      <c r="C143" s="2" t="str">
        <f>VLOOKUP(A143,Table3[#All],3,FALSE)</f>
        <v>HR</v>
      </c>
      <c r="D143" s="2">
        <f>VLOOKUP(A143,Table3[#All],4,FALSE)</f>
        <v>38</v>
      </c>
      <c r="E143" s="2" t="str">
        <f>VLOOKUP(A143,Table3[#All],5,FALSE)</f>
        <v>Male</v>
      </c>
      <c r="F143" s="2">
        <f>VLOOKUP(A143,Table3[#All],6,FALSE)</f>
        <v>15</v>
      </c>
      <c r="G143" s="2">
        <f>VLOOKUP(A143,Table3[#All],7,FALSE)</f>
        <v>32214</v>
      </c>
      <c r="H143" s="2">
        <f>VLOOKUP(A143,Table3[#All],8,FALSE)</f>
        <v>14</v>
      </c>
      <c r="I143" s="2">
        <f>VLOOKUP(A143,Table3[#All],9,FALSE)</f>
        <v>43</v>
      </c>
      <c r="J143" s="2">
        <f>VLOOKUP(A143,Table3[#All],10,FALSE)</f>
        <v>5</v>
      </c>
      <c r="K143" s="2">
        <f>VLOOKUP(A143,Table3[#All],11,FALSE)</f>
        <v>92</v>
      </c>
      <c r="L143" s="2" t="str">
        <f>VLOOKUP(A143,Table3[#All],12,FALSE)</f>
        <v>Delhi</v>
      </c>
      <c r="M143" s="2" t="str">
        <f t="shared" si="2"/>
        <v>Not Eligible</v>
      </c>
    </row>
    <row r="144" spans="1:13" hidden="1" x14ac:dyDescent="0.25">
      <c r="A144" s="6" t="s">
        <v>183</v>
      </c>
      <c r="B144" s="2" t="str">
        <f>VLOOKUP(A144,Table3[#All],2,FALSE)</f>
        <v>Rekha</v>
      </c>
      <c r="C144" s="2" t="str">
        <f>VLOOKUP(A144,Table3[#All],3,FALSE)</f>
        <v>HR</v>
      </c>
      <c r="D144" s="2">
        <f>VLOOKUP(A144,Table3[#All],4,FALSE)</f>
        <v>32</v>
      </c>
      <c r="E144" s="2" t="str">
        <f>VLOOKUP(A144,Table3[#All],5,FALSE)</f>
        <v>Male</v>
      </c>
      <c r="F144" s="2">
        <f>VLOOKUP(A144,Table3[#All],6,FALSE)</f>
        <v>12</v>
      </c>
      <c r="G144" s="2">
        <f>VLOOKUP(A144,Table3[#All],7,FALSE)</f>
        <v>32239</v>
      </c>
      <c r="H144" s="2">
        <f>VLOOKUP(A144,Table3[#All],8,FALSE)</f>
        <v>6</v>
      </c>
      <c r="I144" s="2">
        <f>VLOOKUP(A144,Table3[#All],9,FALSE)</f>
        <v>48</v>
      </c>
      <c r="J144" s="2">
        <f>VLOOKUP(A144,Table3[#All],10,FALSE)</f>
        <v>5</v>
      </c>
      <c r="K144" s="2">
        <f>VLOOKUP(A144,Table3[#All],11,FALSE)</f>
        <v>93</v>
      </c>
      <c r="L144" s="2" t="str">
        <f>VLOOKUP(A144,Table3[#All],12,FALSE)</f>
        <v>Bangalore</v>
      </c>
      <c r="M144" s="2" t="str">
        <f t="shared" si="2"/>
        <v>Not Eligible</v>
      </c>
    </row>
    <row r="145" spans="1:13" x14ac:dyDescent="0.25">
      <c r="A145" s="6" t="s">
        <v>559</v>
      </c>
      <c r="B145" s="2" t="str">
        <f>VLOOKUP(A145,Table3[#All],2,FALSE)</f>
        <v>Karthik</v>
      </c>
      <c r="C145" s="2" t="str">
        <f>VLOOKUP(A145,Table3[#All],3,FALSE)</f>
        <v>HR</v>
      </c>
      <c r="D145" s="2">
        <f>VLOOKUP(A145,Table3[#All],4,FALSE)</f>
        <v>31</v>
      </c>
      <c r="E145" s="2" t="str">
        <f>VLOOKUP(A145,Table3[#All],5,FALSE)</f>
        <v>Male</v>
      </c>
      <c r="F145" s="2">
        <f>VLOOKUP(A145,Table3[#All],6,FALSE)</f>
        <v>11</v>
      </c>
      <c r="G145" s="2">
        <f>VLOOKUP(A145,Table3[#All],7,FALSE)</f>
        <v>32365</v>
      </c>
      <c r="H145" s="2">
        <f>VLOOKUP(A145,Table3[#All],8,FALSE)</f>
        <v>11</v>
      </c>
      <c r="I145" s="2">
        <f>VLOOKUP(A145,Table3[#All],9,FALSE)</f>
        <v>40</v>
      </c>
      <c r="J145" s="2">
        <f>VLOOKUP(A145,Table3[#All],10,FALSE)</f>
        <v>5</v>
      </c>
      <c r="K145" s="2">
        <f>VLOOKUP(A145,Table3[#All],11,FALSE)</f>
        <v>99</v>
      </c>
      <c r="L145" s="2" t="str">
        <f>VLOOKUP(A145,Table3[#All],12,FALSE)</f>
        <v>Delhi</v>
      </c>
      <c r="M145" s="2" t="str">
        <f t="shared" si="2"/>
        <v>Eligible</v>
      </c>
    </row>
    <row r="146" spans="1:13" hidden="1" x14ac:dyDescent="0.25">
      <c r="A146" s="5" t="s">
        <v>188</v>
      </c>
      <c r="B146" s="2" t="str">
        <f>VLOOKUP(A146,Table3[#All],2,FALSE)</f>
        <v>Hari</v>
      </c>
      <c r="C146" s="2" t="str">
        <f>VLOOKUP(A146,Table3[#All],3,FALSE)</f>
        <v>IT</v>
      </c>
      <c r="D146" s="2">
        <f>VLOOKUP(A146,Table3[#All],4,FALSE)</f>
        <v>22</v>
      </c>
      <c r="E146" s="2" t="str">
        <f>VLOOKUP(A146,Table3[#All],5,FALSE)</f>
        <v>Male</v>
      </c>
      <c r="F146" s="2">
        <f>VLOOKUP(A146,Table3[#All],6,FALSE)</f>
        <v>2</v>
      </c>
      <c r="G146" s="2">
        <f>VLOOKUP(A146,Table3[#All],7,FALSE)</f>
        <v>47081</v>
      </c>
      <c r="H146" s="2">
        <f>VLOOKUP(A146,Table3[#All],8,FALSE)</f>
        <v>10</v>
      </c>
      <c r="I146" s="2">
        <f>VLOOKUP(A146,Table3[#All],9,FALSE)</f>
        <v>43</v>
      </c>
      <c r="J146" s="2">
        <f>VLOOKUP(A146,Table3[#All],10,FALSE)</f>
        <v>5</v>
      </c>
      <c r="K146" s="2">
        <f>VLOOKUP(A146,Table3[#All],11,FALSE)</f>
        <v>91</v>
      </c>
      <c r="L146" s="2" t="str">
        <f>VLOOKUP(A146,Table3[#All],12,FALSE)</f>
        <v>Bangalore</v>
      </c>
      <c r="M146" s="2" t="str">
        <f t="shared" si="2"/>
        <v>Not Eligible</v>
      </c>
    </row>
    <row r="147" spans="1:13" hidden="1" x14ac:dyDescent="0.25">
      <c r="A147" s="6" t="s">
        <v>829</v>
      </c>
      <c r="B147" s="2" t="str">
        <f>VLOOKUP(A147,Table3[#All],2,FALSE)</f>
        <v>Manoj</v>
      </c>
      <c r="C147" s="2" t="str">
        <f>VLOOKUP(A147,Table3[#All],3,FALSE)</f>
        <v>IT</v>
      </c>
      <c r="D147" s="2">
        <f>VLOOKUP(A147,Table3[#All],4,FALSE)</f>
        <v>32</v>
      </c>
      <c r="E147" s="2" t="str">
        <f>VLOOKUP(A147,Table3[#All],5,FALSE)</f>
        <v>Male</v>
      </c>
      <c r="F147" s="2">
        <f>VLOOKUP(A147,Table3[#All],6,FALSE)</f>
        <v>12</v>
      </c>
      <c r="G147" s="2">
        <f>VLOOKUP(A147,Table3[#All],7,FALSE)</f>
        <v>32457</v>
      </c>
      <c r="H147" s="2">
        <f>VLOOKUP(A147,Table3[#All],8,FALSE)</f>
        <v>3</v>
      </c>
      <c r="I147" s="2">
        <f>VLOOKUP(A147,Table3[#All],9,FALSE)</f>
        <v>50</v>
      </c>
      <c r="J147" s="2">
        <f>VLOOKUP(A147,Table3[#All],10,FALSE)</f>
        <v>1</v>
      </c>
      <c r="K147" s="2">
        <f>VLOOKUP(A147,Table3[#All],11,FALSE)</f>
        <v>86</v>
      </c>
      <c r="L147" s="2" t="str">
        <f>VLOOKUP(A147,Table3[#All],12,FALSE)</f>
        <v>Delhi</v>
      </c>
      <c r="M147" s="2" t="str">
        <f t="shared" si="2"/>
        <v>Not Eligible</v>
      </c>
    </row>
    <row r="148" spans="1:13" hidden="1" x14ac:dyDescent="0.25">
      <c r="A148" s="5" t="s">
        <v>190</v>
      </c>
      <c r="B148" s="2" t="str">
        <f>VLOOKUP(A148,Table3[#All],2,FALSE)</f>
        <v>Meena</v>
      </c>
      <c r="C148" s="2" t="str">
        <f>VLOOKUP(A148,Table3[#All],3,FALSE)</f>
        <v>Sales</v>
      </c>
      <c r="D148" s="2">
        <f>VLOOKUP(A148,Table3[#All],4,FALSE)</f>
        <v>30</v>
      </c>
      <c r="E148" s="2" t="str">
        <f>VLOOKUP(A148,Table3[#All],5,FALSE)</f>
        <v>Male</v>
      </c>
      <c r="F148" s="2">
        <f>VLOOKUP(A148,Table3[#All],6,FALSE)</f>
        <v>1</v>
      </c>
      <c r="G148" s="2">
        <f>VLOOKUP(A148,Table3[#All],7,FALSE)</f>
        <v>77185</v>
      </c>
      <c r="H148" s="2">
        <f>VLOOKUP(A148,Table3[#All],8,FALSE)</f>
        <v>8</v>
      </c>
      <c r="I148" s="2">
        <f>VLOOKUP(A148,Table3[#All],9,FALSE)</f>
        <v>45</v>
      </c>
      <c r="J148" s="2">
        <f>VLOOKUP(A148,Table3[#All],10,FALSE)</f>
        <v>5</v>
      </c>
      <c r="K148" s="2">
        <f>VLOOKUP(A148,Table3[#All],11,FALSE)</f>
        <v>92</v>
      </c>
      <c r="L148" s="2" t="str">
        <f>VLOOKUP(A148,Table3[#All],12,FALSE)</f>
        <v>Chennai</v>
      </c>
      <c r="M148" s="2" t="str">
        <f t="shared" si="2"/>
        <v>Not Eligible</v>
      </c>
    </row>
    <row r="149" spans="1:13" hidden="1" x14ac:dyDescent="0.25">
      <c r="A149" s="6" t="s">
        <v>1015</v>
      </c>
      <c r="B149" s="2" t="str">
        <f>VLOOKUP(A149,Table3[#All],2,FALSE)</f>
        <v>Lakshmi</v>
      </c>
      <c r="C149" s="2" t="str">
        <f>VLOOKUP(A149,Table3[#All],3,FALSE)</f>
        <v>HR</v>
      </c>
      <c r="D149" s="2">
        <f>VLOOKUP(A149,Table3[#All],4,FALSE)</f>
        <v>28</v>
      </c>
      <c r="E149" s="2" t="str">
        <f>VLOOKUP(A149,Table3[#All],5,FALSE)</f>
        <v>Male</v>
      </c>
      <c r="F149" s="2">
        <f>VLOOKUP(A149,Table3[#All],6,FALSE)</f>
        <v>6</v>
      </c>
      <c r="G149" s="2">
        <f>VLOOKUP(A149,Table3[#All],7,FALSE)</f>
        <v>32498</v>
      </c>
      <c r="H149" s="2">
        <f>VLOOKUP(A149,Table3[#All],8,FALSE)</f>
        <v>10</v>
      </c>
      <c r="I149" s="2">
        <f>VLOOKUP(A149,Table3[#All],9,FALSE)</f>
        <v>47</v>
      </c>
      <c r="J149" s="2">
        <f>VLOOKUP(A149,Table3[#All],10,FALSE)</f>
        <v>1</v>
      </c>
      <c r="K149" s="2">
        <f>VLOOKUP(A149,Table3[#All],11,FALSE)</f>
        <v>90</v>
      </c>
      <c r="L149" s="2" t="str">
        <f>VLOOKUP(A149,Table3[#All],12,FALSE)</f>
        <v>Bangalore</v>
      </c>
      <c r="M149" s="2" t="str">
        <f t="shared" si="2"/>
        <v>Not Eligible</v>
      </c>
    </row>
    <row r="150" spans="1:13" hidden="1" x14ac:dyDescent="0.25">
      <c r="A150" s="6" t="s">
        <v>807</v>
      </c>
      <c r="B150" s="2" t="str">
        <f>VLOOKUP(A150,Table3[#All],2,FALSE)</f>
        <v>Anitha</v>
      </c>
      <c r="C150" s="2" t="str">
        <f>VLOOKUP(A150,Table3[#All],3,FALSE)</f>
        <v>Finance</v>
      </c>
      <c r="D150" s="2">
        <f>VLOOKUP(A150,Table3[#All],4,FALSE)</f>
        <v>37</v>
      </c>
      <c r="E150" s="2" t="str">
        <f>VLOOKUP(A150,Table3[#All],5,FALSE)</f>
        <v>Male</v>
      </c>
      <c r="F150" s="2">
        <f>VLOOKUP(A150,Table3[#All],6,FALSE)</f>
        <v>5</v>
      </c>
      <c r="G150" s="2">
        <f>VLOOKUP(A150,Table3[#All],7,FALSE)</f>
        <v>32548</v>
      </c>
      <c r="H150" s="2">
        <f>VLOOKUP(A150,Table3[#All],8,FALSE)</f>
        <v>10</v>
      </c>
      <c r="I150" s="2">
        <f>VLOOKUP(A150,Table3[#All],9,FALSE)</f>
        <v>45</v>
      </c>
      <c r="J150" s="2">
        <f>VLOOKUP(A150,Table3[#All],10,FALSE)</f>
        <v>5</v>
      </c>
      <c r="K150" s="2">
        <f>VLOOKUP(A150,Table3[#All],11,FALSE)</f>
        <v>86</v>
      </c>
      <c r="L150" s="2" t="str">
        <f>VLOOKUP(A150,Table3[#All],12,FALSE)</f>
        <v>Hyderabad</v>
      </c>
      <c r="M150" s="2" t="str">
        <f t="shared" si="2"/>
        <v>Not Eligible</v>
      </c>
    </row>
    <row r="151" spans="1:13" hidden="1" x14ac:dyDescent="0.25">
      <c r="A151" s="6" t="s">
        <v>503</v>
      </c>
      <c r="B151" s="2" t="str">
        <f>VLOOKUP(A151,Table3[#All],2,FALSE)</f>
        <v>Arun</v>
      </c>
      <c r="C151" s="2" t="str">
        <f>VLOOKUP(A151,Table3[#All],3,FALSE)</f>
        <v>Sales</v>
      </c>
      <c r="D151" s="2">
        <f>VLOOKUP(A151,Table3[#All],4,FALSE)</f>
        <v>24</v>
      </c>
      <c r="E151" s="2" t="str">
        <f>VLOOKUP(A151,Table3[#All],5,FALSE)</f>
        <v>Male</v>
      </c>
      <c r="F151" s="2">
        <f>VLOOKUP(A151,Table3[#All],6,FALSE)</f>
        <v>11</v>
      </c>
      <c r="G151" s="2">
        <f>VLOOKUP(A151,Table3[#All],7,FALSE)</f>
        <v>32583</v>
      </c>
      <c r="H151" s="2">
        <f>VLOOKUP(A151,Table3[#All],8,FALSE)</f>
        <v>13</v>
      </c>
      <c r="I151" s="2">
        <f>VLOOKUP(A151,Table3[#All],9,FALSE)</f>
        <v>48</v>
      </c>
      <c r="J151" s="2">
        <f>VLOOKUP(A151,Table3[#All],10,FALSE)</f>
        <v>5</v>
      </c>
      <c r="K151" s="2">
        <f>VLOOKUP(A151,Table3[#All],11,FALSE)</f>
        <v>85</v>
      </c>
      <c r="L151" s="2" t="str">
        <f>VLOOKUP(A151,Table3[#All],12,FALSE)</f>
        <v>Chennai</v>
      </c>
      <c r="M151" s="2" t="str">
        <f t="shared" si="2"/>
        <v>Not Eligible</v>
      </c>
    </row>
    <row r="152" spans="1:13" x14ac:dyDescent="0.25">
      <c r="A152" s="5" t="s">
        <v>478</v>
      </c>
      <c r="B152" s="2" t="str">
        <f>VLOOKUP(A152,Table3[#All],2,FALSE)</f>
        <v>Sanjay</v>
      </c>
      <c r="C152" s="2" t="str">
        <f>VLOOKUP(A152,Table3[#All],3,FALSE)</f>
        <v>HR</v>
      </c>
      <c r="D152" s="2">
        <f>VLOOKUP(A152,Table3[#All],4,FALSE)</f>
        <v>25</v>
      </c>
      <c r="E152" s="2" t="str">
        <f>VLOOKUP(A152,Table3[#All],5,FALSE)</f>
        <v>Male</v>
      </c>
      <c r="F152" s="2">
        <f>VLOOKUP(A152,Table3[#All],6,FALSE)</f>
        <v>7</v>
      </c>
      <c r="G152" s="2">
        <f>VLOOKUP(A152,Table3[#All],7,FALSE)</f>
        <v>32586</v>
      </c>
      <c r="H152" s="2">
        <f>VLOOKUP(A152,Table3[#All],8,FALSE)</f>
        <v>13</v>
      </c>
      <c r="I152" s="2">
        <f>VLOOKUP(A152,Table3[#All],9,FALSE)</f>
        <v>48</v>
      </c>
      <c r="J152" s="2">
        <f>VLOOKUP(A152,Table3[#All],10,FALSE)</f>
        <v>5</v>
      </c>
      <c r="K152" s="2">
        <f>VLOOKUP(A152,Table3[#All],11,FALSE)</f>
        <v>96</v>
      </c>
      <c r="L152" s="2" t="str">
        <f>VLOOKUP(A152,Table3[#All],12,FALSE)</f>
        <v>Delhi</v>
      </c>
      <c r="M152" s="2" t="str">
        <f t="shared" si="2"/>
        <v>Eligible</v>
      </c>
    </row>
    <row r="153" spans="1:13" x14ac:dyDescent="0.25">
      <c r="A153" s="5" t="s">
        <v>838</v>
      </c>
      <c r="B153" s="2" t="str">
        <f>VLOOKUP(A153,Table3[#All],2,FALSE)</f>
        <v>Ajay</v>
      </c>
      <c r="C153" s="2" t="str">
        <f>VLOOKUP(A153,Table3[#All],3,FALSE)</f>
        <v>Finance</v>
      </c>
      <c r="D153" s="2">
        <f>VLOOKUP(A153,Table3[#All],4,FALSE)</f>
        <v>28</v>
      </c>
      <c r="E153" s="2" t="str">
        <f>VLOOKUP(A153,Table3[#All],5,FALSE)</f>
        <v>Female</v>
      </c>
      <c r="F153" s="2">
        <f>VLOOKUP(A153,Table3[#All],6,FALSE)</f>
        <v>6</v>
      </c>
      <c r="G153" s="2">
        <f>VLOOKUP(A153,Table3[#All],7,FALSE)</f>
        <v>32629</v>
      </c>
      <c r="H153" s="2">
        <f>VLOOKUP(A153,Table3[#All],8,FALSE)</f>
        <v>11</v>
      </c>
      <c r="I153" s="2">
        <f>VLOOKUP(A153,Table3[#All],9,FALSE)</f>
        <v>47</v>
      </c>
      <c r="J153" s="2">
        <f>VLOOKUP(A153,Table3[#All],10,FALSE)</f>
        <v>3</v>
      </c>
      <c r="K153" s="2">
        <f>VLOOKUP(A153,Table3[#All],11,FALSE)</f>
        <v>96</v>
      </c>
      <c r="L153" s="2" t="str">
        <f>VLOOKUP(A153,Table3[#All],12,FALSE)</f>
        <v>Hyderabad</v>
      </c>
      <c r="M153" s="2" t="str">
        <f t="shared" si="2"/>
        <v>Eligible</v>
      </c>
    </row>
    <row r="154" spans="1:13" hidden="1" x14ac:dyDescent="0.25">
      <c r="A154" s="5" t="s">
        <v>196</v>
      </c>
      <c r="B154" s="2" t="str">
        <f>VLOOKUP(A154,Table3[#All],2,FALSE)</f>
        <v>Manoj</v>
      </c>
      <c r="C154" s="2" t="str">
        <f>VLOOKUP(A154,Table3[#All],3,FALSE)</f>
        <v>IT</v>
      </c>
      <c r="D154" s="2">
        <f>VLOOKUP(A154,Table3[#All],4,FALSE)</f>
        <v>25</v>
      </c>
      <c r="E154" s="2" t="str">
        <f>VLOOKUP(A154,Table3[#All],5,FALSE)</f>
        <v>Male</v>
      </c>
      <c r="F154" s="2">
        <f>VLOOKUP(A154,Table3[#All],6,FALSE)</f>
        <v>4</v>
      </c>
      <c r="G154" s="2">
        <f>VLOOKUP(A154,Table3[#All],7,FALSE)</f>
        <v>31457</v>
      </c>
      <c r="H154" s="2">
        <f>VLOOKUP(A154,Table3[#All],8,FALSE)</f>
        <v>7</v>
      </c>
      <c r="I154" s="2">
        <f>VLOOKUP(A154,Table3[#All],9,FALSE)</f>
        <v>50</v>
      </c>
      <c r="J154" s="2">
        <f>VLOOKUP(A154,Table3[#All],10,FALSE)</f>
        <v>4</v>
      </c>
      <c r="K154" s="2">
        <f>VLOOKUP(A154,Table3[#All],11,FALSE)</f>
        <v>91</v>
      </c>
      <c r="L154" s="2" t="str">
        <f>VLOOKUP(A154,Table3[#All],12,FALSE)</f>
        <v>Hyderabad</v>
      </c>
      <c r="M154" s="2" t="str">
        <f t="shared" si="2"/>
        <v>Not Eligible</v>
      </c>
    </row>
    <row r="155" spans="1:13" hidden="1" x14ac:dyDescent="0.25">
      <c r="A155" s="6" t="s">
        <v>197</v>
      </c>
      <c r="B155" s="2" t="str">
        <f>VLOOKUP(A155,Table3[#All],2,FALSE)</f>
        <v>Arun</v>
      </c>
      <c r="C155" s="2" t="str">
        <f>VLOOKUP(A155,Table3[#All],3,FALSE)</f>
        <v>HR</v>
      </c>
      <c r="D155" s="2">
        <f>VLOOKUP(A155,Table3[#All],4,FALSE)</f>
        <v>29</v>
      </c>
      <c r="E155" s="2" t="str">
        <f>VLOOKUP(A155,Table3[#All],5,FALSE)</f>
        <v>Female</v>
      </c>
      <c r="F155" s="2">
        <f>VLOOKUP(A155,Table3[#All],6,FALSE)</f>
        <v>2</v>
      </c>
      <c r="G155" s="2">
        <f>VLOOKUP(A155,Table3[#All],7,FALSE)</f>
        <v>37900</v>
      </c>
      <c r="H155" s="2">
        <f>VLOOKUP(A155,Table3[#All],8,FALSE)</f>
        <v>5</v>
      </c>
      <c r="I155" s="2">
        <f>VLOOKUP(A155,Table3[#All],9,FALSE)</f>
        <v>41</v>
      </c>
      <c r="J155" s="2">
        <f>VLOOKUP(A155,Table3[#All],10,FALSE)</f>
        <v>1</v>
      </c>
      <c r="K155" s="2">
        <f>VLOOKUP(A155,Table3[#All],11,FALSE)</f>
        <v>97</v>
      </c>
      <c r="L155" s="2" t="str">
        <f>VLOOKUP(A155,Table3[#All],12,FALSE)</f>
        <v>Hyderabad</v>
      </c>
      <c r="M155" s="2" t="str">
        <f t="shared" si="2"/>
        <v>Eligible</v>
      </c>
    </row>
    <row r="156" spans="1:13" hidden="1" x14ac:dyDescent="0.25">
      <c r="A156" s="5" t="s">
        <v>198</v>
      </c>
      <c r="B156" s="2" t="str">
        <f>VLOOKUP(A156,Table3[#All],2,FALSE)</f>
        <v>Sanjay</v>
      </c>
      <c r="C156" s="2" t="str">
        <f>VLOOKUP(A156,Table3[#All],3,FALSE)</f>
        <v>Finance</v>
      </c>
      <c r="D156" s="2">
        <f>VLOOKUP(A156,Table3[#All],4,FALSE)</f>
        <v>26</v>
      </c>
      <c r="E156" s="2" t="str">
        <f>VLOOKUP(A156,Table3[#All],5,FALSE)</f>
        <v>Male</v>
      </c>
      <c r="F156" s="2">
        <f>VLOOKUP(A156,Table3[#All],6,FALSE)</f>
        <v>4</v>
      </c>
      <c r="G156" s="2">
        <f>VLOOKUP(A156,Table3[#All],7,FALSE)</f>
        <v>33928</v>
      </c>
      <c r="H156" s="2">
        <f>VLOOKUP(A156,Table3[#All],8,FALSE)</f>
        <v>7</v>
      </c>
      <c r="I156" s="2">
        <f>VLOOKUP(A156,Table3[#All],9,FALSE)</f>
        <v>47</v>
      </c>
      <c r="J156" s="2">
        <f>VLOOKUP(A156,Table3[#All],10,FALSE)</f>
        <v>4</v>
      </c>
      <c r="K156" s="2">
        <f>VLOOKUP(A156,Table3[#All],11,FALSE)</f>
        <v>100</v>
      </c>
      <c r="L156" s="2" t="str">
        <f>VLOOKUP(A156,Table3[#All],12,FALSE)</f>
        <v>Pune</v>
      </c>
      <c r="M156" s="2" t="str">
        <f t="shared" si="2"/>
        <v>Eligible</v>
      </c>
    </row>
    <row r="157" spans="1:13" hidden="1" x14ac:dyDescent="0.25">
      <c r="A157" s="6" t="s">
        <v>463</v>
      </c>
      <c r="B157" s="2" t="str">
        <f>VLOOKUP(A157,Table3[#All],2,FALSE)</f>
        <v>Ramesh</v>
      </c>
      <c r="C157" s="2" t="str">
        <f>VLOOKUP(A157,Table3[#All],3,FALSE)</f>
        <v>Sales</v>
      </c>
      <c r="D157" s="2">
        <f>VLOOKUP(A157,Table3[#All],4,FALSE)</f>
        <v>40</v>
      </c>
      <c r="E157" s="2" t="str">
        <f>VLOOKUP(A157,Table3[#All],5,FALSE)</f>
        <v>Female</v>
      </c>
      <c r="F157" s="2">
        <f>VLOOKUP(A157,Table3[#All],6,FALSE)</f>
        <v>7</v>
      </c>
      <c r="G157" s="2">
        <f>VLOOKUP(A157,Table3[#All],7,FALSE)</f>
        <v>32647</v>
      </c>
      <c r="H157" s="2">
        <f>VLOOKUP(A157,Table3[#All],8,FALSE)</f>
        <v>6</v>
      </c>
      <c r="I157" s="2">
        <f>VLOOKUP(A157,Table3[#All],9,FALSE)</f>
        <v>37</v>
      </c>
      <c r="J157" s="2">
        <f>VLOOKUP(A157,Table3[#All],10,FALSE)</f>
        <v>2</v>
      </c>
      <c r="K157" s="2">
        <f>VLOOKUP(A157,Table3[#All],11,FALSE)</f>
        <v>97</v>
      </c>
      <c r="L157" s="2" t="str">
        <f>VLOOKUP(A157,Table3[#All],12,FALSE)</f>
        <v>Delhi</v>
      </c>
      <c r="M157" s="2" t="str">
        <f t="shared" si="2"/>
        <v>Eligible</v>
      </c>
    </row>
    <row r="158" spans="1:13" hidden="1" x14ac:dyDescent="0.25">
      <c r="A158" s="5" t="s">
        <v>378</v>
      </c>
      <c r="B158" s="2" t="str">
        <f>VLOOKUP(A158,Table3[#All],2,FALSE)</f>
        <v>Sneha</v>
      </c>
      <c r="C158" s="2" t="str">
        <f>VLOOKUP(A158,Table3[#All],3,FALSE)</f>
        <v>HR</v>
      </c>
      <c r="D158" s="2">
        <f>VLOOKUP(A158,Table3[#All],4,FALSE)</f>
        <v>23</v>
      </c>
      <c r="E158" s="2" t="str">
        <f>VLOOKUP(A158,Table3[#All],5,FALSE)</f>
        <v>Male</v>
      </c>
      <c r="F158" s="2">
        <f>VLOOKUP(A158,Table3[#All],6,FALSE)</f>
        <v>8</v>
      </c>
      <c r="G158" s="2">
        <f>VLOOKUP(A158,Table3[#All],7,FALSE)</f>
        <v>32651</v>
      </c>
      <c r="H158" s="2">
        <f>VLOOKUP(A158,Table3[#All],8,FALSE)</f>
        <v>3</v>
      </c>
      <c r="I158" s="2">
        <f>VLOOKUP(A158,Table3[#All],9,FALSE)</f>
        <v>37</v>
      </c>
      <c r="J158" s="2">
        <f>VLOOKUP(A158,Table3[#All],10,FALSE)</f>
        <v>2</v>
      </c>
      <c r="K158" s="2">
        <f>VLOOKUP(A158,Table3[#All],11,FALSE)</f>
        <v>100</v>
      </c>
      <c r="L158" s="2" t="str">
        <f>VLOOKUP(A158,Table3[#All],12,FALSE)</f>
        <v>Delhi</v>
      </c>
      <c r="M158" s="2" t="str">
        <f t="shared" si="2"/>
        <v>Eligible</v>
      </c>
    </row>
    <row r="159" spans="1:13" hidden="1" x14ac:dyDescent="0.25">
      <c r="A159" s="5" t="s">
        <v>906</v>
      </c>
      <c r="B159" s="2" t="str">
        <f>VLOOKUP(A159,Table3[#All],2,FALSE)</f>
        <v>Sanjay</v>
      </c>
      <c r="C159" s="2" t="str">
        <f>VLOOKUP(A159,Table3[#All],3,FALSE)</f>
        <v>Finance</v>
      </c>
      <c r="D159" s="2">
        <f>VLOOKUP(A159,Table3[#All],4,FALSE)</f>
        <v>25</v>
      </c>
      <c r="E159" s="2" t="str">
        <f>VLOOKUP(A159,Table3[#All],5,FALSE)</f>
        <v>Male</v>
      </c>
      <c r="F159" s="2">
        <f>VLOOKUP(A159,Table3[#All],6,FALSE)</f>
        <v>14</v>
      </c>
      <c r="G159" s="2">
        <f>VLOOKUP(A159,Table3[#All],7,FALSE)</f>
        <v>32843</v>
      </c>
      <c r="H159" s="2">
        <f>VLOOKUP(A159,Table3[#All],8,FALSE)</f>
        <v>3</v>
      </c>
      <c r="I159" s="2">
        <f>VLOOKUP(A159,Table3[#All],9,FALSE)</f>
        <v>40</v>
      </c>
      <c r="J159" s="2">
        <f>VLOOKUP(A159,Table3[#All],10,FALSE)</f>
        <v>4</v>
      </c>
      <c r="K159" s="2">
        <f>VLOOKUP(A159,Table3[#All],11,FALSE)</f>
        <v>100</v>
      </c>
      <c r="L159" s="2" t="str">
        <f>VLOOKUP(A159,Table3[#All],12,FALSE)</f>
        <v>Bangalore</v>
      </c>
      <c r="M159" s="2" t="str">
        <f t="shared" si="2"/>
        <v>Eligible</v>
      </c>
    </row>
    <row r="160" spans="1:13" hidden="1" x14ac:dyDescent="0.25">
      <c r="A160" s="5" t="s">
        <v>202</v>
      </c>
      <c r="B160" s="2" t="str">
        <f>VLOOKUP(A160,Table3[#All],2,FALSE)</f>
        <v>Sneha</v>
      </c>
      <c r="C160" s="2" t="str">
        <f>VLOOKUP(A160,Table3[#All],3,FALSE)</f>
        <v>HR</v>
      </c>
      <c r="D160" s="2">
        <f>VLOOKUP(A160,Table3[#All],4,FALSE)</f>
        <v>37</v>
      </c>
      <c r="E160" s="2" t="str">
        <f>VLOOKUP(A160,Table3[#All],5,FALSE)</f>
        <v>Male</v>
      </c>
      <c r="F160" s="2">
        <f>VLOOKUP(A160,Table3[#All],6,FALSE)</f>
        <v>3</v>
      </c>
      <c r="G160" s="2">
        <f>VLOOKUP(A160,Table3[#All],7,FALSE)</f>
        <v>67357</v>
      </c>
      <c r="H160" s="2">
        <f>VLOOKUP(A160,Table3[#All],8,FALSE)</f>
        <v>15</v>
      </c>
      <c r="I160" s="2">
        <f>VLOOKUP(A160,Table3[#All],9,FALSE)</f>
        <v>48</v>
      </c>
      <c r="J160" s="2">
        <f>VLOOKUP(A160,Table3[#All],10,FALSE)</f>
        <v>2</v>
      </c>
      <c r="K160" s="2">
        <f>VLOOKUP(A160,Table3[#All],11,FALSE)</f>
        <v>100</v>
      </c>
      <c r="L160" s="2" t="str">
        <f>VLOOKUP(A160,Table3[#All],12,FALSE)</f>
        <v>Pune</v>
      </c>
      <c r="M160" s="2" t="str">
        <f t="shared" si="2"/>
        <v>Eligible</v>
      </c>
    </row>
    <row r="161" spans="1:13" hidden="1" x14ac:dyDescent="0.25">
      <c r="A161" s="5" t="s">
        <v>484</v>
      </c>
      <c r="B161" s="2" t="str">
        <f>VLOOKUP(A161,Table3[#All],2,FALSE)</f>
        <v>Deepa</v>
      </c>
      <c r="C161" s="2" t="str">
        <f>VLOOKUP(A161,Table3[#All],3,FALSE)</f>
        <v>HR</v>
      </c>
      <c r="D161" s="2">
        <f>VLOOKUP(A161,Table3[#All],4,FALSE)</f>
        <v>38</v>
      </c>
      <c r="E161" s="2" t="str">
        <f>VLOOKUP(A161,Table3[#All],5,FALSE)</f>
        <v>Female</v>
      </c>
      <c r="F161" s="2">
        <f>VLOOKUP(A161,Table3[#All],6,FALSE)</f>
        <v>9</v>
      </c>
      <c r="G161" s="2">
        <f>VLOOKUP(A161,Table3[#All],7,FALSE)</f>
        <v>32912</v>
      </c>
      <c r="H161" s="2">
        <f>VLOOKUP(A161,Table3[#All],8,FALSE)</f>
        <v>13</v>
      </c>
      <c r="I161" s="2">
        <f>VLOOKUP(A161,Table3[#All],9,FALSE)</f>
        <v>44</v>
      </c>
      <c r="J161" s="2">
        <f>VLOOKUP(A161,Table3[#All],10,FALSE)</f>
        <v>5</v>
      </c>
      <c r="K161" s="2">
        <f>VLOOKUP(A161,Table3[#All],11,FALSE)</f>
        <v>90</v>
      </c>
      <c r="L161" s="2" t="str">
        <f>VLOOKUP(A161,Table3[#All],12,FALSE)</f>
        <v>Pune</v>
      </c>
      <c r="M161" s="2" t="str">
        <f t="shared" si="2"/>
        <v>Not Eligible</v>
      </c>
    </row>
    <row r="162" spans="1:13" hidden="1" x14ac:dyDescent="0.25">
      <c r="A162" s="5" t="s">
        <v>204</v>
      </c>
      <c r="B162" s="2" t="str">
        <f>VLOOKUP(A162,Table3[#All],2,FALSE)</f>
        <v>Ravi</v>
      </c>
      <c r="C162" s="2" t="str">
        <f>VLOOKUP(A162,Table3[#All],3,FALSE)</f>
        <v>Finance</v>
      </c>
      <c r="D162" s="2">
        <f>VLOOKUP(A162,Table3[#All],4,FALSE)</f>
        <v>33</v>
      </c>
      <c r="E162" s="2" t="str">
        <f>VLOOKUP(A162,Table3[#All],5,FALSE)</f>
        <v>Male</v>
      </c>
      <c r="F162" s="2">
        <f>VLOOKUP(A162,Table3[#All],6,FALSE)</f>
        <v>1</v>
      </c>
      <c r="G162" s="2">
        <f>VLOOKUP(A162,Table3[#All],7,FALSE)</f>
        <v>32274</v>
      </c>
      <c r="H162" s="2">
        <f>VLOOKUP(A162,Table3[#All],8,FALSE)</f>
        <v>15</v>
      </c>
      <c r="I162" s="2">
        <f>VLOOKUP(A162,Table3[#All],9,FALSE)</f>
        <v>45</v>
      </c>
      <c r="J162" s="2">
        <f>VLOOKUP(A162,Table3[#All],10,FALSE)</f>
        <v>3</v>
      </c>
      <c r="K162" s="2">
        <f>VLOOKUP(A162,Table3[#All],11,FALSE)</f>
        <v>96</v>
      </c>
      <c r="L162" s="2" t="str">
        <f>VLOOKUP(A162,Table3[#All],12,FALSE)</f>
        <v>Pune</v>
      </c>
      <c r="M162" s="2" t="str">
        <f t="shared" si="2"/>
        <v>Eligible</v>
      </c>
    </row>
    <row r="163" spans="1:13" x14ac:dyDescent="0.25">
      <c r="A163" s="6" t="s">
        <v>663</v>
      </c>
      <c r="B163" s="2" t="str">
        <f>VLOOKUP(A163,Table3[#All],2,FALSE)</f>
        <v>Karthik</v>
      </c>
      <c r="C163" s="2" t="str">
        <f>VLOOKUP(A163,Table3[#All],3,FALSE)</f>
        <v>IT</v>
      </c>
      <c r="D163" s="2">
        <f>VLOOKUP(A163,Table3[#All],4,FALSE)</f>
        <v>29</v>
      </c>
      <c r="E163" s="2" t="str">
        <f>VLOOKUP(A163,Table3[#All],5,FALSE)</f>
        <v>Male</v>
      </c>
      <c r="F163" s="2">
        <f>VLOOKUP(A163,Table3[#All],6,FALSE)</f>
        <v>7</v>
      </c>
      <c r="G163" s="2">
        <f>VLOOKUP(A163,Table3[#All],7,FALSE)</f>
        <v>33228</v>
      </c>
      <c r="H163" s="2">
        <f>VLOOKUP(A163,Table3[#All],8,FALSE)</f>
        <v>15</v>
      </c>
      <c r="I163" s="2">
        <f>VLOOKUP(A163,Table3[#All],9,FALSE)</f>
        <v>42</v>
      </c>
      <c r="J163" s="2">
        <f>VLOOKUP(A163,Table3[#All],10,FALSE)</f>
        <v>5</v>
      </c>
      <c r="K163" s="2">
        <f>VLOOKUP(A163,Table3[#All],11,FALSE)</f>
        <v>92</v>
      </c>
      <c r="L163" s="2" t="str">
        <f>VLOOKUP(A163,Table3[#All],12,FALSE)</f>
        <v>Hyderabad</v>
      </c>
      <c r="M163" s="2" t="str">
        <f t="shared" si="2"/>
        <v>Not Eligible</v>
      </c>
    </row>
    <row r="164" spans="1:13" x14ac:dyDescent="0.25">
      <c r="A164" s="5" t="s">
        <v>558</v>
      </c>
      <c r="B164" s="2" t="str">
        <f>VLOOKUP(A164,Table3[#All],2,FALSE)</f>
        <v>Kavya</v>
      </c>
      <c r="C164" s="2" t="str">
        <f>VLOOKUP(A164,Table3[#All],3,FALSE)</f>
        <v>Sales</v>
      </c>
      <c r="D164" s="2">
        <f>VLOOKUP(A164,Table3[#All],4,FALSE)</f>
        <v>25</v>
      </c>
      <c r="E164" s="2" t="str">
        <f>VLOOKUP(A164,Table3[#All],5,FALSE)</f>
        <v>Male</v>
      </c>
      <c r="F164" s="2">
        <f>VLOOKUP(A164,Table3[#All],6,FALSE)</f>
        <v>6</v>
      </c>
      <c r="G164" s="2">
        <f>VLOOKUP(A164,Table3[#All],7,FALSE)</f>
        <v>33393</v>
      </c>
      <c r="H164" s="2">
        <f>VLOOKUP(A164,Table3[#All],8,FALSE)</f>
        <v>12</v>
      </c>
      <c r="I164" s="2">
        <f>VLOOKUP(A164,Table3[#All],9,FALSE)</f>
        <v>47</v>
      </c>
      <c r="J164" s="2">
        <f>VLOOKUP(A164,Table3[#All],10,FALSE)</f>
        <v>4</v>
      </c>
      <c r="K164" s="2">
        <f>VLOOKUP(A164,Table3[#All],11,FALSE)</f>
        <v>91</v>
      </c>
      <c r="L164" s="2" t="str">
        <f>VLOOKUP(A164,Table3[#All],12,FALSE)</f>
        <v>Delhi</v>
      </c>
      <c r="M164" s="2" t="str">
        <f t="shared" si="2"/>
        <v>Not Eligible</v>
      </c>
    </row>
    <row r="165" spans="1:13" hidden="1" x14ac:dyDescent="0.25">
      <c r="A165" s="5" t="s">
        <v>380</v>
      </c>
      <c r="B165" s="2" t="str">
        <f>VLOOKUP(A165,Table3[#All],2,FALSE)</f>
        <v>Ajay</v>
      </c>
      <c r="C165" s="2" t="str">
        <f>VLOOKUP(A165,Table3[#All],3,FALSE)</f>
        <v>HR</v>
      </c>
      <c r="D165" s="2">
        <f>VLOOKUP(A165,Table3[#All],4,FALSE)</f>
        <v>32</v>
      </c>
      <c r="E165" s="2" t="str">
        <f>VLOOKUP(A165,Table3[#All],5,FALSE)</f>
        <v>Male</v>
      </c>
      <c r="F165" s="2">
        <f>VLOOKUP(A165,Table3[#All],6,FALSE)</f>
        <v>5</v>
      </c>
      <c r="G165" s="2">
        <f>VLOOKUP(A165,Table3[#All],7,FALSE)</f>
        <v>33493</v>
      </c>
      <c r="H165" s="2">
        <f>VLOOKUP(A165,Table3[#All],8,FALSE)</f>
        <v>9</v>
      </c>
      <c r="I165" s="2">
        <f>VLOOKUP(A165,Table3[#All],9,FALSE)</f>
        <v>40</v>
      </c>
      <c r="J165" s="2">
        <f>VLOOKUP(A165,Table3[#All],10,FALSE)</f>
        <v>3</v>
      </c>
      <c r="K165" s="2">
        <f>VLOOKUP(A165,Table3[#All],11,FALSE)</f>
        <v>88</v>
      </c>
      <c r="L165" s="2" t="str">
        <f>VLOOKUP(A165,Table3[#All],12,FALSE)</f>
        <v>Bangalore</v>
      </c>
      <c r="M165" s="2" t="str">
        <f t="shared" si="2"/>
        <v>Not Eligible</v>
      </c>
    </row>
    <row r="166" spans="1:13" x14ac:dyDescent="0.25">
      <c r="A166" s="5" t="s">
        <v>132</v>
      </c>
      <c r="B166" s="2" t="str">
        <f>VLOOKUP(A166,Table3[#All],2,FALSE)</f>
        <v>Lakshmi</v>
      </c>
      <c r="C166" s="2" t="str">
        <f>VLOOKUP(A166,Table3[#All],3,FALSE)</f>
        <v>IT</v>
      </c>
      <c r="D166" s="2">
        <f>VLOOKUP(A166,Table3[#All],4,FALSE)</f>
        <v>40</v>
      </c>
      <c r="E166" s="2" t="str">
        <f>VLOOKUP(A166,Table3[#All],5,FALSE)</f>
        <v>Male</v>
      </c>
      <c r="F166" s="2">
        <f>VLOOKUP(A166,Table3[#All],6,FALSE)</f>
        <v>14</v>
      </c>
      <c r="G166" s="2">
        <f>VLOOKUP(A166,Table3[#All],7,FALSE)</f>
        <v>33562</v>
      </c>
      <c r="H166" s="2">
        <f>VLOOKUP(A166,Table3[#All],8,FALSE)</f>
        <v>14</v>
      </c>
      <c r="I166" s="2">
        <f>VLOOKUP(A166,Table3[#All],9,FALSE)</f>
        <v>48</v>
      </c>
      <c r="J166" s="2">
        <f>VLOOKUP(A166,Table3[#All],10,FALSE)</f>
        <v>1</v>
      </c>
      <c r="K166" s="2">
        <f>VLOOKUP(A166,Table3[#All],11,FALSE)</f>
        <v>95</v>
      </c>
      <c r="L166" s="2" t="str">
        <f>VLOOKUP(A166,Table3[#All],12,FALSE)</f>
        <v>Pune</v>
      </c>
      <c r="M166" s="2" t="str">
        <f t="shared" si="2"/>
        <v>Eligible</v>
      </c>
    </row>
    <row r="167" spans="1:13" x14ac:dyDescent="0.25">
      <c r="A167" s="6" t="s">
        <v>629</v>
      </c>
      <c r="B167" s="2" t="str">
        <f>VLOOKUP(A167,Table3[#All],2,FALSE)</f>
        <v>Rekha</v>
      </c>
      <c r="C167" s="2" t="str">
        <f>VLOOKUP(A167,Table3[#All],3,FALSE)</f>
        <v>IT</v>
      </c>
      <c r="D167" s="2">
        <f>VLOOKUP(A167,Table3[#All],4,FALSE)</f>
        <v>25</v>
      </c>
      <c r="E167" s="2" t="str">
        <f>VLOOKUP(A167,Table3[#All],5,FALSE)</f>
        <v>Male</v>
      </c>
      <c r="F167" s="2">
        <f>VLOOKUP(A167,Table3[#All],6,FALSE)</f>
        <v>5</v>
      </c>
      <c r="G167" s="2">
        <f>VLOOKUP(A167,Table3[#All],7,FALSE)</f>
        <v>33579</v>
      </c>
      <c r="H167" s="2">
        <f>VLOOKUP(A167,Table3[#All],8,FALSE)</f>
        <v>10</v>
      </c>
      <c r="I167" s="2">
        <f>VLOOKUP(A167,Table3[#All],9,FALSE)</f>
        <v>36</v>
      </c>
      <c r="J167" s="2">
        <f>VLOOKUP(A167,Table3[#All],10,FALSE)</f>
        <v>5</v>
      </c>
      <c r="K167" s="2">
        <f>VLOOKUP(A167,Table3[#All],11,FALSE)</f>
        <v>91</v>
      </c>
      <c r="L167" s="2" t="str">
        <f>VLOOKUP(A167,Table3[#All],12,FALSE)</f>
        <v>Mumbai</v>
      </c>
      <c r="M167" s="2" t="str">
        <f t="shared" si="2"/>
        <v>Not Eligible</v>
      </c>
    </row>
    <row r="168" spans="1:13" hidden="1" x14ac:dyDescent="0.25">
      <c r="A168" s="6" t="s">
        <v>85</v>
      </c>
      <c r="B168" s="2" t="str">
        <f>VLOOKUP(A168,Table3[#All],2,FALSE)</f>
        <v>Ramesh</v>
      </c>
      <c r="C168" s="2" t="str">
        <f>VLOOKUP(A168,Table3[#All],3,FALSE)</f>
        <v>Sales</v>
      </c>
      <c r="D168" s="2">
        <f>VLOOKUP(A168,Table3[#All],4,FALSE)</f>
        <v>31</v>
      </c>
      <c r="E168" s="2" t="str">
        <f>VLOOKUP(A168,Table3[#All],5,FALSE)</f>
        <v>Male</v>
      </c>
      <c r="F168" s="2">
        <f>VLOOKUP(A168,Table3[#All],6,FALSE)</f>
        <v>6</v>
      </c>
      <c r="G168" s="2">
        <f>VLOOKUP(A168,Table3[#All],7,FALSE)</f>
        <v>33715</v>
      </c>
      <c r="H168" s="2">
        <f>VLOOKUP(A168,Table3[#All],8,FALSE)</f>
        <v>10</v>
      </c>
      <c r="I168" s="2">
        <f>VLOOKUP(A168,Table3[#All],9,FALSE)</f>
        <v>48</v>
      </c>
      <c r="J168" s="2">
        <f>VLOOKUP(A168,Table3[#All],10,FALSE)</f>
        <v>3</v>
      </c>
      <c r="K168" s="2">
        <f>VLOOKUP(A168,Table3[#All],11,FALSE)</f>
        <v>88</v>
      </c>
      <c r="L168" s="2" t="str">
        <f>VLOOKUP(A168,Table3[#All],12,FALSE)</f>
        <v>Bangalore</v>
      </c>
      <c r="M168" s="2" t="str">
        <f t="shared" si="2"/>
        <v>Not Eligible</v>
      </c>
    </row>
    <row r="169" spans="1:13" hidden="1" x14ac:dyDescent="0.25">
      <c r="A169" s="5" t="s">
        <v>670</v>
      </c>
      <c r="B169" s="2" t="str">
        <f>VLOOKUP(A169,Table3[#All],2,FALSE)</f>
        <v>Ajay</v>
      </c>
      <c r="C169" s="2" t="str">
        <f>VLOOKUP(A169,Table3[#All],3,FALSE)</f>
        <v>Sales</v>
      </c>
      <c r="D169" s="2">
        <f>VLOOKUP(A169,Table3[#All],4,FALSE)</f>
        <v>27</v>
      </c>
      <c r="E169" s="2" t="str">
        <f>VLOOKUP(A169,Table3[#All],5,FALSE)</f>
        <v>Female</v>
      </c>
      <c r="F169" s="2">
        <f>VLOOKUP(A169,Table3[#All],6,FALSE)</f>
        <v>12</v>
      </c>
      <c r="G169" s="2">
        <f>VLOOKUP(A169,Table3[#All],7,FALSE)</f>
        <v>33737</v>
      </c>
      <c r="H169" s="2">
        <f>VLOOKUP(A169,Table3[#All],8,FALSE)</f>
        <v>3</v>
      </c>
      <c r="I169" s="2">
        <f>VLOOKUP(A169,Table3[#All],9,FALSE)</f>
        <v>46</v>
      </c>
      <c r="J169" s="2">
        <f>VLOOKUP(A169,Table3[#All],10,FALSE)</f>
        <v>1</v>
      </c>
      <c r="K169" s="2">
        <f>VLOOKUP(A169,Table3[#All],11,FALSE)</f>
        <v>88</v>
      </c>
      <c r="L169" s="2" t="str">
        <f>VLOOKUP(A169,Table3[#All],12,FALSE)</f>
        <v>Delhi</v>
      </c>
      <c r="M169" s="2" t="str">
        <f t="shared" si="2"/>
        <v>Not Eligible</v>
      </c>
    </row>
    <row r="170" spans="1:13" hidden="1" x14ac:dyDescent="0.25">
      <c r="A170" s="5" t="s">
        <v>118</v>
      </c>
      <c r="B170" s="2" t="str">
        <f>VLOOKUP(A170,Table3[#All],2,FALSE)</f>
        <v>Meena</v>
      </c>
      <c r="C170" s="2" t="str">
        <f>VLOOKUP(A170,Table3[#All],3,FALSE)</f>
        <v>Sales</v>
      </c>
      <c r="D170" s="2">
        <f>VLOOKUP(A170,Table3[#All],4,FALSE)</f>
        <v>39</v>
      </c>
      <c r="E170" s="2" t="str">
        <f>VLOOKUP(A170,Table3[#All],5,FALSE)</f>
        <v>Female</v>
      </c>
      <c r="F170" s="2">
        <f>VLOOKUP(A170,Table3[#All],6,FALSE)</f>
        <v>15</v>
      </c>
      <c r="G170" s="2">
        <f>VLOOKUP(A170,Table3[#All],7,FALSE)</f>
        <v>33769</v>
      </c>
      <c r="H170" s="2">
        <f>VLOOKUP(A170,Table3[#All],8,FALSE)</f>
        <v>8</v>
      </c>
      <c r="I170" s="2">
        <f>VLOOKUP(A170,Table3[#All],9,FALSE)</f>
        <v>43</v>
      </c>
      <c r="J170" s="2">
        <f>VLOOKUP(A170,Table3[#All],10,FALSE)</f>
        <v>3</v>
      </c>
      <c r="K170" s="2">
        <f>VLOOKUP(A170,Table3[#All],11,FALSE)</f>
        <v>91</v>
      </c>
      <c r="L170" s="2" t="str">
        <f>VLOOKUP(A170,Table3[#All],12,FALSE)</f>
        <v>Hyderabad</v>
      </c>
      <c r="M170" s="2" t="str">
        <f t="shared" si="2"/>
        <v>Not Eligible</v>
      </c>
    </row>
    <row r="171" spans="1:13" hidden="1" x14ac:dyDescent="0.25">
      <c r="A171" s="5" t="s">
        <v>942</v>
      </c>
      <c r="B171" s="2" t="str">
        <f>VLOOKUP(A171,Table3[#All],2,FALSE)</f>
        <v>Kavya</v>
      </c>
      <c r="C171" s="2" t="str">
        <f>VLOOKUP(A171,Table3[#All],3,FALSE)</f>
        <v>HR</v>
      </c>
      <c r="D171" s="2">
        <f>VLOOKUP(A171,Table3[#All],4,FALSE)</f>
        <v>35</v>
      </c>
      <c r="E171" s="2" t="str">
        <f>VLOOKUP(A171,Table3[#All],5,FALSE)</f>
        <v>Male</v>
      </c>
      <c r="F171" s="2">
        <f>VLOOKUP(A171,Table3[#All],6,FALSE)</f>
        <v>8</v>
      </c>
      <c r="G171" s="2">
        <f>VLOOKUP(A171,Table3[#All],7,FALSE)</f>
        <v>33895</v>
      </c>
      <c r="H171" s="2">
        <f>VLOOKUP(A171,Table3[#All],8,FALSE)</f>
        <v>6</v>
      </c>
      <c r="I171" s="2">
        <f>VLOOKUP(A171,Table3[#All],9,FALSE)</f>
        <v>42</v>
      </c>
      <c r="J171" s="2">
        <f>VLOOKUP(A171,Table3[#All],10,FALSE)</f>
        <v>5</v>
      </c>
      <c r="K171" s="2">
        <f>VLOOKUP(A171,Table3[#All],11,FALSE)</f>
        <v>97</v>
      </c>
      <c r="L171" s="2" t="str">
        <f>VLOOKUP(A171,Table3[#All],12,FALSE)</f>
        <v>Hyderabad</v>
      </c>
      <c r="M171" s="2" t="str">
        <f t="shared" si="2"/>
        <v>Eligible</v>
      </c>
    </row>
    <row r="172" spans="1:13" hidden="1" x14ac:dyDescent="0.25">
      <c r="A172" s="5" t="s">
        <v>214</v>
      </c>
      <c r="B172" s="2" t="str">
        <f>VLOOKUP(A172,Table3[#All],2,FALSE)</f>
        <v>Arun</v>
      </c>
      <c r="C172" s="2" t="str">
        <f>VLOOKUP(A172,Table3[#All],3,FALSE)</f>
        <v>IT</v>
      </c>
      <c r="D172" s="2">
        <f>VLOOKUP(A172,Table3[#All],4,FALSE)</f>
        <v>33</v>
      </c>
      <c r="E172" s="2" t="str">
        <f>VLOOKUP(A172,Table3[#All],5,FALSE)</f>
        <v>Female</v>
      </c>
      <c r="F172" s="2">
        <f>VLOOKUP(A172,Table3[#All],6,FALSE)</f>
        <v>1</v>
      </c>
      <c r="G172" s="2">
        <f>VLOOKUP(A172,Table3[#All],7,FALSE)</f>
        <v>25431</v>
      </c>
      <c r="H172" s="2">
        <f>VLOOKUP(A172,Table3[#All],8,FALSE)</f>
        <v>11</v>
      </c>
      <c r="I172" s="2">
        <f>VLOOKUP(A172,Table3[#All],9,FALSE)</f>
        <v>39</v>
      </c>
      <c r="J172" s="2">
        <f>VLOOKUP(A172,Table3[#All],10,FALSE)</f>
        <v>2</v>
      </c>
      <c r="K172" s="2">
        <f>VLOOKUP(A172,Table3[#All],11,FALSE)</f>
        <v>98</v>
      </c>
      <c r="L172" s="2" t="str">
        <f>VLOOKUP(A172,Table3[#All],12,FALSE)</f>
        <v>Hyderabad</v>
      </c>
      <c r="M172" s="2" t="str">
        <f t="shared" si="2"/>
        <v>Eligible</v>
      </c>
    </row>
    <row r="173" spans="1:13" hidden="1" x14ac:dyDescent="0.25">
      <c r="A173" s="6" t="s">
        <v>1011</v>
      </c>
      <c r="B173" s="2" t="str">
        <f>VLOOKUP(A173,Table3[#All],2,FALSE)</f>
        <v>Priya</v>
      </c>
      <c r="C173" s="2" t="str">
        <f>VLOOKUP(A173,Table3[#All],3,FALSE)</f>
        <v>HR</v>
      </c>
      <c r="D173" s="2">
        <f>VLOOKUP(A173,Table3[#All],4,FALSE)</f>
        <v>40</v>
      </c>
      <c r="E173" s="2" t="str">
        <f>VLOOKUP(A173,Table3[#All],5,FALSE)</f>
        <v>Male</v>
      </c>
      <c r="F173" s="2">
        <f>VLOOKUP(A173,Table3[#All],6,FALSE)</f>
        <v>11</v>
      </c>
      <c r="G173" s="2">
        <f>VLOOKUP(A173,Table3[#All],7,FALSE)</f>
        <v>33901</v>
      </c>
      <c r="H173" s="2">
        <f>VLOOKUP(A173,Table3[#All],8,FALSE)</f>
        <v>9</v>
      </c>
      <c r="I173" s="2">
        <f>VLOOKUP(A173,Table3[#All],9,FALSE)</f>
        <v>46</v>
      </c>
      <c r="J173" s="2">
        <f>VLOOKUP(A173,Table3[#All],10,FALSE)</f>
        <v>2</v>
      </c>
      <c r="K173" s="2">
        <f>VLOOKUP(A173,Table3[#All],11,FALSE)</f>
        <v>86</v>
      </c>
      <c r="L173" s="2" t="str">
        <f>VLOOKUP(A173,Table3[#All],12,FALSE)</f>
        <v>Chennai</v>
      </c>
      <c r="M173" s="2" t="str">
        <f t="shared" si="2"/>
        <v>Not Eligible</v>
      </c>
    </row>
    <row r="174" spans="1:13" hidden="1" x14ac:dyDescent="0.25">
      <c r="A174" s="5" t="s">
        <v>564</v>
      </c>
      <c r="B174" s="2" t="str">
        <f>VLOOKUP(A174,Table3[#All],2,FALSE)</f>
        <v>Manoj</v>
      </c>
      <c r="C174" s="2" t="str">
        <f>VLOOKUP(A174,Table3[#All],3,FALSE)</f>
        <v>IT</v>
      </c>
      <c r="D174" s="2">
        <f>VLOOKUP(A174,Table3[#All],4,FALSE)</f>
        <v>28</v>
      </c>
      <c r="E174" s="2" t="str">
        <f>VLOOKUP(A174,Table3[#All],5,FALSE)</f>
        <v>Male</v>
      </c>
      <c r="F174" s="2">
        <f>VLOOKUP(A174,Table3[#All],6,FALSE)</f>
        <v>9</v>
      </c>
      <c r="G174" s="2">
        <f>VLOOKUP(A174,Table3[#All],7,FALSE)</f>
        <v>33955</v>
      </c>
      <c r="H174" s="2">
        <f>VLOOKUP(A174,Table3[#All],8,FALSE)</f>
        <v>3</v>
      </c>
      <c r="I174" s="2">
        <f>VLOOKUP(A174,Table3[#All],9,FALSE)</f>
        <v>47</v>
      </c>
      <c r="J174" s="2">
        <f>VLOOKUP(A174,Table3[#All],10,FALSE)</f>
        <v>5</v>
      </c>
      <c r="K174" s="2">
        <f>VLOOKUP(A174,Table3[#All],11,FALSE)</f>
        <v>89</v>
      </c>
      <c r="L174" s="2" t="str">
        <f>VLOOKUP(A174,Table3[#All],12,FALSE)</f>
        <v>Pune</v>
      </c>
      <c r="M174" s="2" t="str">
        <f t="shared" si="2"/>
        <v>Not Eligible</v>
      </c>
    </row>
    <row r="175" spans="1:13" hidden="1" x14ac:dyDescent="0.25">
      <c r="A175" s="6" t="s">
        <v>581</v>
      </c>
      <c r="B175" s="2" t="str">
        <f>VLOOKUP(A175,Table3[#All],2,FALSE)</f>
        <v>Kavya</v>
      </c>
      <c r="C175" s="2" t="str">
        <f>VLOOKUP(A175,Table3[#All],3,FALSE)</f>
        <v>Sales</v>
      </c>
      <c r="D175" s="2">
        <f>VLOOKUP(A175,Table3[#All],4,FALSE)</f>
        <v>29</v>
      </c>
      <c r="E175" s="2" t="str">
        <f>VLOOKUP(A175,Table3[#All],5,FALSE)</f>
        <v>Male</v>
      </c>
      <c r="F175" s="2">
        <f>VLOOKUP(A175,Table3[#All],6,FALSE)</f>
        <v>11</v>
      </c>
      <c r="G175" s="2">
        <f>VLOOKUP(A175,Table3[#All],7,FALSE)</f>
        <v>34025</v>
      </c>
      <c r="H175" s="2">
        <f>VLOOKUP(A175,Table3[#All],8,FALSE)</f>
        <v>5</v>
      </c>
      <c r="I175" s="2">
        <f>VLOOKUP(A175,Table3[#All],9,FALSE)</f>
        <v>39</v>
      </c>
      <c r="J175" s="2">
        <f>VLOOKUP(A175,Table3[#All],10,FALSE)</f>
        <v>2</v>
      </c>
      <c r="K175" s="2">
        <f>VLOOKUP(A175,Table3[#All],11,FALSE)</f>
        <v>86</v>
      </c>
      <c r="L175" s="2" t="str">
        <f>VLOOKUP(A175,Table3[#All],12,FALSE)</f>
        <v>Mumbai</v>
      </c>
      <c r="M175" s="2" t="str">
        <f t="shared" si="2"/>
        <v>Not Eligible</v>
      </c>
    </row>
    <row r="176" spans="1:13" x14ac:dyDescent="0.25">
      <c r="A176" s="5" t="s">
        <v>212</v>
      </c>
      <c r="B176" s="2" t="str">
        <f>VLOOKUP(A176,Table3[#All],2,FALSE)</f>
        <v>Ravi</v>
      </c>
      <c r="C176" s="2" t="str">
        <f>VLOOKUP(A176,Table3[#All],3,FALSE)</f>
        <v>Sales</v>
      </c>
      <c r="D176" s="2">
        <f>VLOOKUP(A176,Table3[#All],4,FALSE)</f>
        <v>37</v>
      </c>
      <c r="E176" s="2" t="str">
        <f>VLOOKUP(A176,Table3[#All],5,FALSE)</f>
        <v>Female</v>
      </c>
      <c r="F176" s="2">
        <f>VLOOKUP(A176,Table3[#All],6,FALSE)</f>
        <v>9</v>
      </c>
      <c r="G176" s="2">
        <f>VLOOKUP(A176,Table3[#All],7,FALSE)</f>
        <v>34346</v>
      </c>
      <c r="H176" s="2">
        <f>VLOOKUP(A176,Table3[#All],8,FALSE)</f>
        <v>15</v>
      </c>
      <c r="I176" s="2">
        <f>VLOOKUP(A176,Table3[#All],9,FALSE)</f>
        <v>45</v>
      </c>
      <c r="J176" s="2">
        <f>VLOOKUP(A176,Table3[#All],10,FALSE)</f>
        <v>2</v>
      </c>
      <c r="K176" s="2">
        <f>VLOOKUP(A176,Table3[#All],11,FALSE)</f>
        <v>96</v>
      </c>
      <c r="L176" s="2" t="str">
        <f>VLOOKUP(A176,Table3[#All],12,FALSE)</f>
        <v>Mumbai</v>
      </c>
      <c r="M176" s="2" t="str">
        <f t="shared" si="2"/>
        <v>Eligible</v>
      </c>
    </row>
    <row r="177" spans="1:13" hidden="1" x14ac:dyDescent="0.25">
      <c r="A177" s="6" t="s">
        <v>903</v>
      </c>
      <c r="B177" s="2" t="str">
        <f>VLOOKUP(A177,Table3[#All],2,FALSE)</f>
        <v>Meena</v>
      </c>
      <c r="C177" s="2" t="str">
        <f>VLOOKUP(A177,Table3[#All],3,FALSE)</f>
        <v>HR</v>
      </c>
      <c r="D177" s="2">
        <f>VLOOKUP(A177,Table3[#All],4,FALSE)</f>
        <v>38</v>
      </c>
      <c r="E177" s="2" t="str">
        <f>VLOOKUP(A177,Table3[#All],5,FALSE)</f>
        <v>Male</v>
      </c>
      <c r="F177" s="2">
        <f>VLOOKUP(A177,Table3[#All],6,FALSE)</f>
        <v>9</v>
      </c>
      <c r="G177" s="2">
        <f>VLOOKUP(A177,Table3[#All],7,FALSE)</f>
        <v>34348</v>
      </c>
      <c r="H177" s="2">
        <f>VLOOKUP(A177,Table3[#All],8,FALSE)</f>
        <v>4</v>
      </c>
      <c r="I177" s="2">
        <f>VLOOKUP(A177,Table3[#All],9,FALSE)</f>
        <v>45</v>
      </c>
      <c r="J177" s="2">
        <f>VLOOKUP(A177,Table3[#All],10,FALSE)</f>
        <v>4</v>
      </c>
      <c r="K177" s="2">
        <f>VLOOKUP(A177,Table3[#All],11,FALSE)</f>
        <v>92</v>
      </c>
      <c r="L177" s="2" t="str">
        <f>VLOOKUP(A177,Table3[#All],12,FALSE)</f>
        <v>Hyderabad</v>
      </c>
      <c r="M177" s="2" t="str">
        <f t="shared" si="2"/>
        <v>Not Eligible</v>
      </c>
    </row>
    <row r="178" spans="1:13" hidden="1" x14ac:dyDescent="0.25">
      <c r="A178" s="6" t="s">
        <v>937</v>
      </c>
      <c r="B178" s="2" t="str">
        <f>VLOOKUP(A178,Table3[#All],2,FALSE)</f>
        <v>Karthik</v>
      </c>
      <c r="C178" s="2" t="str">
        <f>VLOOKUP(A178,Table3[#All],3,FALSE)</f>
        <v>IT</v>
      </c>
      <c r="D178" s="2">
        <f>VLOOKUP(A178,Table3[#All],4,FALSE)</f>
        <v>27</v>
      </c>
      <c r="E178" s="2" t="str">
        <f>VLOOKUP(A178,Table3[#All],5,FALSE)</f>
        <v>Female</v>
      </c>
      <c r="F178" s="2">
        <f>VLOOKUP(A178,Table3[#All],6,FALSE)</f>
        <v>8</v>
      </c>
      <c r="G178" s="2">
        <f>VLOOKUP(A178,Table3[#All],7,FALSE)</f>
        <v>34398</v>
      </c>
      <c r="H178" s="2">
        <f>VLOOKUP(A178,Table3[#All],8,FALSE)</f>
        <v>12</v>
      </c>
      <c r="I178" s="2">
        <f>VLOOKUP(A178,Table3[#All],9,FALSE)</f>
        <v>48</v>
      </c>
      <c r="J178" s="2">
        <f>VLOOKUP(A178,Table3[#All],10,FALSE)</f>
        <v>1</v>
      </c>
      <c r="K178" s="2">
        <f>VLOOKUP(A178,Table3[#All],11,FALSE)</f>
        <v>90</v>
      </c>
      <c r="L178" s="2" t="str">
        <f>VLOOKUP(A178,Table3[#All],12,FALSE)</f>
        <v>Chennai</v>
      </c>
      <c r="M178" s="2" t="str">
        <f t="shared" si="2"/>
        <v>Not Eligible</v>
      </c>
    </row>
    <row r="179" spans="1:13" x14ac:dyDescent="0.25">
      <c r="A179" s="5" t="s">
        <v>442</v>
      </c>
      <c r="B179" s="2" t="str">
        <f>VLOOKUP(A179,Table3[#All],2,FALSE)</f>
        <v>Nisha</v>
      </c>
      <c r="C179" s="2" t="str">
        <f>VLOOKUP(A179,Table3[#All],3,FALSE)</f>
        <v>Sales</v>
      </c>
      <c r="D179" s="2">
        <f>VLOOKUP(A179,Table3[#All],4,FALSE)</f>
        <v>30</v>
      </c>
      <c r="E179" s="2" t="str">
        <f>VLOOKUP(A179,Table3[#All],5,FALSE)</f>
        <v>Female</v>
      </c>
      <c r="F179" s="2">
        <f>VLOOKUP(A179,Table3[#All],6,FALSE)</f>
        <v>9</v>
      </c>
      <c r="G179" s="2">
        <f>VLOOKUP(A179,Table3[#All],7,FALSE)</f>
        <v>34403</v>
      </c>
      <c r="H179" s="2">
        <f>VLOOKUP(A179,Table3[#All],8,FALSE)</f>
        <v>15</v>
      </c>
      <c r="I179" s="2">
        <f>VLOOKUP(A179,Table3[#All],9,FALSE)</f>
        <v>47</v>
      </c>
      <c r="J179" s="2">
        <f>VLOOKUP(A179,Table3[#All],10,FALSE)</f>
        <v>1</v>
      </c>
      <c r="K179" s="2">
        <f>VLOOKUP(A179,Table3[#All],11,FALSE)</f>
        <v>95</v>
      </c>
      <c r="L179" s="2" t="str">
        <f>VLOOKUP(A179,Table3[#All],12,FALSE)</f>
        <v>Pune</v>
      </c>
      <c r="M179" s="2" t="str">
        <f t="shared" si="2"/>
        <v>Eligible</v>
      </c>
    </row>
    <row r="180" spans="1:13" x14ac:dyDescent="0.25">
      <c r="A180" s="6" t="s">
        <v>203</v>
      </c>
      <c r="B180" s="2" t="str">
        <f>VLOOKUP(A180,Table3[#All],2,FALSE)</f>
        <v>Kavya</v>
      </c>
      <c r="C180" s="2" t="str">
        <f>VLOOKUP(A180,Table3[#All],3,FALSE)</f>
        <v>HR</v>
      </c>
      <c r="D180" s="2">
        <f>VLOOKUP(A180,Table3[#All],4,FALSE)</f>
        <v>23</v>
      </c>
      <c r="E180" s="2" t="str">
        <f>VLOOKUP(A180,Table3[#All],5,FALSE)</f>
        <v>Male</v>
      </c>
      <c r="F180" s="2">
        <f>VLOOKUP(A180,Table3[#All],6,FALSE)</f>
        <v>5</v>
      </c>
      <c r="G180" s="2">
        <f>VLOOKUP(A180,Table3[#All],7,FALSE)</f>
        <v>34524</v>
      </c>
      <c r="H180" s="2">
        <f>VLOOKUP(A180,Table3[#All],8,FALSE)</f>
        <v>10</v>
      </c>
      <c r="I180" s="2">
        <f>VLOOKUP(A180,Table3[#All],9,FALSE)</f>
        <v>43</v>
      </c>
      <c r="J180" s="2">
        <f>VLOOKUP(A180,Table3[#All],10,FALSE)</f>
        <v>4</v>
      </c>
      <c r="K180" s="2">
        <f>VLOOKUP(A180,Table3[#All],11,FALSE)</f>
        <v>92</v>
      </c>
      <c r="L180" s="2" t="str">
        <f>VLOOKUP(A180,Table3[#All],12,FALSE)</f>
        <v>Chennai</v>
      </c>
      <c r="M180" s="2" t="str">
        <f t="shared" si="2"/>
        <v>Not Eligible</v>
      </c>
    </row>
    <row r="181" spans="1:13" hidden="1" x14ac:dyDescent="0.25">
      <c r="A181" s="5" t="s">
        <v>416</v>
      </c>
      <c r="B181" s="2" t="str">
        <f>VLOOKUP(A181,Table3[#All],2,FALSE)</f>
        <v>Nisha</v>
      </c>
      <c r="C181" s="2" t="str">
        <f>VLOOKUP(A181,Table3[#All],3,FALSE)</f>
        <v>Sales</v>
      </c>
      <c r="D181" s="2">
        <f>VLOOKUP(A181,Table3[#All],4,FALSE)</f>
        <v>22</v>
      </c>
      <c r="E181" s="2" t="str">
        <f>VLOOKUP(A181,Table3[#All],5,FALSE)</f>
        <v>Male</v>
      </c>
      <c r="F181" s="2">
        <f>VLOOKUP(A181,Table3[#All],6,FALSE)</f>
        <v>8</v>
      </c>
      <c r="G181" s="2">
        <f>VLOOKUP(A181,Table3[#All],7,FALSE)</f>
        <v>34615</v>
      </c>
      <c r="H181" s="2">
        <f>VLOOKUP(A181,Table3[#All],8,FALSE)</f>
        <v>6</v>
      </c>
      <c r="I181" s="2">
        <f>VLOOKUP(A181,Table3[#All],9,FALSE)</f>
        <v>50</v>
      </c>
      <c r="J181" s="2">
        <f>VLOOKUP(A181,Table3[#All],10,FALSE)</f>
        <v>2</v>
      </c>
      <c r="K181" s="2">
        <f>VLOOKUP(A181,Table3[#All],11,FALSE)</f>
        <v>91</v>
      </c>
      <c r="L181" s="2" t="str">
        <f>VLOOKUP(A181,Table3[#All],12,FALSE)</f>
        <v>Chennai</v>
      </c>
      <c r="M181" s="2" t="str">
        <f t="shared" si="2"/>
        <v>Not Eligible</v>
      </c>
    </row>
    <row r="182" spans="1:13" hidden="1" x14ac:dyDescent="0.25">
      <c r="A182" s="5" t="s">
        <v>224</v>
      </c>
      <c r="B182" s="2" t="str">
        <f>VLOOKUP(A182,Table3[#All],2,FALSE)</f>
        <v>Manoj</v>
      </c>
      <c r="C182" s="2" t="str">
        <f>VLOOKUP(A182,Table3[#All],3,FALSE)</f>
        <v>HR</v>
      </c>
      <c r="D182" s="2">
        <f>VLOOKUP(A182,Table3[#All],4,FALSE)</f>
        <v>23</v>
      </c>
      <c r="E182" s="2" t="str">
        <f>VLOOKUP(A182,Table3[#All],5,FALSE)</f>
        <v>Female</v>
      </c>
      <c r="F182" s="2">
        <f>VLOOKUP(A182,Table3[#All],6,FALSE)</f>
        <v>3</v>
      </c>
      <c r="G182" s="2">
        <f>VLOOKUP(A182,Table3[#All],7,FALSE)</f>
        <v>43424</v>
      </c>
      <c r="H182" s="2">
        <f>VLOOKUP(A182,Table3[#All],8,FALSE)</f>
        <v>3</v>
      </c>
      <c r="I182" s="2">
        <f>VLOOKUP(A182,Table3[#All],9,FALSE)</f>
        <v>37</v>
      </c>
      <c r="J182" s="2">
        <f>VLOOKUP(A182,Table3[#All],10,FALSE)</f>
        <v>2</v>
      </c>
      <c r="K182" s="2">
        <f>VLOOKUP(A182,Table3[#All],11,FALSE)</f>
        <v>94</v>
      </c>
      <c r="L182" s="2" t="str">
        <f>VLOOKUP(A182,Table3[#All],12,FALSE)</f>
        <v>Delhi</v>
      </c>
      <c r="M182" s="2" t="str">
        <f t="shared" si="2"/>
        <v>Not Eligible</v>
      </c>
    </row>
    <row r="183" spans="1:13" x14ac:dyDescent="0.25">
      <c r="A183" s="6" t="s">
        <v>941</v>
      </c>
      <c r="B183" s="2" t="str">
        <f>VLOOKUP(A183,Table3[#All],2,FALSE)</f>
        <v>Sneha</v>
      </c>
      <c r="C183" s="2" t="str">
        <f>VLOOKUP(A183,Table3[#All],3,FALSE)</f>
        <v>Finance</v>
      </c>
      <c r="D183" s="2">
        <f>VLOOKUP(A183,Table3[#All],4,FALSE)</f>
        <v>36</v>
      </c>
      <c r="E183" s="2" t="str">
        <f>VLOOKUP(A183,Table3[#All],5,FALSE)</f>
        <v>Male</v>
      </c>
      <c r="F183" s="2">
        <f>VLOOKUP(A183,Table3[#All],6,FALSE)</f>
        <v>12</v>
      </c>
      <c r="G183" s="2">
        <f>VLOOKUP(A183,Table3[#All],7,FALSE)</f>
        <v>34653</v>
      </c>
      <c r="H183" s="2">
        <f>VLOOKUP(A183,Table3[#All],8,FALSE)</f>
        <v>13</v>
      </c>
      <c r="I183" s="2">
        <f>VLOOKUP(A183,Table3[#All],9,FALSE)</f>
        <v>39</v>
      </c>
      <c r="J183" s="2">
        <f>VLOOKUP(A183,Table3[#All],10,FALSE)</f>
        <v>1</v>
      </c>
      <c r="K183" s="2">
        <f>VLOOKUP(A183,Table3[#All],11,FALSE)</f>
        <v>100</v>
      </c>
      <c r="L183" s="2" t="str">
        <f>VLOOKUP(A183,Table3[#All],12,FALSE)</f>
        <v>Chennai</v>
      </c>
      <c r="M183" s="2" t="str">
        <f t="shared" si="2"/>
        <v>Eligible</v>
      </c>
    </row>
    <row r="184" spans="1:13" hidden="1" x14ac:dyDescent="0.25">
      <c r="A184" s="5" t="s">
        <v>398</v>
      </c>
      <c r="B184" s="2" t="str">
        <f>VLOOKUP(A184,Table3[#All],2,FALSE)</f>
        <v>Ramesh</v>
      </c>
      <c r="C184" s="2" t="str">
        <f>VLOOKUP(A184,Table3[#All],3,FALSE)</f>
        <v>HR</v>
      </c>
      <c r="D184" s="2">
        <f>VLOOKUP(A184,Table3[#All],4,FALSE)</f>
        <v>37</v>
      </c>
      <c r="E184" s="2" t="str">
        <f>VLOOKUP(A184,Table3[#All],5,FALSE)</f>
        <v>Male</v>
      </c>
      <c r="F184" s="2">
        <f>VLOOKUP(A184,Table3[#All],6,FALSE)</f>
        <v>11</v>
      </c>
      <c r="G184" s="2">
        <f>VLOOKUP(A184,Table3[#All],7,FALSE)</f>
        <v>34744</v>
      </c>
      <c r="H184" s="2">
        <f>VLOOKUP(A184,Table3[#All],8,FALSE)</f>
        <v>7</v>
      </c>
      <c r="I184" s="2">
        <f>VLOOKUP(A184,Table3[#All],9,FALSE)</f>
        <v>45</v>
      </c>
      <c r="J184" s="2">
        <f>VLOOKUP(A184,Table3[#All],10,FALSE)</f>
        <v>4</v>
      </c>
      <c r="K184" s="2">
        <f>VLOOKUP(A184,Table3[#All],11,FALSE)</f>
        <v>89</v>
      </c>
      <c r="L184" s="2" t="str">
        <f>VLOOKUP(A184,Table3[#All],12,FALSE)</f>
        <v>Chennai</v>
      </c>
      <c r="M184" s="2" t="str">
        <f t="shared" si="2"/>
        <v>Not Eligible</v>
      </c>
    </row>
    <row r="185" spans="1:13" x14ac:dyDescent="0.25">
      <c r="A185" s="5" t="s">
        <v>146</v>
      </c>
      <c r="B185" s="2" t="str">
        <f>VLOOKUP(A185,Table3[#All],2,FALSE)</f>
        <v>Arun</v>
      </c>
      <c r="C185" s="2" t="str">
        <f>VLOOKUP(A185,Table3[#All],3,FALSE)</f>
        <v>IT</v>
      </c>
      <c r="D185" s="2">
        <f>VLOOKUP(A185,Table3[#All],4,FALSE)</f>
        <v>35</v>
      </c>
      <c r="E185" s="2" t="str">
        <f>VLOOKUP(A185,Table3[#All],5,FALSE)</f>
        <v>Male</v>
      </c>
      <c r="F185" s="2">
        <f>VLOOKUP(A185,Table3[#All],6,FALSE)</f>
        <v>14</v>
      </c>
      <c r="G185" s="2">
        <f>VLOOKUP(A185,Table3[#All],7,FALSE)</f>
        <v>34750</v>
      </c>
      <c r="H185" s="2">
        <f>VLOOKUP(A185,Table3[#All],8,FALSE)</f>
        <v>15</v>
      </c>
      <c r="I185" s="2">
        <f>VLOOKUP(A185,Table3[#All],9,FALSE)</f>
        <v>45</v>
      </c>
      <c r="J185" s="2">
        <f>VLOOKUP(A185,Table3[#All],10,FALSE)</f>
        <v>1</v>
      </c>
      <c r="K185" s="2">
        <f>VLOOKUP(A185,Table3[#All],11,FALSE)</f>
        <v>97</v>
      </c>
      <c r="L185" s="2" t="str">
        <f>VLOOKUP(A185,Table3[#All],12,FALSE)</f>
        <v>Mumbai</v>
      </c>
      <c r="M185" s="2" t="str">
        <f t="shared" si="2"/>
        <v>Eligible</v>
      </c>
    </row>
    <row r="186" spans="1:13" x14ac:dyDescent="0.25">
      <c r="A186" s="5" t="s">
        <v>114</v>
      </c>
      <c r="B186" s="2" t="str">
        <f>VLOOKUP(A186,Table3[#All],2,FALSE)</f>
        <v>Rekha</v>
      </c>
      <c r="C186" s="2" t="str">
        <f>VLOOKUP(A186,Table3[#All],3,FALSE)</f>
        <v>Sales</v>
      </c>
      <c r="D186" s="2">
        <f>VLOOKUP(A186,Table3[#All],4,FALSE)</f>
        <v>25</v>
      </c>
      <c r="E186" s="2" t="str">
        <f>VLOOKUP(A186,Table3[#All],5,FALSE)</f>
        <v>Male</v>
      </c>
      <c r="F186" s="2">
        <f>VLOOKUP(A186,Table3[#All],6,FALSE)</f>
        <v>10</v>
      </c>
      <c r="G186" s="2">
        <f>VLOOKUP(A186,Table3[#All],7,FALSE)</f>
        <v>34778</v>
      </c>
      <c r="H186" s="2">
        <f>VLOOKUP(A186,Table3[#All],8,FALSE)</f>
        <v>12</v>
      </c>
      <c r="I186" s="2">
        <f>VLOOKUP(A186,Table3[#All],9,FALSE)</f>
        <v>37</v>
      </c>
      <c r="J186" s="2">
        <f>VLOOKUP(A186,Table3[#All],10,FALSE)</f>
        <v>5</v>
      </c>
      <c r="K186" s="2">
        <f>VLOOKUP(A186,Table3[#All],11,FALSE)</f>
        <v>92</v>
      </c>
      <c r="L186" s="2" t="str">
        <f>VLOOKUP(A186,Table3[#All],12,FALSE)</f>
        <v>Mumbai</v>
      </c>
      <c r="M186" s="2" t="str">
        <f t="shared" si="2"/>
        <v>Not Eligible</v>
      </c>
    </row>
    <row r="187" spans="1:13" hidden="1" x14ac:dyDescent="0.25">
      <c r="A187" s="5" t="s">
        <v>432</v>
      </c>
      <c r="B187" s="2" t="str">
        <f>VLOOKUP(A187,Table3[#All],2,FALSE)</f>
        <v>Suresh</v>
      </c>
      <c r="C187" s="2" t="str">
        <f>VLOOKUP(A187,Table3[#All],3,FALSE)</f>
        <v>Finance</v>
      </c>
      <c r="D187" s="2">
        <f>VLOOKUP(A187,Table3[#All],4,FALSE)</f>
        <v>28</v>
      </c>
      <c r="E187" s="2" t="str">
        <f>VLOOKUP(A187,Table3[#All],5,FALSE)</f>
        <v>Male</v>
      </c>
      <c r="F187" s="2">
        <f>VLOOKUP(A187,Table3[#All],6,FALSE)</f>
        <v>15</v>
      </c>
      <c r="G187" s="2">
        <f>VLOOKUP(A187,Table3[#All],7,FALSE)</f>
        <v>34788</v>
      </c>
      <c r="H187" s="2">
        <f>VLOOKUP(A187,Table3[#All],8,FALSE)</f>
        <v>4</v>
      </c>
      <c r="I187" s="2">
        <f>VLOOKUP(A187,Table3[#All],9,FALSE)</f>
        <v>42</v>
      </c>
      <c r="J187" s="2">
        <f>VLOOKUP(A187,Table3[#All],10,FALSE)</f>
        <v>3</v>
      </c>
      <c r="K187" s="2">
        <f>VLOOKUP(A187,Table3[#All],11,FALSE)</f>
        <v>97</v>
      </c>
      <c r="L187" s="2" t="str">
        <f>VLOOKUP(A187,Table3[#All],12,FALSE)</f>
        <v>Chennai</v>
      </c>
      <c r="M187" s="2" t="str">
        <f t="shared" si="2"/>
        <v>Eligible</v>
      </c>
    </row>
    <row r="188" spans="1:13" hidden="1" x14ac:dyDescent="0.25">
      <c r="A188" s="5" t="s">
        <v>940</v>
      </c>
      <c r="B188" s="2" t="str">
        <f>VLOOKUP(A188,Table3[#All],2,FALSE)</f>
        <v>Deepa</v>
      </c>
      <c r="C188" s="2" t="str">
        <f>VLOOKUP(A188,Table3[#All],3,FALSE)</f>
        <v>Sales</v>
      </c>
      <c r="D188" s="2">
        <f>VLOOKUP(A188,Table3[#All],4,FALSE)</f>
        <v>34</v>
      </c>
      <c r="E188" s="2" t="str">
        <f>VLOOKUP(A188,Table3[#All],5,FALSE)</f>
        <v>Male</v>
      </c>
      <c r="F188" s="2">
        <f>VLOOKUP(A188,Table3[#All],6,FALSE)</f>
        <v>9</v>
      </c>
      <c r="G188" s="2">
        <f>VLOOKUP(A188,Table3[#All],7,FALSE)</f>
        <v>34915</v>
      </c>
      <c r="H188" s="2">
        <f>VLOOKUP(A188,Table3[#All],8,FALSE)</f>
        <v>6</v>
      </c>
      <c r="I188" s="2">
        <f>VLOOKUP(A188,Table3[#All],9,FALSE)</f>
        <v>50</v>
      </c>
      <c r="J188" s="2">
        <f>VLOOKUP(A188,Table3[#All],10,FALSE)</f>
        <v>5</v>
      </c>
      <c r="K188" s="2">
        <f>VLOOKUP(A188,Table3[#All],11,FALSE)</f>
        <v>91</v>
      </c>
      <c r="L188" s="2" t="str">
        <f>VLOOKUP(A188,Table3[#All],12,FALSE)</f>
        <v>Hyderabad</v>
      </c>
      <c r="M188" s="2" t="str">
        <f t="shared" si="2"/>
        <v>Not Eligible</v>
      </c>
    </row>
    <row r="189" spans="1:13" hidden="1" x14ac:dyDescent="0.25">
      <c r="A189" s="6" t="s">
        <v>449</v>
      </c>
      <c r="B189" s="2" t="str">
        <f>VLOOKUP(A189,Table3[#All],2,FALSE)</f>
        <v>Manoj</v>
      </c>
      <c r="C189" s="2" t="str">
        <f>VLOOKUP(A189,Table3[#All],3,FALSE)</f>
        <v>Sales</v>
      </c>
      <c r="D189" s="2">
        <f>VLOOKUP(A189,Table3[#All],4,FALSE)</f>
        <v>25</v>
      </c>
      <c r="E189" s="2" t="str">
        <f>VLOOKUP(A189,Table3[#All],5,FALSE)</f>
        <v>Female</v>
      </c>
      <c r="F189" s="2">
        <f>VLOOKUP(A189,Table3[#All],6,FALSE)</f>
        <v>7</v>
      </c>
      <c r="G189" s="2">
        <f>VLOOKUP(A189,Table3[#All],7,FALSE)</f>
        <v>35049</v>
      </c>
      <c r="H189" s="2">
        <f>VLOOKUP(A189,Table3[#All],8,FALSE)</f>
        <v>6</v>
      </c>
      <c r="I189" s="2">
        <f>VLOOKUP(A189,Table3[#All],9,FALSE)</f>
        <v>50</v>
      </c>
      <c r="J189" s="2">
        <f>VLOOKUP(A189,Table3[#All],10,FALSE)</f>
        <v>1</v>
      </c>
      <c r="K189" s="2">
        <f>VLOOKUP(A189,Table3[#All],11,FALSE)</f>
        <v>89</v>
      </c>
      <c r="L189" s="2" t="str">
        <f>VLOOKUP(A189,Table3[#All],12,FALSE)</f>
        <v>Mumbai</v>
      </c>
      <c r="M189" s="2" t="str">
        <f t="shared" si="2"/>
        <v>Not Eligible</v>
      </c>
    </row>
    <row r="190" spans="1:13" x14ac:dyDescent="0.25">
      <c r="A190" s="6" t="s">
        <v>1013</v>
      </c>
      <c r="B190" s="2" t="str">
        <f>VLOOKUP(A190,Table3[#All],2,FALSE)</f>
        <v>Rekha</v>
      </c>
      <c r="C190" s="2" t="str">
        <f>VLOOKUP(A190,Table3[#All],3,FALSE)</f>
        <v>Finance</v>
      </c>
      <c r="D190" s="2">
        <f>VLOOKUP(A190,Table3[#All],4,FALSE)</f>
        <v>37</v>
      </c>
      <c r="E190" s="2" t="str">
        <f>VLOOKUP(A190,Table3[#All],5,FALSE)</f>
        <v>Female</v>
      </c>
      <c r="F190" s="2">
        <f>VLOOKUP(A190,Table3[#All],6,FALSE)</f>
        <v>12</v>
      </c>
      <c r="G190" s="2">
        <f>VLOOKUP(A190,Table3[#All],7,FALSE)</f>
        <v>35143</v>
      </c>
      <c r="H190" s="2">
        <f>VLOOKUP(A190,Table3[#All],8,FALSE)</f>
        <v>15</v>
      </c>
      <c r="I190" s="2">
        <f>VLOOKUP(A190,Table3[#All],9,FALSE)</f>
        <v>48</v>
      </c>
      <c r="J190" s="2">
        <f>VLOOKUP(A190,Table3[#All],10,FALSE)</f>
        <v>5</v>
      </c>
      <c r="K190" s="2">
        <f>VLOOKUP(A190,Table3[#All],11,FALSE)</f>
        <v>96</v>
      </c>
      <c r="L190" s="2" t="str">
        <f>VLOOKUP(A190,Table3[#All],12,FALSE)</f>
        <v>Mumbai</v>
      </c>
      <c r="M190" s="2" t="str">
        <f t="shared" si="2"/>
        <v>Eligible</v>
      </c>
    </row>
    <row r="191" spans="1:13" x14ac:dyDescent="0.25">
      <c r="A191" s="5" t="s">
        <v>790</v>
      </c>
      <c r="B191" s="2" t="str">
        <f>VLOOKUP(A191,Table3[#All],2,FALSE)</f>
        <v>Nisha</v>
      </c>
      <c r="C191" s="2" t="str">
        <f>VLOOKUP(A191,Table3[#All],3,FALSE)</f>
        <v>IT</v>
      </c>
      <c r="D191" s="2">
        <f>VLOOKUP(A191,Table3[#All],4,FALSE)</f>
        <v>40</v>
      </c>
      <c r="E191" s="2" t="str">
        <f>VLOOKUP(A191,Table3[#All],5,FALSE)</f>
        <v>Female</v>
      </c>
      <c r="F191" s="2">
        <f>VLOOKUP(A191,Table3[#All],6,FALSE)</f>
        <v>13</v>
      </c>
      <c r="G191" s="2">
        <f>VLOOKUP(A191,Table3[#All],7,FALSE)</f>
        <v>35225</v>
      </c>
      <c r="H191" s="2">
        <f>VLOOKUP(A191,Table3[#All],8,FALSE)</f>
        <v>10</v>
      </c>
      <c r="I191" s="2">
        <f>VLOOKUP(A191,Table3[#All],9,FALSE)</f>
        <v>36</v>
      </c>
      <c r="J191" s="2">
        <f>VLOOKUP(A191,Table3[#All],10,FALSE)</f>
        <v>1</v>
      </c>
      <c r="K191" s="2">
        <f>VLOOKUP(A191,Table3[#All],11,FALSE)</f>
        <v>92</v>
      </c>
      <c r="L191" s="2" t="str">
        <f>VLOOKUP(A191,Table3[#All],12,FALSE)</f>
        <v>Delhi</v>
      </c>
      <c r="M191" s="2" t="str">
        <f t="shared" si="2"/>
        <v>Not Eligible</v>
      </c>
    </row>
    <row r="192" spans="1:13" x14ac:dyDescent="0.25">
      <c r="A192" s="5" t="s">
        <v>112</v>
      </c>
      <c r="B192" s="2" t="str">
        <f>VLOOKUP(A192,Table3[#All],2,FALSE)</f>
        <v>Ramesh</v>
      </c>
      <c r="C192" s="2" t="str">
        <f>VLOOKUP(A192,Table3[#All],3,FALSE)</f>
        <v>Finance</v>
      </c>
      <c r="D192" s="2">
        <f>VLOOKUP(A192,Table3[#All],4,FALSE)</f>
        <v>39</v>
      </c>
      <c r="E192" s="2" t="str">
        <f>VLOOKUP(A192,Table3[#All],5,FALSE)</f>
        <v>Female</v>
      </c>
      <c r="F192" s="2">
        <f>VLOOKUP(A192,Table3[#All],6,FALSE)</f>
        <v>6</v>
      </c>
      <c r="G192" s="2">
        <f>VLOOKUP(A192,Table3[#All],7,FALSE)</f>
        <v>35241</v>
      </c>
      <c r="H192" s="2">
        <f>VLOOKUP(A192,Table3[#All],8,FALSE)</f>
        <v>11</v>
      </c>
      <c r="I192" s="2">
        <f>VLOOKUP(A192,Table3[#All],9,FALSE)</f>
        <v>47</v>
      </c>
      <c r="J192" s="2">
        <f>VLOOKUP(A192,Table3[#All],10,FALSE)</f>
        <v>3</v>
      </c>
      <c r="K192" s="2">
        <f>VLOOKUP(A192,Table3[#All],11,FALSE)</f>
        <v>96</v>
      </c>
      <c r="L192" s="2" t="str">
        <f>VLOOKUP(A192,Table3[#All],12,FALSE)</f>
        <v>Hyderabad</v>
      </c>
      <c r="M192" s="2" t="str">
        <f t="shared" si="2"/>
        <v>Eligible</v>
      </c>
    </row>
    <row r="193" spans="1:13" hidden="1" x14ac:dyDescent="0.25">
      <c r="A193" s="6" t="s">
        <v>235</v>
      </c>
      <c r="B193" s="2" t="str">
        <f>VLOOKUP(A193,Table3[#All],2,FALSE)</f>
        <v>Ramesh</v>
      </c>
      <c r="C193" s="2" t="str">
        <f>VLOOKUP(A193,Table3[#All],3,FALSE)</f>
        <v>HR</v>
      </c>
      <c r="D193" s="2">
        <f>VLOOKUP(A193,Table3[#All],4,FALSE)</f>
        <v>36</v>
      </c>
      <c r="E193" s="2" t="str">
        <f>VLOOKUP(A193,Table3[#All],5,FALSE)</f>
        <v>Female</v>
      </c>
      <c r="F193" s="2">
        <f>VLOOKUP(A193,Table3[#All],6,FALSE)</f>
        <v>2</v>
      </c>
      <c r="G193" s="2">
        <f>VLOOKUP(A193,Table3[#All],7,FALSE)</f>
        <v>76251</v>
      </c>
      <c r="H193" s="2">
        <f>VLOOKUP(A193,Table3[#All],8,FALSE)</f>
        <v>8</v>
      </c>
      <c r="I193" s="2">
        <f>VLOOKUP(A193,Table3[#All],9,FALSE)</f>
        <v>45</v>
      </c>
      <c r="J193" s="2">
        <f>VLOOKUP(A193,Table3[#All],10,FALSE)</f>
        <v>1</v>
      </c>
      <c r="K193" s="2">
        <f>VLOOKUP(A193,Table3[#All],11,FALSE)</f>
        <v>86</v>
      </c>
      <c r="L193" s="2" t="str">
        <f>VLOOKUP(A193,Table3[#All],12,FALSE)</f>
        <v>Bangalore</v>
      </c>
      <c r="M193" s="2" t="str">
        <f t="shared" si="2"/>
        <v>Not Eligible</v>
      </c>
    </row>
    <row r="194" spans="1:13" hidden="1" x14ac:dyDescent="0.25">
      <c r="A194" s="5" t="s">
        <v>734</v>
      </c>
      <c r="B194" s="2" t="str">
        <f>VLOOKUP(A194,Table3[#All],2,FALSE)</f>
        <v>Arun</v>
      </c>
      <c r="C194" s="2" t="str">
        <f>VLOOKUP(A194,Table3[#All],3,FALSE)</f>
        <v>Finance</v>
      </c>
      <c r="D194" s="2">
        <f>VLOOKUP(A194,Table3[#All],4,FALSE)</f>
        <v>37</v>
      </c>
      <c r="E194" s="2" t="str">
        <f>VLOOKUP(A194,Table3[#All],5,FALSE)</f>
        <v>Female</v>
      </c>
      <c r="F194" s="2">
        <f>VLOOKUP(A194,Table3[#All],6,FALSE)</f>
        <v>7</v>
      </c>
      <c r="G194" s="2">
        <f>VLOOKUP(A194,Table3[#All],7,FALSE)</f>
        <v>35394</v>
      </c>
      <c r="H194" s="2">
        <f>VLOOKUP(A194,Table3[#All],8,FALSE)</f>
        <v>5</v>
      </c>
      <c r="I194" s="2">
        <f>VLOOKUP(A194,Table3[#All],9,FALSE)</f>
        <v>46</v>
      </c>
      <c r="J194" s="2">
        <f>VLOOKUP(A194,Table3[#All],10,FALSE)</f>
        <v>2</v>
      </c>
      <c r="K194" s="2">
        <f>VLOOKUP(A194,Table3[#All],11,FALSE)</f>
        <v>89</v>
      </c>
      <c r="L194" s="2" t="str">
        <f>VLOOKUP(A194,Table3[#All],12,FALSE)</f>
        <v>Hyderabad</v>
      </c>
      <c r="M194" s="2" t="str">
        <f t="shared" ref="M194:M257" si="3">IF(K194&gt;=95,"Eligible","Not Eligible")</f>
        <v>Not Eligible</v>
      </c>
    </row>
    <row r="195" spans="1:13" hidden="1" x14ac:dyDescent="0.25">
      <c r="A195" s="6" t="s">
        <v>797</v>
      </c>
      <c r="B195" s="2" t="str">
        <f>VLOOKUP(A195,Table3[#All],2,FALSE)</f>
        <v>Suresh</v>
      </c>
      <c r="C195" s="2" t="str">
        <f>VLOOKUP(A195,Table3[#All],3,FALSE)</f>
        <v>IT</v>
      </c>
      <c r="D195" s="2">
        <f>VLOOKUP(A195,Table3[#All],4,FALSE)</f>
        <v>36</v>
      </c>
      <c r="E195" s="2" t="str">
        <f>VLOOKUP(A195,Table3[#All],5,FALSE)</f>
        <v>Male</v>
      </c>
      <c r="F195" s="2">
        <f>VLOOKUP(A195,Table3[#All],6,FALSE)</f>
        <v>8</v>
      </c>
      <c r="G195" s="2">
        <f>VLOOKUP(A195,Table3[#All],7,FALSE)</f>
        <v>35416</v>
      </c>
      <c r="H195" s="2">
        <f>VLOOKUP(A195,Table3[#All],8,FALSE)</f>
        <v>5</v>
      </c>
      <c r="I195" s="2">
        <f>VLOOKUP(A195,Table3[#All],9,FALSE)</f>
        <v>44</v>
      </c>
      <c r="J195" s="2">
        <f>VLOOKUP(A195,Table3[#All],10,FALSE)</f>
        <v>4</v>
      </c>
      <c r="K195" s="2">
        <f>VLOOKUP(A195,Table3[#All],11,FALSE)</f>
        <v>94</v>
      </c>
      <c r="L195" s="2" t="str">
        <f>VLOOKUP(A195,Table3[#All],12,FALSE)</f>
        <v>Pune</v>
      </c>
      <c r="M195" s="2" t="str">
        <f t="shared" si="3"/>
        <v>Not Eligible</v>
      </c>
    </row>
    <row r="196" spans="1:13" hidden="1" x14ac:dyDescent="0.25">
      <c r="A196" s="5" t="s">
        <v>238</v>
      </c>
      <c r="B196" s="2" t="str">
        <f>VLOOKUP(A196,Table3[#All],2,FALSE)</f>
        <v>Karthik</v>
      </c>
      <c r="C196" s="2" t="str">
        <f>VLOOKUP(A196,Table3[#All],3,FALSE)</f>
        <v>HR</v>
      </c>
      <c r="D196" s="2">
        <f>VLOOKUP(A196,Table3[#All],4,FALSE)</f>
        <v>40</v>
      </c>
      <c r="E196" s="2" t="str">
        <f>VLOOKUP(A196,Table3[#All],5,FALSE)</f>
        <v>Female</v>
      </c>
      <c r="F196" s="2">
        <f>VLOOKUP(A196,Table3[#All],6,FALSE)</f>
        <v>4</v>
      </c>
      <c r="G196" s="2">
        <f>VLOOKUP(A196,Table3[#All],7,FALSE)</f>
        <v>74980</v>
      </c>
      <c r="H196" s="2">
        <f>VLOOKUP(A196,Table3[#All],8,FALSE)</f>
        <v>12</v>
      </c>
      <c r="I196" s="2">
        <f>VLOOKUP(A196,Table3[#All],9,FALSE)</f>
        <v>43</v>
      </c>
      <c r="J196" s="2">
        <f>VLOOKUP(A196,Table3[#All],10,FALSE)</f>
        <v>4</v>
      </c>
      <c r="K196" s="2">
        <f>VLOOKUP(A196,Table3[#All],11,FALSE)</f>
        <v>99</v>
      </c>
      <c r="L196" s="2" t="str">
        <f>VLOOKUP(A196,Table3[#All],12,FALSE)</f>
        <v>Delhi</v>
      </c>
      <c r="M196" s="2" t="str">
        <f t="shared" si="3"/>
        <v>Eligible</v>
      </c>
    </row>
    <row r="197" spans="1:13" hidden="1" x14ac:dyDescent="0.25">
      <c r="A197" s="6" t="s">
        <v>239</v>
      </c>
      <c r="B197" s="2" t="str">
        <f>VLOOKUP(A197,Table3[#All],2,FALSE)</f>
        <v>Rekha</v>
      </c>
      <c r="C197" s="2" t="str">
        <f>VLOOKUP(A197,Table3[#All],3,FALSE)</f>
        <v>IT</v>
      </c>
      <c r="D197" s="2">
        <f>VLOOKUP(A197,Table3[#All],4,FALSE)</f>
        <v>34</v>
      </c>
      <c r="E197" s="2" t="str">
        <f>VLOOKUP(A197,Table3[#All],5,FALSE)</f>
        <v>Male</v>
      </c>
      <c r="F197" s="2">
        <f>VLOOKUP(A197,Table3[#All],6,FALSE)</f>
        <v>3</v>
      </c>
      <c r="G197" s="2">
        <f>VLOOKUP(A197,Table3[#All],7,FALSE)</f>
        <v>71884</v>
      </c>
      <c r="H197" s="2">
        <f>VLOOKUP(A197,Table3[#All],8,FALSE)</f>
        <v>6</v>
      </c>
      <c r="I197" s="2">
        <f>VLOOKUP(A197,Table3[#All],9,FALSE)</f>
        <v>39</v>
      </c>
      <c r="J197" s="2">
        <f>VLOOKUP(A197,Table3[#All],10,FALSE)</f>
        <v>3</v>
      </c>
      <c r="K197" s="2">
        <f>VLOOKUP(A197,Table3[#All],11,FALSE)</f>
        <v>96</v>
      </c>
      <c r="L197" s="2" t="str">
        <f>VLOOKUP(A197,Table3[#All],12,FALSE)</f>
        <v>Pune</v>
      </c>
      <c r="M197" s="2" t="str">
        <f t="shared" si="3"/>
        <v>Eligible</v>
      </c>
    </row>
    <row r="198" spans="1:13" hidden="1" x14ac:dyDescent="0.25">
      <c r="A198" s="5" t="s">
        <v>240</v>
      </c>
      <c r="B198" s="2" t="str">
        <f>VLOOKUP(A198,Table3[#All],2,FALSE)</f>
        <v>Anitha</v>
      </c>
      <c r="C198" s="2" t="str">
        <f>VLOOKUP(A198,Table3[#All],3,FALSE)</f>
        <v>HR</v>
      </c>
      <c r="D198" s="2">
        <f>VLOOKUP(A198,Table3[#All],4,FALSE)</f>
        <v>32</v>
      </c>
      <c r="E198" s="2" t="str">
        <f>VLOOKUP(A198,Table3[#All],5,FALSE)</f>
        <v>Female</v>
      </c>
      <c r="F198" s="2">
        <f>VLOOKUP(A198,Table3[#All],6,FALSE)</f>
        <v>1</v>
      </c>
      <c r="G198" s="2">
        <f>VLOOKUP(A198,Table3[#All],7,FALSE)</f>
        <v>55654</v>
      </c>
      <c r="H198" s="2">
        <f>VLOOKUP(A198,Table3[#All],8,FALSE)</f>
        <v>10</v>
      </c>
      <c r="I198" s="2">
        <f>VLOOKUP(A198,Table3[#All],9,FALSE)</f>
        <v>44</v>
      </c>
      <c r="J198" s="2">
        <f>VLOOKUP(A198,Table3[#All],10,FALSE)</f>
        <v>3</v>
      </c>
      <c r="K198" s="2">
        <f>VLOOKUP(A198,Table3[#All],11,FALSE)</f>
        <v>90</v>
      </c>
      <c r="L198" s="2" t="str">
        <f>VLOOKUP(A198,Table3[#All],12,FALSE)</f>
        <v>Delhi</v>
      </c>
      <c r="M198" s="2" t="str">
        <f t="shared" si="3"/>
        <v>Not Eligible</v>
      </c>
    </row>
    <row r="199" spans="1:13" hidden="1" x14ac:dyDescent="0.25">
      <c r="A199" s="5" t="s">
        <v>550</v>
      </c>
      <c r="B199" s="2" t="str">
        <f>VLOOKUP(A199,Table3[#All],2,FALSE)</f>
        <v>Ravi</v>
      </c>
      <c r="C199" s="2" t="str">
        <f>VLOOKUP(A199,Table3[#All],3,FALSE)</f>
        <v>Finance</v>
      </c>
      <c r="D199" s="2">
        <f>VLOOKUP(A199,Table3[#All],4,FALSE)</f>
        <v>22</v>
      </c>
      <c r="E199" s="2" t="str">
        <f>VLOOKUP(A199,Table3[#All],5,FALSE)</f>
        <v>Female</v>
      </c>
      <c r="F199" s="2">
        <f>VLOOKUP(A199,Table3[#All],6,FALSE)</f>
        <v>12</v>
      </c>
      <c r="G199" s="2">
        <f>VLOOKUP(A199,Table3[#All],7,FALSE)</f>
        <v>35427</v>
      </c>
      <c r="H199" s="2">
        <f>VLOOKUP(A199,Table3[#All],8,FALSE)</f>
        <v>5</v>
      </c>
      <c r="I199" s="2">
        <f>VLOOKUP(A199,Table3[#All],9,FALSE)</f>
        <v>48</v>
      </c>
      <c r="J199" s="2">
        <f>VLOOKUP(A199,Table3[#All],10,FALSE)</f>
        <v>3</v>
      </c>
      <c r="K199" s="2">
        <f>VLOOKUP(A199,Table3[#All],11,FALSE)</f>
        <v>88</v>
      </c>
      <c r="L199" s="2" t="str">
        <f>VLOOKUP(A199,Table3[#All],12,FALSE)</f>
        <v>Hyderabad</v>
      </c>
      <c r="M199" s="2" t="str">
        <f t="shared" si="3"/>
        <v>Not Eligible</v>
      </c>
    </row>
    <row r="200" spans="1:13" hidden="1" x14ac:dyDescent="0.25">
      <c r="A200" s="5" t="s">
        <v>832</v>
      </c>
      <c r="B200" s="2" t="str">
        <f>VLOOKUP(A200,Table3[#All],2,FALSE)</f>
        <v>Suresh</v>
      </c>
      <c r="C200" s="2" t="str">
        <f>VLOOKUP(A200,Table3[#All],3,FALSE)</f>
        <v>Finance</v>
      </c>
      <c r="D200" s="2">
        <f>VLOOKUP(A200,Table3[#All],4,FALSE)</f>
        <v>35</v>
      </c>
      <c r="E200" s="2" t="str">
        <f>VLOOKUP(A200,Table3[#All],5,FALSE)</f>
        <v>Male</v>
      </c>
      <c r="F200" s="2">
        <f>VLOOKUP(A200,Table3[#All],6,FALSE)</f>
        <v>15</v>
      </c>
      <c r="G200" s="2">
        <f>VLOOKUP(A200,Table3[#All],7,FALSE)</f>
        <v>35468</v>
      </c>
      <c r="H200" s="2">
        <f>VLOOKUP(A200,Table3[#All],8,FALSE)</f>
        <v>11</v>
      </c>
      <c r="I200" s="2">
        <f>VLOOKUP(A200,Table3[#All],9,FALSE)</f>
        <v>38</v>
      </c>
      <c r="J200" s="2">
        <f>VLOOKUP(A200,Table3[#All],10,FALSE)</f>
        <v>4</v>
      </c>
      <c r="K200" s="2">
        <f>VLOOKUP(A200,Table3[#All],11,FALSE)</f>
        <v>90</v>
      </c>
      <c r="L200" s="2" t="str">
        <f>VLOOKUP(A200,Table3[#All],12,FALSE)</f>
        <v>Delhi</v>
      </c>
      <c r="M200" s="2" t="str">
        <f t="shared" si="3"/>
        <v>Not Eligible</v>
      </c>
    </row>
    <row r="201" spans="1:13" hidden="1" x14ac:dyDescent="0.25">
      <c r="A201" s="6" t="s">
        <v>779</v>
      </c>
      <c r="B201" s="2" t="str">
        <f>VLOOKUP(A201,Table3[#All],2,FALSE)</f>
        <v>Arun</v>
      </c>
      <c r="C201" s="2" t="str">
        <f>VLOOKUP(A201,Table3[#All],3,FALSE)</f>
        <v>HR</v>
      </c>
      <c r="D201" s="2">
        <f>VLOOKUP(A201,Table3[#All],4,FALSE)</f>
        <v>37</v>
      </c>
      <c r="E201" s="2" t="str">
        <f>VLOOKUP(A201,Table3[#All],5,FALSE)</f>
        <v>Female</v>
      </c>
      <c r="F201" s="2">
        <f>VLOOKUP(A201,Table3[#All],6,FALSE)</f>
        <v>12</v>
      </c>
      <c r="G201" s="2">
        <f>VLOOKUP(A201,Table3[#All],7,FALSE)</f>
        <v>35524</v>
      </c>
      <c r="H201" s="2">
        <f>VLOOKUP(A201,Table3[#All],8,FALSE)</f>
        <v>7</v>
      </c>
      <c r="I201" s="2">
        <f>VLOOKUP(A201,Table3[#All],9,FALSE)</f>
        <v>37</v>
      </c>
      <c r="J201" s="2">
        <f>VLOOKUP(A201,Table3[#All],10,FALSE)</f>
        <v>1</v>
      </c>
      <c r="K201" s="2">
        <f>VLOOKUP(A201,Table3[#All],11,FALSE)</f>
        <v>96</v>
      </c>
      <c r="L201" s="2" t="str">
        <f>VLOOKUP(A201,Table3[#All],12,FALSE)</f>
        <v>Chennai</v>
      </c>
      <c r="M201" s="2" t="str">
        <f t="shared" si="3"/>
        <v>Eligible</v>
      </c>
    </row>
    <row r="202" spans="1:13" hidden="1" x14ac:dyDescent="0.25">
      <c r="A202" s="6" t="s">
        <v>901</v>
      </c>
      <c r="B202" s="2" t="str">
        <f>VLOOKUP(A202,Table3[#All],2,FALSE)</f>
        <v>Arun</v>
      </c>
      <c r="C202" s="2" t="str">
        <f>VLOOKUP(A202,Table3[#All],3,FALSE)</f>
        <v>Finance</v>
      </c>
      <c r="D202" s="2">
        <f>VLOOKUP(A202,Table3[#All],4,FALSE)</f>
        <v>25</v>
      </c>
      <c r="E202" s="2" t="str">
        <f>VLOOKUP(A202,Table3[#All],5,FALSE)</f>
        <v>Female</v>
      </c>
      <c r="F202" s="2">
        <f>VLOOKUP(A202,Table3[#All],6,FALSE)</f>
        <v>6</v>
      </c>
      <c r="G202" s="2">
        <f>VLOOKUP(A202,Table3[#All],7,FALSE)</f>
        <v>35911</v>
      </c>
      <c r="H202" s="2">
        <f>VLOOKUP(A202,Table3[#All],8,FALSE)</f>
        <v>6</v>
      </c>
      <c r="I202" s="2">
        <f>VLOOKUP(A202,Table3[#All],9,FALSE)</f>
        <v>41</v>
      </c>
      <c r="J202" s="2">
        <f>VLOOKUP(A202,Table3[#All],10,FALSE)</f>
        <v>2</v>
      </c>
      <c r="K202" s="2">
        <f>VLOOKUP(A202,Table3[#All],11,FALSE)</f>
        <v>86</v>
      </c>
      <c r="L202" s="2" t="str">
        <f>VLOOKUP(A202,Table3[#All],12,FALSE)</f>
        <v>Mumbai</v>
      </c>
      <c r="M202" s="2" t="str">
        <f t="shared" si="3"/>
        <v>Not Eligible</v>
      </c>
    </row>
    <row r="203" spans="1:13" x14ac:dyDescent="0.25">
      <c r="A203" s="5" t="s">
        <v>262</v>
      </c>
      <c r="B203" s="2" t="str">
        <f>VLOOKUP(A203,Table3[#All],2,FALSE)</f>
        <v>Ravi</v>
      </c>
      <c r="C203" s="2" t="str">
        <f>VLOOKUP(A203,Table3[#All],3,FALSE)</f>
        <v>HR</v>
      </c>
      <c r="D203" s="2">
        <f>VLOOKUP(A203,Table3[#All],4,FALSE)</f>
        <v>35</v>
      </c>
      <c r="E203" s="2" t="str">
        <f>VLOOKUP(A203,Table3[#All],5,FALSE)</f>
        <v>Female</v>
      </c>
      <c r="F203" s="2">
        <f>VLOOKUP(A203,Table3[#All],6,FALSE)</f>
        <v>14</v>
      </c>
      <c r="G203" s="2">
        <f>VLOOKUP(A203,Table3[#All],7,FALSE)</f>
        <v>35984</v>
      </c>
      <c r="H203" s="2">
        <f>VLOOKUP(A203,Table3[#All],8,FALSE)</f>
        <v>12</v>
      </c>
      <c r="I203" s="2">
        <f>VLOOKUP(A203,Table3[#All],9,FALSE)</f>
        <v>43</v>
      </c>
      <c r="J203" s="2">
        <f>VLOOKUP(A203,Table3[#All],10,FALSE)</f>
        <v>1</v>
      </c>
      <c r="K203" s="2">
        <f>VLOOKUP(A203,Table3[#All],11,FALSE)</f>
        <v>98</v>
      </c>
      <c r="L203" s="2" t="str">
        <f>VLOOKUP(A203,Table3[#All],12,FALSE)</f>
        <v>Pune</v>
      </c>
      <c r="M203" s="2" t="str">
        <f t="shared" si="3"/>
        <v>Eligible</v>
      </c>
    </row>
    <row r="204" spans="1:13" hidden="1" x14ac:dyDescent="0.25">
      <c r="A204" s="5" t="s">
        <v>246</v>
      </c>
      <c r="B204" s="2" t="str">
        <f>VLOOKUP(A204,Table3[#All],2,FALSE)</f>
        <v>Deepa</v>
      </c>
      <c r="C204" s="2" t="str">
        <f>VLOOKUP(A204,Table3[#All],3,FALSE)</f>
        <v>Finance</v>
      </c>
      <c r="D204" s="2">
        <f>VLOOKUP(A204,Table3[#All],4,FALSE)</f>
        <v>24</v>
      </c>
      <c r="E204" s="2" t="str">
        <f>VLOOKUP(A204,Table3[#All],5,FALSE)</f>
        <v>Female</v>
      </c>
      <c r="F204" s="2">
        <f>VLOOKUP(A204,Table3[#All],6,FALSE)</f>
        <v>4</v>
      </c>
      <c r="G204" s="2">
        <f>VLOOKUP(A204,Table3[#All],7,FALSE)</f>
        <v>45877</v>
      </c>
      <c r="H204" s="2">
        <f>VLOOKUP(A204,Table3[#All],8,FALSE)</f>
        <v>4</v>
      </c>
      <c r="I204" s="2">
        <f>VLOOKUP(A204,Table3[#All],9,FALSE)</f>
        <v>43</v>
      </c>
      <c r="J204" s="2">
        <f>VLOOKUP(A204,Table3[#All],10,FALSE)</f>
        <v>4</v>
      </c>
      <c r="K204" s="2">
        <f>VLOOKUP(A204,Table3[#All],11,FALSE)</f>
        <v>93</v>
      </c>
      <c r="L204" s="2" t="str">
        <f>VLOOKUP(A204,Table3[#All],12,FALSE)</f>
        <v>Pune</v>
      </c>
      <c r="M204" s="2" t="str">
        <f t="shared" si="3"/>
        <v>Not Eligible</v>
      </c>
    </row>
    <row r="205" spans="1:13" hidden="1" x14ac:dyDescent="0.25">
      <c r="A205" s="5" t="s">
        <v>890</v>
      </c>
      <c r="B205" s="2" t="str">
        <f>VLOOKUP(A205,Table3[#All],2,FALSE)</f>
        <v>Karthik</v>
      </c>
      <c r="C205" s="2" t="str">
        <f>VLOOKUP(A205,Table3[#All],3,FALSE)</f>
        <v>Sales</v>
      </c>
      <c r="D205" s="2">
        <f>VLOOKUP(A205,Table3[#All],4,FALSE)</f>
        <v>24</v>
      </c>
      <c r="E205" s="2" t="str">
        <f>VLOOKUP(A205,Table3[#All],5,FALSE)</f>
        <v>Male</v>
      </c>
      <c r="F205" s="2">
        <f>VLOOKUP(A205,Table3[#All],6,FALSE)</f>
        <v>9</v>
      </c>
      <c r="G205" s="2">
        <f>VLOOKUP(A205,Table3[#All],7,FALSE)</f>
        <v>35988</v>
      </c>
      <c r="H205" s="2">
        <f>VLOOKUP(A205,Table3[#All],8,FALSE)</f>
        <v>9</v>
      </c>
      <c r="I205" s="2">
        <f>VLOOKUP(A205,Table3[#All],9,FALSE)</f>
        <v>35</v>
      </c>
      <c r="J205" s="2">
        <f>VLOOKUP(A205,Table3[#All],10,FALSE)</f>
        <v>2</v>
      </c>
      <c r="K205" s="2">
        <f>VLOOKUP(A205,Table3[#All],11,FALSE)</f>
        <v>90</v>
      </c>
      <c r="L205" s="2" t="str">
        <f>VLOOKUP(A205,Table3[#All],12,FALSE)</f>
        <v>Hyderabad</v>
      </c>
      <c r="M205" s="2" t="str">
        <f t="shared" si="3"/>
        <v>Not Eligible</v>
      </c>
    </row>
    <row r="206" spans="1:13" hidden="1" x14ac:dyDescent="0.25">
      <c r="A206" s="5" t="s">
        <v>718</v>
      </c>
      <c r="B206" s="2" t="str">
        <f>VLOOKUP(A206,Table3[#All],2,FALSE)</f>
        <v>Vijay</v>
      </c>
      <c r="C206" s="2" t="str">
        <f>VLOOKUP(A206,Table3[#All],3,FALSE)</f>
        <v>HR</v>
      </c>
      <c r="D206" s="2">
        <f>VLOOKUP(A206,Table3[#All],4,FALSE)</f>
        <v>31</v>
      </c>
      <c r="E206" s="2" t="str">
        <f>VLOOKUP(A206,Table3[#All],5,FALSE)</f>
        <v>Male</v>
      </c>
      <c r="F206" s="2">
        <f>VLOOKUP(A206,Table3[#All],6,FALSE)</f>
        <v>10</v>
      </c>
      <c r="G206" s="2">
        <f>VLOOKUP(A206,Table3[#All],7,FALSE)</f>
        <v>36009</v>
      </c>
      <c r="H206" s="2">
        <f>VLOOKUP(A206,Table3[#All],8,FALSE)</f>
        <v>12</v>
      </c>
      <c r="I206" s="2">
        <f>VLOOKUP(A206,Table3[#All],9,FALSE)</f>
        <v>41</v>
      </c>
      <c r="J206" s="2">
        <f>VLOOKUP(A206,Table3[#All],10,FALSE)</f>
        <v>5</v>
      </c>
      <c r="K206" s="2">
        <f>VLOOKUP(A206,Table3[#All],11,FALSE)</f>
        <v>86</v>
      </c>
      <c r="L206" s="2" t="str">
        <f>VLOOKUP(A206,Table3[#All],12,FALSE)</f>
        <v>Bangalore</v>
      </c>
      <c r="M206" s="2" t="str">
        <f t="shared" si="3"/>
        <v>Not Eligible</v>
      </c>
    </row>
    <row r="207" spans="1:13" hidden="1" x14ac:dyDescent="0.25">
      <c r="A207" s="5" t="s">
        <v>128</v>
      </c>
      <c r="B207" s="2" t="str">
        <f>VLOOKUP(A207,Table3[#All],2,FALSE)</f>
        <v>Lakshmi</v>
      </c>
      <c r="C207" s="2" t="str">
        <f>VLOOKUP(A207,Table3[#All],3,FALSE)</f>
        <v>IT</v>
      </c>
      <c r="D207" s="2">
        <f>VLOOKUP(A207,Table3[#All],4,FALSE)</f>
        <v>22</v>
      </c>
      <c r="E207" s="2" t="str">
        <f>VLOOKUP(A207,Table3[#All],5,FALSE)</f>
        <v>Female</v>
      </c>
      <c r="F207" s="2">
        <f>VLOOKUP(A207,Table3[#All],6,FALSE)</f>
        <v>12</v>
      </c>
      <c r="G207" s="2">
        <f>VLOOKUP(A207,Table3[#All],7,FALSE)</f>
        <v>36015</v>
      </c>
      <c r="H207" s="2">
        <f>VLOOKUP(A207,Table3[#All],8,FALSE)</f>
        <v>8</v>
      </c>
      <c r="I207" s="2">
        <f>VLOOKUP(A207,Table3[#All],9,FALSE)</f>
        <v>44</v>
      </c>
      <c r="J207" s="2">
        <f>VLOOKUP(A207,Table3[#All],10,FALSE)</f>
        <v>5</v>
      </c>
      <c r="K207" s="2">
        <f>VLOOKUP(A207,Table3[#All],11,FALSE)</f>
        <v>99</v>
      </c>
      <c r="L207" s="2" t="str">
        <f>VLOOKUP(A207,Table3[#All],12,FALSE)</f>
        <v>Delhi</v>
      </c>
      <c r="M207" s="2" t="str">
        <f t="shared" si="3"/>
        <v>Eligible</v>
      </c>
    </row>
    <row r="208" spans="1:13" hidden="1" x14ac:dyDescent="0.25">
      <c r="A208" s="5" t="s">
        <v>250</v>
      </c>
      <c r="B208" s="2" t="str">
        <f>VLOOKUP(A208,Table3[#All],2,FALSE)</f>
        <v>Deepa</v>
      </c>
      <c r="C208" s="2" t="str">
        <f>VLOOKUP(A208,Table3[#All],3,FALSE)</f>
        <v>IT</v>
      </c>
      <c r="D208" s="2">
        <f>VLOOKUP(A208,Table3[#All],4,FALSE)</f>
        <v>27</v>
      </c>
      <c r="E208" s="2" t="str">
        <f>VLOOKUP(A208,Table3[#All],5,FALSE)</f>
        <v>Female</v>
      </c>
      <c r="F208" s="2">
        <f>VLOOKUP(A208,Table3[#All],6,FALSE)</f>
        <v>3</v>
      </c>
      <c r="G208" s="2">
        <f>VLOOKUP(A208,Table3[#All],7,FALSE)</f>
        <v>57141</v>
      </c>
      <c r="H208" s="2">
        <f>VLOOKUP(A208,Table3[#All],8,FALSE)</f>
        <v>4</v>
      </c>
      <c r="I208" s="2">
        <f>VLOOKUP(A208,Table3[#All],9,FALSE)</f>
        <v>44</v>
      </c>
      <c r="J208" s="2">
        <f>VLOOKUP(A208,Table3[#All],10,FALSE)</f>
        <v>4</v>
      </c>
      <c r="K208" s="2">
        <f>VLOOKUP(A208,Table3[#All],11,FALSE)</f>
        <v>94</v>
      </c>
      <c r="L208" s="2" t="str">
        <f>VLOOKUP(A208,Table3[#All],12,FALSE)</f>
        <v>Chennai</v>
      </c>
      <c r="M208" s="2" t="str">
        <f t="shared" si="3"/>
        <v>Not Eligible</v>
      </c>
    </row>
    <row r="209" spans="1:13" hidden="1" x14ac:dyDescent="0.25">
      <c r="A209" s="6" t="s">
        <v>251</v>
      </c>
      <c r="B209" s="2" t="str">
        <f>VLOOKUP(A209,Table3[#All],2,FALSE)</f>
        <v>Hari</v>
      </c>
      <c r="C209" s="2" t="str">
        <f>VLOOKUP(A209,Table3[#All],3,FALSE)</f>
        <v>IT</v>
      </c>
      <c r="D209" s="2">
        <f>VLOOKUP(A209,Table3[#All],4,FALSE)</f>
        <v>22</v>
      </c>
      <c r="E209" s="2" t="str">
        <f>VLOOKUP(A209,Table3[#All],5,FALSE)</f>
        <v>Male</v>
      </c>
      <c r="F209" s="2">
        <f>VLOOKUP(A209,Table3[#All],6,FALSE)</f>
        <v>4</v>
      </c>
      <c r="G209" s="2">
        <f>VLOOKUP(A209,Table3[#All],7,FALSE)</f>
        <v>43916</v>
      </c>
      <c r="H209" s="2">
        <f>VLOOKUP(A209,Table3[#All],8,FALSE)</f>
        <v>8</v>
      </c>
      <c r="I209" s="2">
        <f>VLOOKUP(A209,Table3[#All],9,FALSE)</f>
        <v>43</v>
      </c>
      <c r="J209" s="2">
        <f>VLOOKUP(A209,Table3[#All],10,FALSE)</f>
        <v>3</v>
      </c>
      <c r="K209" s="2">
        <f>VLOOKUP(A209,Table3[#All],11,FALSE)</f>
        <v>96</v>
      </c>
      <c r="L209" s="2" t="str">
        <f>VLOOKUP(A209,Table3[#All],12,FALSE)</f>
        <v>Mumbai</v>
      </c>
      <c r="M209" s="2" t="str">
        <f t="shared" si="3"/>
        <v>Eligible</v>
      </c>
    </row>
    <row r="210" spans="1:13" hidden="1" x14ac:dyDescent="0.25">
      <c r="A210" s="5" t="s">
        <v>252</v>
      </c>
      <c r="B210" s="2" t="str">
        <f>VLOOKUP(A210,Table3[#All],2,FALSE)</f>
        <v>Ajay</v>
      </c>
      <c r="C210" s="2" t="str">
        <f>VLOOKUP(A210,Table3[#All],3,FALSE)</f>
        <v>IT</v>
      </c>
      <c r="D210" s="2">
        <f>VLOOKUP(A210,Table3[#All],4,FALSE)</f>
        <v>38</v>
      </c>
      <c r="E210" s="2" t="str">
        <f>VLOOKUP(A210,Table3[#All],5,FALSE)</f>
        <v>Female</v>
      </c>
      <c r="F210" s="2">
        <f>VLOOKUP(A210,Table3[#All],6,FALSE)</f>
        <v>1</v>
      </c>
      <c r="G210" s="2">
        <f>VLOOKUP(A210,Table3[#All],7,FALSE)</f>
        <v>28635</v>
      </c>
      <c r="H210" s="2">
        <f>VLOOKUP(A210,Table3[#All],8,FALSE)</f>
        <v>15</v>
      </c>
      <c r="I210" s="2">
        <f>VLOOKUP(A210,Table3[#All],9,FALSE)</f>
        <v>36</v>
      </c>
      <c r="J210" s="2">
        <f>VLOOKUP(A210,Table3[#All],10,FALSE)</f>
        <v>3</v>
      </c>
      <c r="K210" s="2">
        <f>VLOOKUP(A210,Table3[#All],11,FALSE)</f>
        <v>99</v>
      </c>
      <c r="L210" s="2" t="str">
        <f>VLOOKUP(A210,Table3[#All],12,FALSE)</f>
        <v>Delhi</v>
      </c>
      <c r="M210" s="2" t="str">
        <f t="shared" si="3"/>
        <v>Eligible</v>
      </c>
    </row>
    <row r="211" spans="1:13" x14ac:dyDescent="0.25">
      <c r="A211" s="6" t="s">
        <v>62</v>
      </c>
      <c r="B211" s="2" t="str">
        <f>VLOOKUP(A211,Table3[#All],2,FALSE)</f>
        <v>Lakshmi</v>
      </c>
      <c r="C211" s="2" t="str">
        <f>VLOOKUP(A211,Table3[#All],3,FALSE)</f>
        <v>Finance</v>
      </c>
      <c r="D211" s="2">
        <f>VLOOKUP(A211,Table3[#All],4,FALSE)</f>
        <v>37</v>
      </c>
      <c r="E211" s="2" t="str">
        <f>VLOOKUP(A211,Table3[#All],5,FALSE)</f>
        <v>Female</v>
      </c>
      <c r="F211" s="2">
        <f>VLOOKUP(A211,Table3[#All],6,FALSE)</f>
        <v>15</v>
      </c>
      <c r="G211" s="2">
        <f>VLOOKUP(A211,Table3[#All],7,FALSE)</f>
        <v>36027</v>
      </c>
      <c r="H211" s="2">
        <f>VLOOKUP(A211,Table3[#All],8,FALSE)</f>
        <v>10</v>
      </c>
      <c r="I211" s="2">
        <f>VLOOKUP(A211,Table3[#All],9,FALSE)</f>
        <v>43</v>
      </c>
      <c r="J211" s="2">
        <f>VLOOKUP(A211,Table3[#All],10,FALSE)</f>
        <v>3</v>
      </c>
      <c r="K211" s="2">
        <f>VLOOKUP(A211,Table3[#All],11,FALSE)</f>
        <v>92</v>
      </c>
      <c r="L211" s="2" t="str">
        <f>VLOOKUP(A211,Table3[#All],12,FALSE)</f>
        <v>Mumbai</v>
      </c>
      <c r="M211" s="2" t="str">
        <f t="shared" si="3"/>
        <v>Not Eligible</v>
      </c>
    </row>
    <row r="212" spans="1:13" hidden="1" x14ac:dyDescent="0.25">
      <c r="A212" s="5" t="s">
        <v>468</v>
      </c>
      <c r="B212" s="2" t="str">
        <f>VLOOKUP(A212,Table3[#All],2,FALSE)</f>
        <v>Lakshmi</v>
      </c>
      <c r="C212" s="2" t="str">
        <f>VLOOKUP(A212,Table3[#All],3,FALSE)</f>
        <v>HR</v>
      </c>
      <c r="D212" s="2">
        <f>VLOOKUP(A212,Table3[#All],4,FALSE)</f>
        <v>29</v>
      </c>
      <c r="E212" s="2" t="str">
        <f>VLOOKUP(A212,Table3[#All],5,FALSE)</f>
        <v>Male</v>
      </c>
      <c r="F212" s="2">
        <f>VLOOKUP(A212,Table3[#All],6,FALSE)</f>
        <v>6</v>
      </c>
      <c r="G212" s="2">
        <f>VLOOKUP(A212,Table3[#All],7,FALSE)</f>
        <v>36149</v>
      </c>
      <c r="H212" s="2">
        <f>VLOOKUP(A212,Table3[#All],8,FALSE)</f>
        <v>6</v>
      </c>
      <c r="I212" s="2">
        <f>VLOOKUP(A212,Table3[#All],9,FALSE)</f>
        <v>45</v>
      </c>
      <c r="J212" s="2">
        <f>VLOOKUP(A212,Table3[#All],10,FALSE)</f>
        <v>2</v>
      </c>
      <c r="K212" s="2">
        <f>VLOOKUP(A212,Table3[#All],11,FALSE)</f>
        <v>93</v>
      </c>
      <c r="L212" s="2" t="str">
        <f>VLOOKUP(A212,Table3[#All],12,FALSE)</f>
        <v>Mumbai</v>
      </c>
      <c r="M212" s="2" t="str">
        <f t="shared" si="3"/>
        <v>Not Eligible</v>
      </c>
    </row>
    <row r="213" spans="1:13" x14ac:dyDescent="0.25">
      <c r="A213" s="5" t="s">
        <v>860</v>
      </c>
      <c r="B213" s="2" t="str">
        <f>VLOOKUP(A213,Table3[#All],2,FALSE)</f>
        <v>Suresh</v>
      </c>
      <c r="C213" s="2" t="str">
        <f>VLOOKUP(A213,Table3[#All],3,FALSE)</f>
        <v>HR</v>
      </c>
      <c r="D213" s="2">
        <f>VLOOKUP(A213,Table3[#All],4,FALSE)</f>
        <v>24</v>
      </c>
      <c r="E213" s="2" t="str">
        <f>VLOOKUP(A213,Table3[#All],5,FALSE)</f>
        <v>Female</v>
      </c>
      <c r="F213" s="2">
        <f>VLOOKUP(A213,Table3[#All],6,FALSE)</f>
        <v>11</v>
      </c>
      <c r="G213" s="2">
        <f>VLOOKUP(A213,Table3[#All],7,FALSE)</f>
        <v>36309</v>
      </c>
      <c r="H213" s="2">
        <f>VLOOKUP(A213,Table3[#All],8,FALSE)</f>
        <v>13</v>
      </c>
      <c r="I213" s="2">
        <f>VLOOKUP(A213,Table3[#All],9,FALSE)</f>
        <v>50</v>
      </c>
      <c r="J213" s="2">
        <f>VLOOKUP(A213,Table3[#All],10,FALSE)</f>
        <v>5</v>
      </c>
      <c r="K213" s="2">
        <f>VLOOKUP(A213,Table3[#All],11,FALSE)</f>
        <v>92</v>
      </c>
      <c r="L213" s="2" t="str">
        <f>VLOOKUP(A213,Table3[#All],12,FALSE)</f>
        <v>Pune</v>
      </c>
      <c r="M213" s="2" t="str">
        <f t="shared" si="3"/>
        <v>Not Eligible</v>
      </c>
    </row>
    <row r="214" spans="1:13" x14ac:dyDescent="0.25">
      <c r="A214" s="6" t="s">
        <v>281</v>
      </c>
      <c r="B214" s="2" t="str">
        <f>VLOOKUP(A214,Table3[#All],2,FALSE)</f>
        <v>Deepa</v>
      </c>
      <c r="C214" s="2" t="str">
        <f>VLOOKUP(A214,Table3[#All],3,FALSE)</f>
        <v>Finance</v>
      </c>
      <c r="D214" s="2">
        <f>VLOOKUP(A214,Table3[#All],4,FALSE)</f>
        <v>38</v>
      </c>
      <c r="E214" s="2" t="str">
        <f>VLOOKUP(A214,Table3[#All],5,FALSE)</f>
        <v>Male</v>
      </c>
      <c r="F214" s="2">
        <f>VLOOKUP(A214,Table3[#All],6,FALSE)</f>
        <v>5</v>
      </c>
      <c r="G214" s="2">
        <f>VLOOKUP(A214,Table3[#All],7,FALSE)</f>
        <v>36353</v>
      </c>
      <c r="H214" s="2">
        <f>VLOOKUP(A214,Table3[#All],8,FALSE)</f>
        <v>10</v>
      </c>
      <c r="I214" s="2">
        <f>VLOOKUP(A214,Table3[#All],9,FALSE)</f>
        <v>45</v>
      </c>
      <c r="J214" s="2">
        <f>VLOOKUP(A214,Table3[#All],10,FALSE)</f>
        <v>1</v>
      </c>
      <c r="K214" s="2">
        <f>VLOOKUP(A214,Table3[#All],11,FALSE)</f>
        <v>96</v>
      </c>
      <c r="L214" s="2" t="str">
        <f>VLOOKUP(A214,Table3[#All],12,FALSE)</f>
        <v>Chennai</v>
      </c>
      <c r="M214" s="2" t="str">
        <f t="shared" si="3"/>
        <v>Eligible</v>
      </c>
    </row>
    <row r="215" spans="1:13" hidden="1" x14ac:dyDescent="0.25">
      <c r="A215" s="6" t="s">
        <v>907</v>
      </c>
      <c r="B215" s="2" t="str">
        <f>VLOOKUP(A215,Table3[#All],2,FALSE)</f>
        <v>Manoj</v>
      </c>
      <c r="C215" s="2" t="str">
        <f>VLOOKUP(A215,Table3[#All],3,FALSE)</f>
        <v>IT</v>
      </c>
      <c r="D215" s="2">
        <f>VLOOKUP(A215,Table3[#All],4,FALSE)</f>
        <v>30</v>
      </c>
      <c r="E215" s="2" t="str">
        <f>VLOOKUP(A215,Table3[#All],5,FALSE)</f>
        <v>Male</v>
      </c>
      <c r="F215" s="2">
        <f>VLOOKUP(A215,Table3[#All],6,FALSE)</f>
        <v>10</v>
      </c>
      <c r="G215" s="2">
        <f>VLOOKUP(A215,Table3[#All],7,FALSE)</f>
        <v>36410</v>
      </c>
      <c r="H215" s="2">
        <f>VLOOKUP(A215,Table3[#All],8,FALSE)</f>
        <v>5</v>
      </c>
      <c r="I215" s="2">
        <f>VLOOKUP(A215,Table3[#All],9,FALSE)</f>
        <v>36</v>
      </c>
      <c r="J215" s="2">
        <f>VLOOKUP(A215,Table3[#All],10,FALSE)</f>
        <v>1</v>
      </c>
      <c r="K215" s="2">
        <f>VLOOKUP(A215,Table3[#All],11,FALSE)</f>
        <v>93</v>
      </c>
      <c r="L215" s="2" t="str">
        <f>VLOOKUP(A215,Table3[#All],12,FALSE)</f>
        <v>Hyderabad</v>
      </c>
      <c r="M215" s="2" t="str">
        <f t="shared" si="3"/>
        <v>Not Eligible</v>
      </c>
    </row>
    <row r="216" spans="1:13" hidden="1" x14ac:dyDescent="0.25">
      <c r="A216" s="5" t="s">
        <v>258</v>
      </c>
      <c r="B216" s="2" t="str">
        <f>VLOOKUP(A216,Table3[#All],2,FALSE)</f>
        <v>Ravi</v>
      </c>
      <c r="C216" s="2" t="str">
        <f>VLOOKUP(A216,Table3[#All],3,FALSE)</f>
        <v>IT</v>
      </c>
      <c r="D216" s="2">
        <f>VLOOKUP(A216,Table3[#All],4,FALSE)</f>
        <v>22</v>
      </c>
      <c r="E216" s="2" t="str">
        <f>VLOOKUP(A216,Table3[#All],5,FALSE)</f>
        <v>Male</v>
      </c>
      <c r="F216" s="2">
        <f>VLOOKUP(A216,Table3[#All],6,FALSE)</f>
        <v>3</v>
      </c>
      <c r="G216" s="2">
        <f>VLOOKUP(A216,Table3[#All],7,FALSE)</f>
        <v>58673</v>
      </c>
      <c r="H216" s="2">
        <f>VLOOKUP(A216,Table3[#All],8,FALSE)</f>
        <v>13</v>
      </c>
      <c r="I216" s="2">
        <f>VLOOKUP(A216,Table3[#All],9,FALSE)</f>
        <v>42</v>
      </c>
      <c r="J216" s="2">
        <f>VLOOKUP(A216,Table3[#All],10,FALSE)</f>
        <v>5</v>
      </c>
      <c r="K216" s="2">
        <f>VLOOKUP(A216,Table3[#All],11,FALSE)</f>
        <v>94</v>
      </c>
      <c r="L216" s="2" t="str">
        <f>VLOOKUP(A216,Table3[#All],12,FALSE)</f>
        <v>Pune</v>
      </c>
      <c r="M216" s="2" t="str">
        <f t="shared" si="3"/>
        <v>Not Eligible</v>
      </c>
    </row>
    <row r="217" spans="1:13" x14ac:dyDescent="0.25">
      <c r="A217" s="6" t="s">
        <v>257</v>
      </c>
      <c r="B217" s="2" t="str">
        <f>VLOOKUP(A217,Table3[#All],2,FALSE)</f>
        <v>Ajay</v>
      </c>
      <c r="C217" s="2" t="str">
        <f>VLOOKUP(A217,Table3[#All],3,FALSE)</f>
        <v>IT</v>
      </c>
      <c r="D217" s="2">
        <f>VLOOKUP(A217,Table3[#All],4,FALSE)</f>
        <v>39</v>
      </c>
      <c r="E217" s="2" t="str">
        <f>VLOOKUP(A217,Table3[#All],5,FALSE)</f>
        <v>Female</v>
      </c>
      <c r="F217" s="2">
        <f>VLOOKUP(A217,Table3[#All],6,FALSE)</f>
        <v>6</v>
      </c>
      <c r="G217" s="2">
        <f>VLOOKUP(A217,Table3[#All],7,FALSE)</f>
        <v>36458</v>
      </c>
      <c r="H217" s="2">
        <f>VLOOKUP(A217,Table3[#All],8,FALSE)</f>
        <v>14</v>
      </c>
      <c r="I217" s="2">
        <f>VLOOKUP(A217,Table3[#All],9,FALSE)</f>
        <v>37</v>
      </c>
      <c r="J217" s="2">
        <f>VLOOKUP(A217,Table3[#All],10,FALSE)</f>
        <v>1</v>
      </c>
      <c r="K217" s="2">
        <f>VLOOKUP(A217,Table3[#All],11,FALSE)</f>
        <v>91</v>
      </c>
      <c r="L217" s="2" t="str">
        <f>VLOOKUP(A217,Table3[#All],12,FALSE)</f>
        <v>Hyderabad</v>
      </c>
      <c r="M217" s="2" t="str">
        <f t="shared" si="3"/>
        <v>Not Eligible</v>
      </c>
    </row>
    <row r="218" spans="1:13" hidden="1" x14ac:dyDescent="0.25">
      <c r="A218" s="6" t="s">
        <v>255</v>
      </c>
      <c r="B218" s="2" t="str">
        <f>VLOOKUP(A218,Table3[#All],2,FALSE)</f>
        <v>Divya</v>
      </c>
      <c r="C218" s="2" t="str">
        <f>VLOOKUP(A218,Table3[#All],3,FALSE)</f>
        <v>IT</v>
      </c>
      <c r="D218" s="2">
        <f>VLOOKUP(A218,Table3[#All],4,FALSE)</f>
        <v>33</v>
      </c>
      <c r="E218" s="2" t="str">
        <f>VLOOKUP(A218,Table3[#All],5,FALSE)</f>
        <v>Female</v>
      </c>
      <c r="F218" s="2">
        <f>VLOOKUP(A218,Table3[#All],6,FALSE)</f>
        <v>13</v>
      </c>
      <c r="G218" s="2">
        <f>VLOOKUP(A218,Table3[#All],7,FALSE)</f>
        <v>36595</v>
      </c>
      <c r="H218" s="2">
        <f>VLOOKUP(A218,Table3[#All],8,FALSE)</f>
        <v>14</v>
      </c>
      <c r="I218" s="2">
        <f>VLOOKUP(A218,Table3[#All],9,FALSE)</f>
        <v>47</v>
      </c>
      <c r="J218" s="2">
        <f>VLOOKUP(A218,Table3[#All],10,FALSE)</f>
        <v>2</v>
      </c>
      <c r="K218" s="2">
        <f>VLOOKUP(A218,Table3[#All],11,FALSE)</f>
        <v>88</v>
      </c>
      <c r="L218" s="2" t="str">
        <f>VLOOKUP(A218,Table3[#All],12,FALSE)</f>
        <v>Hyderabad</v>
      </c>
      <c r="M218" s="2" t="str">
        <f t="shared" si="3"/>
        <v>Not Eligible</v>
      </c>
    </row>
    <row r="219" spans="1:13" hidden="1" x14ac:dyDescent="0.25">
      <c r="A219" s="5" t="s">
        <v>700</v>
      </c>
      <c r="B219" s="2" t="str">
        <f>VLOOKUP(A219,Table3[#All],2,FALSE)</f>
        <v>Suresh</v>
      </c>
      <c r="C219" s="2" t="str">
        <f>VLOOKUP(A219,Table3[#All],3,FALSE)</f>
        <v>Sales</v>
      </c>
      <c r="D219" s="2">
        <f>VLOOKUP(A219,Table3[#All],4,FALSE)</f>
        <v>34</v>
      </c>
      <c r="E219" s="2" t="str">
        <f>VLOOKUP(A219,Table3[#All],5,FALSE)</f>
        <v>Female</v>
      </c>
      <c r="F219" s="2">
        <f>VLOOKUP(A219,Table3[#All],6,FALSE)</f>
        <v>11</v>
      </c>
      <c r="G219" s="2">
        <f>VLOOKUP(A219,Table3[#All],7,FALSE)</f>
        <v>36725</v>
      </c>
      <c r="H219" s="2">
        <f>VLOOKUP(A219,Table3[#All],8,FALSE)</f>
        <v>6</v>
      </c>
      <c r="I219" s="2">
        <f>VLOOKUP(A219,Table3[#All],9,FALSE)</f>
        <v>50</v>
      </c>
      <c r="J219" s="2">
        <f>VLOOKUP(A219,Table3[#All],10,FALSE)</f>
        <v>1</v>
      </c>
      <c r="K219" s="2">
        <f>VLOOKUP(A219,Table3[#All],11,FALSE)</f>
        <v>90</v>
      </c>
      <c r="L219" s="2" t="str">
        <f>VLOOKUP(A219,Table3[#All],12,FALSE)</f>
        <v>Pune</v>
      </c>
      <c r="M219" s="2" t="str">
        <f t="shared" si="3"/>
        <v>Not Eligible</v>
      </c>
    </row>
    <row r="220" spans="1:13" x14ac:dyDescent="0.25">
      <c r="A220" s="6" t="s">
        <v>451</v>
      </c>
      <c r="B220" s="2" t="str">
        <f>VLOOKUP(A220,Table3[#All],2,FALSE)</f>
        <v>Anitha</v>
      </c>
      <c r="C220" s="2" t="str">
        <f>VLOOKUP(A220,Table3[#All],3,FALSE)</f>
        <v>Finance</v>
      </c>
      <c r="D220" s="2">
        <f>VLOOKUP(A220,Table3[#All],4,FALSE)</f>
        <v>35</v>
      </c>
      <c r="E220" s="2" t="str">
        <f>VLOOKUP(A220,Table3[#All],5,FALSE)</f>
        <v>Male</v>
      </c>
      <c r="F220" s="2">
        <f>VLOOKUP(A220,Table3[#All],6,FALSE)</f>
        <v>13</v>
      </c>
      <c r="G220" s="2">
        <f>VLOOKUP(A220,Table3[#All],7,FALSE)</f>
        <v>36776</v>
      </c>
      <c r="H220" s="2">
        <f>VLOOKUP(A220,Table3[#All],8,FALSE)</f>
        <v>13</v>
      </c>
      <c r="I220" s="2">
        <f>VLOOKUP(A220,Table3[#All],9,FALSE)</f>
        <v>41</v>
      </c>
      <c r="J220" s="2">
        <f>VLOOKUP(A220,Table3[#All],10,FALSE)</f>
        <v>2</v>
      </c>
      <c r="K220" s="2">
        <f>VLOOKUP(A220,Table3[#All],11,FALSE)</f>
        <v>99</v>
      </c>
      <c r="L220" s="2" t="str">
        <f>VLOOKUP(A220,Table3[#All],12,FALSE)</f>
        <v>Chennai</v>
      </c>
      <c r="M220" s="2" t="str">
        <f t="shared" si="3"/>
        <v>Eligible</v>
      </c>
    </row>
    <row r="221" spans="1:13" hidden="1" x14ac:dyDescent="0.25">
      <c r="A221" s="6" t="s">
        <v>561</v>
      </c>
      <c r="B221" s="2" t="str">
        <f>VLOOKUP(A221,Table3[#All],2,FALSE)</f>
        <v>Arun</v>
      </c>
      <c r="C221" s="2" t="str">
        <f>VLOOKUP(A221,Table3[#All],3,FALSE)</f>
        <v>Finance</v>
      </c>
      <c r="D221" s="2">
        <f>VLOOKUP(A221,Table3[#All],4,FALSE)</f>
        <v>40</v>
      </c>
      <c r="E221" s="2" t="str">
        <f>VLOOKUP(A221,Table3[#All],5,FALSE)</f>
        <v>Male</v>
      </c>
      <c r="F221" s="2">
        <f>VLOOKUP(A221,Table3[#All],6,FALSE)</f>
        <v>6</v>
      </c>
      <c r="G221" s="2">
        <f>VLOOKUP(A221,Table3[#All],7,FALSE)</f>
        <v>36861</v>
      </c>
      <c r="H221" s="2">
        <f>VLOOKUP(A221,Table3[#All],8,FALSE)</f>
        <v>8</v>
      </c>
      <c r="I221" s="2">
        <f>VLOOKUP(A221,Table3[#All],9,FALSE)</f>
        <v>46</v>
      </c>
      <c r="J221" s="2">
        <f>VLOOKUP(A221,Table3[#All],10,FALSE)</f>
        <v>3</v>
      </c>
      <c r="K221" s="2">
        <f>VLOOKUP(A221,Table3[#All],11,FALSE)</f>
        <v>86</v>
      </c>
      <c r="L221" s="2" t="str">
        <f>VLOOKUP(A221,Table3[#All],12,FALSE)</f>
        <v>Chennai</v>
      </c>
      <c r="M221" s="2" t="str">
        <f t="shared" si="3"/>
        <v>Not Eligible</v>
      </c>
    </row>
    <row r="222" spans="1:13" hidden="1" x14ac:dyDescent="0.25">
      <c r="A222" s="6" t="s">
        <v>493</v>
      </c>
      <c r="B222" s="2" t="str">
        <f>VLOOKUP(A222,Table3[#All],2,FALSE)</f>
        <v>Vijay</v>
      </c>
      <c r="C222" s="2" t="str">
        <f>VLOOKUP(A222,Table3[#All],3,FALSE)</f>
        <v>Sales</v>
      </c>
      <c r="D222" s="2">
        <f>VLOOKUP(A222,Table3[#All],4,FALSE)</f>
        <v>24</v>
      </c>
      <c r="E222" s="2" t="str">
        <f>VLOOKUP(A222,Table3[#All],5,FALSE)</f>
        <v>Male</v>
      </c>
      <c r="F222" s="2">
        <f>VLOOKUP(A222,Table3[#All],6,FALSE)</f>
        <v>5</v>
      </c>
      <c r="G222" s="2">
        <f>VLOOKUP(A222,Table3[#All],7,FALSE)</f>
        <v>36879</v>
      </c>
      <c r="H222" s="2">
        <f>VLOOKUP(A222,Table3[#All],8,FALSE)</f>
        <v>15</v>
      </c>
      <c r="I222" s="2">
        <f>VLOOKUP(A222,Table3[#All],9,FALSE)</f>
        <v>40</v>
      </c>
      <c r="J222" s="2">
        <f>VLOOKUP(A222,Table3[#All],10,FALSE)</f>
        <v>2</v>
      </c>
      <c r="K222" s="2">
        <f>VLOOKUP(A222,Table3[#All],11,FALSE)</f>
        <v>87</v>
      </c>
      <c r="L222" s="2" t="str">
        <f>VLOOKUP(A222,Table3[#All],12,FALSE)</f>
        <v>Pune</v>
      </c>
      <c r="M222" s="2" t="str">
        <f t="shared" si="3"/>
        <v>Not Eligible</v>
      </c>
    </row>
    <row r="223" spans="1:13" hidden="1" x14ac:dyDescent="0.25">
      <c r="A223" s="5" t="s">
        <v>140</v>
      </c>
      <c r="B223" s="2" t="str">
        <f>VLOOKUP(A223,Table3[#All],2,FALSE)</f>
        <v>Rekha</v>
      </c>
      <c r="C223" s="2" t="str">
        <f>VLOOKUP(A223,Table3[#All],3,FALSE)</f>
        <v>Finance</v>
      </c>
      <c r="D223" s="2">
        <f>VLOOKUP(A223,Table3[#All],4,FALSE)</f>
        <v>27</v>
      </c>
      <c r="E223" s="2" t="str">
        <f>VLOOKUP(A223,Table3[#All],5,FALSE)</f>
        <v>Female</v>
      </c>
      <c r="F223" s="2">
        <f>VLOOKUP(A223,Table3[#All],6,FALSE)</f>
        <v>12</v>
      </c>
      <c r="G223" s="2">
        <f>VLOOKUP(A223,Table3[#All],7,FALSE)</f>
        <v>36903</v>
      </c>
      <c r="H223" s="2">
        <f>VLOOKUP(A223,Table3[#All],8,FALSE)</f>
        <v>8</v>
      </c>
      <c r="I223" s="2">
        <f>VLOOKUP(A223,Table3[#All],9,FALSE)</f>
        <v>44</v>
      </c>
      <c r="J223" s="2">
        <f>VLOOKUP(A223,Table3[#All],10,FALSE)</f>
        <v>3</v>
      </c>
      <c r="K223" s="2">
        <f>VLOOKUP(A223,Table3[#All],11,FALSE)</f>
        <v>99</v>
      </c>
      <c r="L223" s="2" t="str">
        <f>VLOOKUP(A223,Table3[#All],12,FALSE)</f>
        <v>Mumbai</v>
      </c>
      <c r="M223" s="2" t="str">
        <f t="shared" si="3"/>
        <v>Eligible</v>
      </c>
    </row>
    <row r="224" spans="1:13" hidden="1" x14ac:dyDescent="0.25">
      <c r="A224" s="5" t="s">
        <v>266</v>
      </c>
      <c r="B224" s="2" t="str">
        <f>VLOOKUP(A224,Table3[#All],2,FALSE)</f>
        <v>Manoj</v>
      </c>
      <c r="C224" s="2" t="str">
        <f>VLOOKUP(A224,Table3[#All],3,FALSE)</f>
        <v>HR</v>
      </c>
      <c r="D224" s="2">
        <f>VLOOKUP(A224,Table3[#All],4,FALSE)</f>
        <v>31</v>
      </c>
      <c r="E224" s="2" t="str">
        <f>VLOOKUP(A224,Table3[#All],5,FALSE)</f>
        <v>Female</v>
      </c>
      <c r="F224" s="2">
        <f>VLOOKUP(A224,Table3[#All],6,FALSE)</f>
        <v>2</v>
      </c>
      <c r="G224" s="2">
        <f>VLOOKUP(A224,Table3[#All],7,FALSE)</f>
        <v>55045</v>
      </c>
      <c r="H224" s="2">
        <f>VLOOKUP(A224,Table3[#All],8,FALSE)</f>
        <v>6</v>
      </c>
      <c r="I224" s="2">
        <f>VLOOKUP(A224,Table3[#All],9,FALSE)</f>
        <v>39</v>
      </c>
      <c r="J224" s="2">
        <f>VLOOKUP(A224,Table3[#All],10,FALSE)</f>
        <v>5</v>
      </c>
      <c r="K224" s="2">
        <f>VLOOKUP(A224,Table3[#All],11,FALSE)</f>
        <v>95</v>
      </c>
      <c r="L224" s="2" t="str">
        <f>VLOOKUP(A224,Table3[#All],12,FALSE)</f>
        <v>Mumbai</v>
      </c>
      <c r="M224" s="2" t="str">
        <f t="shared" si="3"/>
        <v>Eligible</v>
      </c>
    </row>
    <row r="225" spans="1:13" hidden="1" x14ac:dyDescent="0.25">
      <c r="A225" s="6" t="s">
        <v>337</v>
      </c>
      <c r="B225" s="2" t="str">
        <f>VLOOKUP(A225,Table3[#All],2,FALSE)</f>
        <v>Rekha</v>
      </c>
      <c r="C225" s="2" t="str">
        <f>VLOOKUP(A225,Table3[#All],3,FALSE)</f>
        <v>Sales</v>
      </c>
      <c r="D225" s="2">
        <f>VLOOKUP(A225,Table3[#All],4,FALSE)</f>
        <v>39</v>
      </c>
      <c r="E225" s="2" t="str">
        <f>VLOOKUP(A225,Table3[#All],5,FALSE)</f>
        <v>Female</v>
      </c>
      <c r="F225" s="2">
        <f>VLOOKUP(A225,Table3[#All],6,FALSE)</f>
        <v>8</v>
      </c>
      <c r="G225" s="2">
        <f>VLOOKUP(A225,Table3[#All],7,FALSE)</f>
        <v>37060</v>
      </c>
      <c r="H225" s="2">
        <f>VLOOKUP(A225,Table3[#All],8,FALSE)</f>
        <v>8</v>
      </c>
      <c r="I225" s="2">
        <f>VLOOKUP(A225,Table3[#All],9,FALSE)</f>
        <v>36</v>
      </c>
      <c r="J225" s="2">
        <f>VLOOKUP(A225,Table3[#All],10,FALSE)</f>
        <v>1</v>
      </c>
      <c r="K225" s="2">
        <f>VLOOKUP(A225,Table3[#All],11,FALSE)</f>
        <v>89</v>
      </c>
      <c r="L225" s="2" t="str">
        <f>VLOOKUP(A225,Table3[#All],12,FALSE)</f>
        <v>Mumbai</v>
      </c>
      <c r="M225" s="2" t="str">
        <f t="shared" si="3"/>
        <v>Not Eligible</v>
      </c>
    </row>
    <row r="226" spans="1:13" hidden="1" x14ac:dyDescent="0.25">
      <c r="A226" s="5" t="s">
        <v>560</v>
      </c>
      <c r="B226" s="2" t="str">
        <f>VLOOKUP(A226,Table3[#All],2,FALSE)</f>
        <v>Karthik</v>
      </c>
      <c r="C226" s="2" t="str">
        <f>VLOOKUP(A226,Table3[#All],3,FALSE)</f>
        <v>HR</v>
      </c>
      <c r="D226" s="2">
        <f>VLOOKUP(A226,Table3[#All],4,FALSE)</f>
        <v>38</v>
      </c>
      <c r="E226" s="2" t="str">
        <f>VLOOKUP(A226,Table3[#All],5,FALSE)</f>
        <v>Female</v>
      </c>
      <c r="F226" s="2">
        <f>VLOOKUP(A226,Table3[#All],6,FALSE)</f>
        <v>10</v>
      </c>
      <c r="G226" s="2">
        <f>VLOOKUP(A226,Table3[#All],7,FALSE)</f>
        <v>37092</v>
      </c>
      <c r="H226" s="2">
        <f>VLOOKUP(A226,Table3[#All],8,FALSE)</f>
        <v>9</v>
      </c>
      <c r="I226" s="2">
        <f>VLOOKUP(A226,Table3[#All],9,FALSE)</f>
        <v>48</v>
      </c>
      <c r="J226" s="2">
        <f>VLOOKUP(A226,Table3[#All],10,FALSE)</f>
        <v>1</v>
      </c>
      <c r="K226" s="2">
        <f>VLOOKUP(A226,Table3[#All],11,FALSE)</f>
        <v>90</v>
      </c>
      <c r="L226" s="2" t="str">
        <f>VLOOKUP(A226,Table3[#All],12,FALSE)</f>
        <v>Hyderabad</v>
      </c>
      <c r="M226" s="2" t="str">
        <f t="shared" si="3"/>
        <v>Not Eligible</v>
      </c>
    </row>
    <row r="227" spans="1:13" hidden="1" x14ac:dyDescent="0.25">
      <c r="A227" s="5" t="s">
        <v>662</v>
      </c>
      <c r="B227" s="2" t="str">
        <f>VLOOKUP(A227,Table3[#All],2,FALSE)</f>
        <v>Lakshmi</v>
      </c>
      <c r="C227" s="2" t="str">
        <f>VLOOKUP(A227,Table3[#All],3,FALSE)</f>
        <v>HR</v>
      </c>
      <c r="D227" s="2">
        <f>VLOOKUP(A227,Table3[#All],4,FALSE)</f>
        <v>30</v>
      </c>
      <c r="E227" s="2" t="str">
        <f>VLOOKUP(A227,Table3[#All],5,FALSE)</f>
        <v>Female</v>
      </c>
      <c r="F227" s="2">
        <f>VLOOKUP(A227,Table3[#All],6,FALSE)</f>
        <v>8</v>
      </c>
      <c r="G227" s="2">
        <f>VLOOKUP(A227,Table3[#All],7,FALSE)</f>
        <v>37145</v>
      </c>
      <c r="H227" s="2">
        <f>VLOOKUP(A227,Table3[#All],8,FALSE)</f>
        <v>8</v>
      </c>
      <c r="I227" s="2">
        <f>VLOOKUP(A227,Table3[#All],9,FALSE)</f>
        <v>47</v>
      </c>
      <c r="J227" s="2">
        <f>VLOOKUP(A227,Table3[#All],10,FALSE)</f>
        <v>4</v>
      </c>
      <c r="K227" s="2">
        <f>VLOOKUP(A227,Table3[#All],11,FALSE)</f>
        <v>92</v>
      </c>
      <c r="L227" s="2" t="str">
        <f>VLOOKUP(A227,Table3[#All],12,FALSE)</f>
        <v>Chennai</v>
      </c>
      <c r="M227" s="2" t="str">
        <f t="shared" si="3"/>
        <v>Not Eligible</v>
      </c>
    </row>
    <row r="228" spans="1:13" hidden="1" x14ac:dyDescent="0.25">
      <c r="A228" s="5" t="s">
        <v>270</v>
      </c>
      <c r="B228" s="2" t="str">
        <f>VLOOKUP(A228,Table3[#All],2,FALSE)</f>
        <v>Anitha</v>
      </c>
      <c r="C228" s="2" t="str">
        <f>VLOOKUP(A228,Table3[#All],3,FALSE)</f>
        <v>IT</v>
      </c>
      <c r="D228" s="2">
        <f>VLOOKUP(A228,Table3[#All],4,FALSE)</f>
        <v>36</v>
      </c>
      <c r="E228" s="2" t="str">
        <f>VLOOKUP(A228,Table3[#All],5,FALSE)</f>
        <v>Male</v>
      </c>
      <c r="F228" s="2">
        <f>VLOOKUP(A228,Table3[#All],6,FALSE)</f>
        <v>4</v>
      </c>
      <c r="G228" s="2">
        <f>VLOOKUP(A228,Table3[#All],7,FALSE)</f>
        <v>55981</v>
      </c>
      <c r="H228" s="2">
        <f>VLOOKUP(A228,Table3[#All],8,FALSE)</f>
        <v>3</v>
      </c>
      <c r="I228" s="2">
        <f>VLOOKUP(A228,Table3[#All],9,FALSE)</f>
        <v>48</v>
      </c>
      <c r="J228" s="2">
        <f>VLOOKUP(A228,Table3[#All],10,FALSE)</f>
        <v>3</v>
      </c>
      <c r="K228" s="2">
        <f>VLOOKUP(A228,Table3[#All],11,FALSE)</f>
        <v>87</v>
      </c>
      <c r="L228" s="2" t="str">
        <f>VLOOKUP(A228,Table3[#All],12,FALSE)</f>
        <v>Bangalore</v>
      </c>
      <c r="M228" s="2" t="str">
        <f t="shared" si="3"/>
        <v>Not Eligible</v>
      </c>
    </row>
    <row r="229" spans="1:13" hidden="1" x14ac:dyDescent="0.25">
      <c r="A229" s="5" t="s">
        <v>876</v>
      </c>
      <c r="B229" s="2" t="str">
        <f>VLOOKUP(A229,Table3[#All],2,FALSE)</f>
        <v>Rekha</v>
      </c>
      <c r="C229" s="2" t="str">
        <f>VLOOKUP(A229,Table3[#All],3,FALSE)</f>
        <v>Finance</v>
      </c>
      <c r="D229" s="2">
        <f>VLOOKUP(A229,Table3[#All],4,FALSE)</f>
        <v>29</v>
      </c>
      <c r="E229" s="2" t="str">
        <f>VLOOKUP(A229,Table3[#All],5,FALSE)</f>
        <v>Female</v>
      </c>
      <c r="F229" s="2">
        <f>VLOOKUP(A229,Table3[#All],6,FALSE)</f>
        <v>13</v>
      </c>
      <c r="G229" s="2">
        <f>VLOOKUP(A229,Table3[#All],7,FALSE)</f>
        <v>37227</v>
      </c>
      <c r="H229" s="2">
        <f>VLOOKUP(A229,Table3[#All],8,FALSE)</f>
        <v>3</v>
      </c>
      <c r="I229" s="2">
        <f>VLOOKUP(A229,Table3[#All],9,FALSE)</f>
        <v>46</v>
      </c>
      <c r="J229" s="2">
        <f>VLOOKUP(A229,Table3[#All],10,FALSE)</f>
        <v>5</v>
      </c>
      <c r="K229" s="2">
        <f>VLOOKUP(A229,Table3[#All],11,FALSE)</f>
        <v>86</v>
      </c>
      <c r="L229" s="2" t="str">
        <f>VLOOKUP(A229,Table3[#All],12,FALSE)</f>
        <v>Hyderabad</v>
      </c>
      <c r="M229" s="2" t="str">
        <f t="shared" si="3"/>
        <v>Not Eligible</v>
      </c>
    </row>
    <row r="230" spans="1:13" x14ac:dyDescent="0.25">
      <c r="A230" s="6" t="s">
        <v>959</v>
      </c>
      <c r="B230" s="2" t="str">
        <f>VLOOKUP(A230,Table3[#All],2,FALSE)</f>
        <v>Lakshmi</v>
      </c>
      <c r="C230" s="2" t="str">
        <f>VLOOKUP(A230,Table3[#All],3,FALSE)</f>
        <v>Sales</v>
      </c>
      <c r="D230" s="2">
        <f>VLOOKUP(A230,Table3[#All],4,FALSE)</f>
        <v>32</v>
      </c>
      <c r="E230" s="2" t="str">
        <f>VLOOKUP(A230,Table3[#All],5,FALSE)</f>
        <v>Male</v>
      </c>
      <c r="F230" s="2">
        <f>VLOOKUP(A230,Table3[#All],6,FALSE)</f>
        <v>12</v>
      </c>
      <c r="G230" s="2">
        <f>VLOOKUP(A230,Table3[#All],7,FALSE)</f>
        <v>37246</v>
      </c>
      <c r="H230" s="2">
        <f>VLOOKUP(A230,Table3[#All],8,FALSE)</f>
        <v>12</v>
      </c>
      <c r="I230" s="2">
        <f>VLOOKUP(A230,Table3[#All],9,FALSE)</f>
        <v>40</v>
      </c>
      <c r="J230" s="2">
        <f>VLOOKUP(A230,Table3[#All],10,FALSE)</f>
        <v>5</v>
      </c>
      <c r="K230" s="2">
        <f>VLOOKUP(A230,Table3[#All],11,FALSE)</f>
        <v>97</v>
      </c>
      <c r="L230" s="2" t="str">
        <f>VLOOKUP(A230,Table3[#All],12,FALSE)</f>
        <v>Delhi</v>
      </c>
      <c r="M230" s="2" t="str">
        <f t="shared" si="3"/>
        <v>Eligible</v>
      </c>
    </row>
    <row r="231" spans="1:13" hidden="1" x14ac:dyDescent="0.25">
      <c r="A231" s="6" t="s">
        <v>363</v>
      </c>
      <c r="B231" s="2" t="str">
        <f>VLOOKUP(A231,Table3[#All],2,FALSE)</f>
        <v>Meena</v>
      </c>
      <c r="C231" s="2" t="str">
        <f>VLOOKUP(A231,Table3[#All],3,FALSE)</f>
        <v>Finance</v>
      </c>
      <c r="D231" s="2">
        <f>VLOOKUP(A231,Table3[#All],4,FALSE)</f>
        <v>23</v>
      </c>
      <c r="E231" s="2" t="str">
        <f>VLOOKUP(A231,Table3[#All],5,FALSE)</f>
        <v>Female</v>
      </c>
      <c r="F231" s="2">
        <f>VLOOKUP(A231,Table3[#All],6,FALSE)</f>
        <v>15</v>
      </c>
      <c r="G231" s="2">
        <f>VLOOKUP(A231,Table3[#All],7,FALSE)</f>
        <v>37337</v>
      </c>
      <c r="H231" s="2">
        <f>VLOOKUP(A231,Table3[#All],8,FALSE)</f>
        <v>9</v>
      </c>
      <c r="I231" s="2">
        <f>VLOOKUP(A231,Table3[#All],9,FALSE)</f>
        <v>48</v>
      </c>
      <c r="J231" s="2">
        <f>VLOOKUP(A231,Table3[#All],10,FALSE)</f>
        <v>1</v>
      </c>
      <c r="K231" s="2">
        <f>VLOOKUP(A231,Table3[#All],11,FALSE)</f>
        <v>93</v>
      </c>
      <c r="L231" s="2" t="str">
        <f>VLOOKUP(A231,Table3[#All],12,FALSE)</f>
        <v>Pune</v>
      </c>
      <c r="M231" s="2" t="str">
        <f t="shared" si="3"/>
        <v>Not Eligible</v>
      </c>
    </row>
    <row r="232" spans="1:13" hidden="1" x14ac:dyDescent="0.25">
      <c r="A232" s="5" t="s">
        <v>274</v>
      </c>
      <c r="B232" s="2" t="str">
        <f>VLOOKUP(A232,Table3[#All],2,FALSE)</f>
        <v>Kavya</v>
      </c>
      <c r="C232" s="2" t="str">
        <f>VLOOKUP(A232,Table3[#All],3,FALSE)</f>
        <v>Finance</v>
      </c>
      <c r="D232" s="2">
        <f>VLOOKUP(A232,Table3[#All],4,FALSE)</f>
        <v>39</v>
      </c>
      <c r="E232" s="2" t="str">
        <f>VLOOKUP(A232,Table3[#All],5,FALSE)</f>
        <v>Male</v>
      </c>
      <c r="F232" s="2">
        <f>VLOOKUP(A232,Table3[#All],6,FALSE)</f>
        <v>3</v>
      </c>
      <c r="G232" s="2">
        <f>VLOOKUP(A232,Table3[#All],7,FALSE)</f>
        <v>58783</v>
      </c>
      <c r="H232" s="2">
        <f>VLOOKUP(A232,Table3[#All],8,FALSE)</f>
        <v>13</v>
      </c>
      <c r="I232" s="2">
        <f>VLOOKUP(A232,Table3[#All],9,FALSE)</f>
        <v>42</v>
      </c>
      <c r="J232" s="2">
        <f>VLOOKUP(A232,Table3[#All],10,FALSE)</f>
        <v>5</v>
      </c>
      <c r="K232" s="2">
        <f>VLOOKUP(A232,Table3[#All],11,FALSE)</f>
        <v>99</v>
      </c>
      <c r="L232" s="2" t="str">
        <f>VLOOKUP(A232,Table3[#All],12,FALSE)</f>
        <v>Pune</v>
      </c>
      <c r="M232" s="2" t="str">
        <f t="shared" si="3"/>
        <v>Eligible</v>
      </c>
    </row>
    <row r="233" spans="1:13" hidden="1" x14ac:dyDescent="0.25">
      <c r="A233" s="6" t="s">
        <v>275</v>
      </c>
      <c r="B233" s="2" t="str">
        <f>VLOOKUP(A233,Table3[#All],2,FALSE)</f>
        <v>Sanjay</v>
      </c>
      <c r="C233" s="2" t="str">
        <f>VLOOKUP(A233,Table3[#All],3,FALSE)</f>
        <v>Finance</v>
      </c>
      <c r="D233" s="2">
        <f>VLOOKUP(A233,Table3[#All],4,FALSE)</f>
        <v>34</v>
      </c>
      <c r="E233" s="2" t="str">
        <f>VLOOKUP(A233,Table3[#All],5,FALSE)</f>
        <v>Male</v>
      </c>
      <c r="F233" s="2">
        <f>VLOOKUP(A233,Table3[#All],6,FALSE)</f>
        <v>3</v>
      </c>
      <c r="G233" s="2">
        <f>VLOOKUP(A233,Table3[#All],7,FALSE)</f>
        <v>78997</v>
      </c>
      <c r="H233" s="2">
        <f>VLOOKUP(A233,Table3[#All],8,FALSE)</f>
        <v>4</v>
      </c>
      <c r="I233" s="2">
        <f>VLOOKUP(A233,Table3[#All],9,FALSE)</f>
        <v>47</v>
      </c>
      <c r="J233" s="2">
        <f>VLOOKUP(A233,Table3[#All],10,FALSE)</f>
        <v>5</v>
      </c>
      <c r="K233" s="2">
        <f>VLOOKUP(A233,Table3[#All],11,FALSE)</f>
        <v>97</v>
      </c>
      <c r="L233" s="2" t="str">
        <f>VLOOKUP(A233,Table3[#All],12,FALSE)</f>
        <v>Mumbai</v>
      </c>
      <c r="M233" s="2" t="str">
        <f t="shared" si="3"/>
        <v>Eligible</v>
      </c>
    </row>
    <row r="234" spans="1:13" hidden="1" x14ac:dyDescent="0.25">
      <c r="A234" s="5" t="s">
        <v>302</v>
      </c>
      <c r="B234" s="2" t="str">
        <f>VLOOKUP(A234,Table3[#All],2,FALSE)</f>
        <v>Arun</v>
      </c>
      <c r="C234" s="2" t="str">
        <f>VLOOKUP(A234,Table3[#All],3,FALSE)</f>
        <v>Finance</v>
      </c>
      <c r="D234" s="2">
        <f>VLOOKUP(A234,Table3[#All],4,FALSE)</f>
        <v>29</v>
      </c>
      <c r="E234" s="2" t="str">
        <f>VLOOKUP(A234,Table3[#All],5,FALSE)</f>
        <v>Female</v>
      </c>
      <c r="F234" s="2">
        <f>VLOOKUP(A234,Table3[#All],6,FALSE)</f>
        <v>14</v>
      </c>
      <c r="G234" s="2">
        <f>VLOOKUP(A234,Table3[#All],7,FALSE)</f>
        <v>37419</v>
      </c>
      <c r="H234" s="2">
        <f>VLOOKUP(A234,Table3[#All],8,FALSE)</f>
        <v>14</v>
      </c>
      <c r="I234" s="2">
        <f>VLOOKUP(A234,Table3[#All],9,FALSE)</f>
        <v>38</v>
      </c>
      <c r="J234" s="2">
        <f>VLOOKUP(A234,Table3[#All],10,FALSE)</f>
        <v>1</v>
      </c>
      <c r="K234" s="2">
        <f>VLOOKUP(A234,Table3[#All],11,FALSE)</f>
        <v>89</v>
      </c>
      <c r="L234" s="2" t="str">
        <f>VLOOKUP(A234,Table3[#All],12,FALSE)</f>
        <v>Mumbai</v>
      </c>
      <c r="M234" s="2" t="str">
        <f t="shared" si="3"/>
        <v>Not Eligible</v>
      </c>
    </row>
    <row r="235" spans="1:13" hidden="1" x14ac:dyDescent="0.25">
      <c r="A235" s="5" t="s">
        <v>542</v>
      </c>
      <c r="B235" s="2" t="str">
        <f>VLOOKUP(A235,Table3[#All],2,FALSE)</f>
        <v>Anitha</v>
      </c>
      <c r="C235" s="2" t="str">
        <f>VLOOKUP(A235,Table3[#All],3,FALSE)</f>
        <v>HR</v>
      </c>
      <c r="D235" s="2">
        <f>VLOOKUP(A235,Table3[#All],4,FALSE)</f>
        <v>24</v>
      </c>
      <c r="E235" s="2" t="str">
        <f>VLOOKUP(A235,Table3[#All],5,FALSE)</f>
        <v>Female</v>
      </c>
      <c r="F235" s="2">
        <f>VLOOKUP(A235,Table3[#All],6,FALSE)</f>
        <v>15</v>
      </c>
      <c r="G235" s="2">
        <f>VLOOKUP(A235,Table3[#All],7,FALSE)</f>
        <v>37436</v>
      </c>
      <c r="H235" s="2">
        <f>VLOOKUP(A235,Table3[#All],8,FALSE)</f>
        <v>4</v>
      </c>
      <c r="I235" s="2">
        <f>VLOOKUP(A235,Table3[#All],9,FALSE)</f>
        <v>48</v>
      </c>
      <c r="J235" s="2">
        <f>VLOOKUP(A235,Table3[#All],10,FALSE)</f>
        <v>3</v>
      </c>
      <c r="K235" s="2">
        <f>VLOOKUP(A235,Table3[#All],11,FALSE)</f>
        <v>85</v>
      </c>
      <c r="L235" s="2" t="str">
        <f>VLOOKUP(A235,Table3[#All],12,FALSE)</f>
        <v>Pune</v>
      </c>
      <c r="M235" s="2" t="str">
        <f t="shared" si="3"/>
        <v>Not Eligible</v>
      </c>
    </row>
    <row r="236" spans="1:13" x14ac:dyDescent="0.25">
      <c r="A236" s="5" t="s">
        <v>636</v>
      </c>
      <c r="B236" s="2" t="str">
        <f>VLOOKUP(A236,Table3[#All],2,FALSE)</f>
        <v>Karthik</v>
      </c>
      <c r="C236" s="2" t="str">
        <f>VLOOKUP(A236,Table3[#All],3,FALSE)</f>
        <v>IT</v>
      </c>
      <c r="D236" s="2">
        <f>VLOOKUP(A236,Table3[#All],4,FALSE)</f>
        <v>31</v>
      </c>
      <c r="E236" s="2" t="str">
        <f>VLOOKUP(A236,Table3[#All],5,FALSE)</f>
        <v>Female</v>
      </c>
      <c r="F236" s="2">
        <f>VLOOKUP(A236,Table3[#All],6,FALSE)</f>
        <v>7</v>
      </c>
      <c r="G236" s="2">
        <f>VLOOKUP(A236,Table3[#All],7,FALSE)</f>
        <v>37458</v>
      </c>
      <c r="H236" s="2">
        <f>VLOOKUP(A236,Table3[#All],8,FALSE)</f>
        <v>13</v>
      </c>
      <c r="I236" s="2">
        <f>VLOOKUP(A236,Table3[#All],9,FALSE)</f>
        <v>42</v>
      </c>
      <c r="J236" s="2">
        <f>VLOOKUP(A236,Table3[#All],10,FALSE)</f>
        <v>2</v>
      </c>
      <c r="K236" s="2">
        <f>VLOOKUP(A236,Table3[#All],11,FALSE)</f>
        <v>99</v>
      </c>
      <c r="L236" s="2" t="str">
        <f>VLOOKUP(A236,Table3[#All],12,FALSE)</f>
        <v>Mumbai</v>
      </c>
      <c r="M236" s="2" t="str">
        <f t="shared" si="3"/>
        <v>Eligible</v>
      </c>
    </row>
    <row r="237" spans="1:13" hidden="1" x14ac:dyDescent="0.25">
      <c r="A237" s="5" t="s">
        <v>180</v>
      </c>
      <c r="B237" s="2" t="str">
        <f>VLOOKUP(A237,Table3[#All],2,FALSE)</f>
        <v>Nisha</v>
      </c>
      <c r="C237" s="2" t="str">
        <f>VLOOKUP(A237,Table3[#All],3,FALSE)</f>
        <v>Finance</v>
      </c>
      <c r="D237" s="2">
        <f>VLOOKUP(A237,Table3[#All],4,FALSE)</f>
        <v>24</v>
      </c>
      <c r="E237" s="2" t="str">
        <f>VLOOKUP(A237,Table3[#All],5,FALSE)</f>
        <v>Male</v>
      </c>
      <c r="F237" s="2">
        <f>VLOOKUP(A237,Table3[#All],6,FALSE)</f>
        <v>5</v>
      </c>
      <c r="G237" s="2">
        <f>VLOOKUP(A237,Table3[#All],7,FALSE)</f>
        <v>37637</v>
      </c>
      <c r="H237" s="2">
        <f>VLOOKUP(A237,Table3[#All],8,FALSE)</f>
        <v>4</v>
      </c>
      <c r="I237" s="2">
        <f>VLOOKUP(A237,Table3[#All],9,FALSE)</f>
        <v>37</v>
      </c>
      <c r="J237" s="2">
        <f>VLOOKUP(A237,Table3[#All],10,FALSE)</f>
        <v>2</v>
      </c>
      <c r="K237" s="2">
        <f>VLOOKUP(A237,Table3[#All],11,FALSE)</f>
        <v>88</v>
      </c>
      <c r="L237" s="2" t="str">
        <f>VLOOKUP(A237,Table3[#All],12,FALSE)</f>
        <v>Delhi</v>
      </c>
      <c r="M237" s="2" t="str">
        <f t="shared" si="3"/>
        <v>Not Eligible</v>
      </c>
    </row>
    <row r="238" spans="1:13" hidden="1" x14ac:dyDescent="0.25">
      <c r="A238" s="6" t="s">
        <v>691</v>
      </c>
      <c r="B238" s="2" t="str">
        <f>VLOOKUP(A238,Table3[#All],2,FALSE)</f>
        <v>Karthik</v>
      </c>
      <c r="C238" s="2" t="str">
        <f>VLOOKUP(A238,Table3[#All],3,FALSE)</f>
        <v>Finance</v>
      </c>
      <c r="D238" s="2">
        <f>VLOOKUP(A238,Table3[#All],4,FALSE)</f>
        <v>36</v>
      </c>
      <c r="E238" s="2" t="str">
        <f>VLOOKUP(A238,Table3[#All],5,FALSE)</f>
        <v>Male</v>
      </c>
      <c r="F238" s="2">
        <f>VLOOKUP(A238,Table3[#All],6,FALSE)</f>
        <v>9</v>
      </c>
      <c r="G238" s="2">
        <f>VLOOKUP(A238,Table3[#All],7,FALSE)</f>
        <v>37807</v>
      </c>
      <c r="H238" s="2">
        <f>VLOOKUP(A238,Table3[#All],8,FALSE)</f>
        <v>15</v>
      </c>
      <c r="I238" s="2">
        <f>VLOOKUP(A238,Table3[#All],9,FALSE)</f>
        <v>43</v>
      </c>
      <c r="J238" s="2">
        <f>VLOOKUP(A238,Table3[#All],10,FALSE)</f>
        <v>1</v>
      </c>
      <c r="K238" s="2">
        <f>VLOOKUP(A238,Table3[#All],11,FALSE)</f>
        <v>89</v>
      </c>
      <c r="L238" s="2" t="str">
        <f>VLOOKUP(A238,Table3[#All],12,FALSE)</f>
        <v>Bangalore</v>
      </c>
      <c r="M238" s="2" t="str">
        <f t="shared" si="3"/>
        <v>Not Eligible</v>
      </c>
    </row>
    <row r="239" spans="1:13" hidden="1" x14ac:dyDescent="0.25">
      <c r="A239" s="5" t="s">
        <v>702</v>
      </c>
      <c r="B239" s="2" t="str">
        <f>VLOOKUP(A239,Table3[#All],2,FALSE)</f>
        <v>Karthik</v>
      </c>
      <c r="C239" s="2" t="str">
        <f>VLOOKUP(A239,Table3[#All],3,FALSE)</f>
        <v>Finance</v>
      </c>
      <c r="D239" s="2">
        <f>VLOOKUP(A239,Table3[#All],4,FALSE)</f>
        <v>26</v>
      </c>
      <c r="E239" s="2" t="str">
        <f>VLOOKUP(A239,Table3[#All],5,FALSE)</f>
        <v>Female</v>
      </c>
      <c r="F239" s="2">
        <f>VLOOKUP(A239,Table3[#All],6,FALSE)</f>
        <v>8</v>
      </c>
      <c r="G239" s="2">
        <f>VLOOKUP(A239,Table3[#All],7,FALSE)</f>
        <v>37891</v>
      </c>
      <c r="H239" s="2">
        <f>VLOOKUP(A239,Table3[#All],8,FALSE)</f>
        <v>6</v>
      </c>
      <c r="I239" s="2">
        <f>VLOOKUP(A239,Table3[#All],9,FALSE)</f>
        <v>37</v>
      </c>
      <c r="J239" s="2">
        <f>VLOOKUP(A239,Table3[#All],10,FALSE)</f>
        <v>1</v>
      </c>
      <c r="K239" s="2">
        <f>VLOOKUP(A239,Table3[#All],11,FALSE)</f>
        <v>91</v>
      </c>
      <c r="L239" s="2" t="str">
        <f>VLOOKUP(A239,Table3[#All],12,FALSE)</f>
        <v>Delhi</v>
      </c>
      <c r="M239" s="2" t="str">
        <f t="shared" si="3"/>
        <v>Not Eligible</v>
      </c>
    </row>
    <row r="240" spans="1:13" hidden="1" x14ac:dyDescent="0.25">
      <c r="A240" s="5" t="s">
        <v>656</v>
      </c>
      <c r="B240" s="2" t="str">
        <f>VLOOKUP(A240,Table3[#All],2,FALSE)</f>
        <v>Nisha</v>
      </c>
      <c r="C240" s="2" t="str">
        <f>VLOOKUP(A240,Table3[#All],3,FALSE)</f>
        <v>Finance</v>
      </c>
      <c r="D240" s="2">
        <f>VLOOKUP(A240,Table3[#All],4,FALSE)</f>
        <v>25</v>
      </c>
      <c r="E240" s="2" t="str">
        <f>VLOOKUP(A240,Table3[#All],5,FALSE)</f>
        <v>Male</v>
      </c>
      <c r="F240" s="2">
        <f>VLOOKUP(A240,Table3[#All],6,FALSE)</f>
        <v>5</v>
      </c>
      <c r="G240" s="2">
        <f>VLOOKUP(A240,Table3[#All],7,FALSE)</f>
        <v>38025</v>
      </c>
      <c r="H240" s="2">
        <f>VLOOKUP(A240,Table3[#All],8,FALSE)</f>
        <v>12</v>
      </c>
      <c r="I240" s="2">
        <f>VLOOKUP(A240,Table3[#All],9,FALSE)</f>
        <v>41</v>
      </c>
      <c r="J240" s="2">
        <f>VLOOKUP(A240,Table3[#All],10,FALSE)</f>
        <v>2</v>
      </c>
      <c r="K240" s="2">
        <f>VLOOKUP(A240,Table3[#All],11,FALSE)</f>
        <v>86</v>
      </c>
      <c r="L240" s="2" t="str">
        <f>VLOOKUP(A240,Table3[#All],12,FALSE)</f>
        <v>Pune</v>
      </c>
      <c r="M240" s="2" t="str">
        <f t="shared" si="3"/>
        <v>Not Eligible</v>
      </c>
    </row>
    <row r="241" spans="1:13" hidden="1" x14ac:dyDescent="0.25">
      <c r="A241" s="6" t="s">
        <v>283</v>
      </c>
      <c r="B241" s="2" t="str">
        <f>VLOOKUP(A241,Table3[#All],2,FALSE)</f>
        <v>Suresh</v>
      </c>
      <c r="C241" s="2" t="str">
        <f>VLOOKUP(A241,Table3[#All],3,FALSE)</f>
        <v>IT</v>
      </c>
      <c r="D241" s="2">
        <f>VLOOKUP(A241,Table3[#All],4,FALSE)</f>
        <v>30</v>
      </c>
      <c r="E241" s="2" t="str">
        <f>VLOOKUP(A241,Table3[#All],5,FALSE)</f>
        <v>Female</v>
      </c>
      <c r="F241" s="2">
        <f>VLOOKUP(A241,Table3[#All],6,FALSE)</f>
        <v>1</v>
      </c>
      <c r="G241" s="2">
        <f>VLOOKUP(A241,Table3[#All],7,FALSE)</f>
        <v>60420</v>
      </c>
      <c r="H241" s="2">
        <f>VLOOKUP(A241,Table3[#All],8,FALSE)</f>
        <v>15</v>
      </c>
      <c r="I241" s="2">
        <f>VLOOKUP(A241,Table3[#All],9,FALSE)</f>
        <v>39</v>
      </c>
      <c r="J241" s="2">
        <f>VLOOKUP(A241,Table3[#All],10,FALSE)</f>
        <v>5</v>
      </c>
      <c r="K241" s="2">
        <f>VLOOKUP(A241,Table3[#All],11,FALSE)</f>
        <v>86</v>
      </c>
      <c r="L241" s="2" t="str">
        <f>VLOOKUP(A241,Table3[#All],12,FALSE)</f>
        <v>Bangalore</v>
      </c>
      <c r="M241" s="2" t="str">
        <f t="shared" si="3"/>
        <v>Not Eligible</v>
      </c>
    </row>
    <row r="242" spans="1:13" hidden="1" x14ac:dyDescent="0.25">
      <c r="A242" s="5" t="s">
        <v>774</v>
      </c>
      <c r="B242" s="2" t="str">
        <f>VLOOKUP(A242,Table3[#All],2,FALSE)</f>
        <v>Priya</v>
      </c>
      <c r="C242" s="2" t="str">
        <f>VLOOKUP(A242,Table3[#All],3,FALSE)</f>
        <v>Sales</v>
      </c>
      <c r="D242" s="2">
        <f>VLOOKUP(A242,Table3[#All],4,FALSE)</f>
        <v>23</v>
      </c>
      <c r="E242" s="2" t="str">
        <f>VLOOKUP(A242,Table3[#All],5,FALSE)</f>
        <v>Male</v>
      </c>
      <c r="F242" s="2">
        <f>VLOOKUP(A242,Table3[#All],6,FALSE)</f>
        <v>7</v>
      </c>
      <c r="G242" s="2">
        <f>VLOOKUP(A242,Table3[#All],7,FALSE)</f>
        <v>38055</v>
      </c>
      <c r="H242" s="2">
        <f>VLOOKUP(A242,Table3[#All],8,FALSE)</f>
        <v>12</v>
      </c>
      <c r="I242" s="2">
        <f>VLOOKUP(A242,Table3[#All],9,FALSE)</f>
        <v>45</v>
      </c>
      <c r="J242" s="2">
        <f>VLOOKUP(A242,Table3[#All],10,FALSE)</f>
        <v>5</v>
      </c>
      <c r="K242" s="2">
        <f>VLOOKUP(A242,Table3[#All],11,FALSE)</f>
        <v>89</v>
      </c>
      <c r="L242" s="2" t="str">
        <f>VLOOKUP(A242,Table3[#All],12,FALSE)</f>
        <v>Delhi</v>
      </c>
      <c r="M242" s="2" t="str">
        <f t="shared" si="3"/>
        <v>Not Eligible</v>
      </c>
    </row>
    <row r="243" spans="1:13" hidden="1" x14ac:dyDescent="0.25">
      <c r="A243" s="6" t="s">
        <v>465</v>
      </c>
      <c r="B243" s="2" t="str">
        <f>VLOOKUP(A243,Table3[#All],2,FALSE)</f>
        <v>Manoj</v>
      </c>
      <c r="C243" s="2" t="str">
        <f>VLOOKUP(A243,Table3[#All],3,FALSE)</f>
        <v>Finance</v>
      </c>
      <c r="D243" s="2">
        <f>VLOOKUP(A243,Table3[#All],4,FALSE)</f>
        <v>40</v>
      </c>
      <c r="E243" s="2" t="str">
        <f>VLOOKUP(A243,Table3[#All],5,FALSE)</f>
        <v>Male</v>
      </c>
      <c r="F243" s="2">
        <f>VLOOKUP(A243,Table3[#All],6,FALSE)</f>
        <v>12</v>
      </c>
      <c r="G243" s="2">
        <f>VLOOKUP(A243,Table3[#All],7,FALSE)</f>
        <v>38087</v>
      </c>
      <c r="H243" s="2">
        <f>VLOOKUP(A243,Table3[#All],8,FALSE)</f>
        <v>6</v>
      </c>
      <c r="I243" s="2">
        <f>VLOOKUP(A243,Table3[#All],9,FALSE)</f>
        <v>35</v>
      </c>
      <c r="J243" s="2">
        <f>VLOOKUP(A243,Table3[#All],10,FALSE)</f>
        <v>4</v>
      </c>
      <c r="K243" s="2">
        <f>VLOOKUP(A243,Table3[#All],11,FALSE)</f>
        <v>88</v>
      </c>
      <c r="L243" s="2" t="str">
        <f>VLOOKUP(A243,Table3[#All],12,FALSE)</f>
        <v>Hyderabad</v>
      </c>
      <c r="M243" s="2" t="str">
        <f t="shared" si="3"/>
        <v>Not Eligible</v>
      </c>
    </row>
    <row r="244" spans="1:13" hidden="1" x14ac:dyDescent="0.25">
      <c r="A244" s="5" t="s">
        <v>286</v>
      </c>
      <c r="B244" s="2" t="str">
        <f>VLOOKUP(A244,Table3[#All],2,FALSE)</f>
        <v>Manoj</v>
      </c>
      <c r="C244" s="2" t="str">
        <f>VLOOKUP(A244,Table3[#All],3,FALSE)</f>
        <v>Finance</v>
      </c>
      <c r="D244" s="2">
        <f>VLOOKUP(A244,Table3[#All],4,FALSE)</f>
        <v>30</v>
      </c>
      <c r="E244" s="2" t="str">
        <f>VLOOKUP(A244,Table3[#All],5,FALSE)</f>
        <v>Female</v>
      </c>
      <c r="F244" s="2">
        <f>VLOOKUP(A244,Table3[#All],6,FALSE)</f>
        <v>3</v>
      </c>
      <c r="G244" s="2">
        <f>VLOOKUP(A244,Table3[#All],7,FALSE)</f>
        <v>44276</v>
      </c>
      <c r="H244" s="2">
        <f>VLOOKUP(A244,Table3[#All],8,FALSE)</f>
        <v>12</v>
      </c>
      <c r="I244" s="2">
        <f>VLOOKUP(A244,Table3[#All],9,FALSE)</f>
        <v>49</v>
      </c>
      <c r="J244" s="2">
        <f>VLOOKUP(A244,Table3[#All],10,FALSE)</f>
        <v>1</v>
      </c>
      <c r="K244" s="2">
        <f>VLOOKUP(A244,Table3[#All],11,FALSE)</f>
        <v>95</v>
      </c>
      <c r="L244" s="2" t="str">
        <f>VLOOKUP(A244,Table3[#All],12,FALSE)</f>
        <v>Bangalore</v>
      </c>
      <c r="M244" s="2" t="str">
        <f t="shared" si="3"/>
        <v>Eligible</v>
      </c>
    </row>
    <row r="245" spans="1:13" hidden="1" x14ac:dyDescent="0.25">
      <c r="A245" s="5" t="s">
        <v>1002</v>
      </c>
      <c r="B245" s="2" t="str">
        <f>VLOOKUP(A245,Table3[#All],2,FALSE)</f>
        <v>Vijay</v>
      </c>
      <c r="C245" s="2" t="str">
        <f>VLOOKUP(A245,Table3[#All],3,FALSE)</f>
        <v>IT</v>
      </c>
      <c r="D245" s="2">
        <f>VLOOKUP(A245,Table3[#All],4,FALSE)</f>
        <v>27</v>
      </c>
      <c r="E245" s="2" t="str">
        <f>VLOOKUP(A245,Table3[#All],5,FALSE)</f>
        <v>Female</v>
      </c>
      <c r="F245" s="2">
        <f>VLOOKUP(A245,Table3[#All],6,FALSE)</f>
        <v>10</v>
      </c>
      <c r="G245" s="2">
        <f>VLOOKUP(A245,Table3[#All],7,FALSE)</f>
        <v>38105</v>
      </c>
      <c r="H245" s="2">
        <f>VLOOKUP(A245,Table3[#All],8,FALSE)</f>
        <v>8</v>
      </c>
      <c r="I245" s="2">
        <f>VLOOKUP(A245,Table3[#All],9,FALSE)</f>
        <v>35</v>
      </c>
      <c r="J245" s="2">
        <f>VLOOKUP(A245,Table3[#All],10,FALSE)</f>
        <v>1</v>
      </c>
      <c r="K245" s="2">
        <f>VLOOKUP(A245,Table3[#All],11,FALSE)</f>
        <v>93</v>
      </c>
      <c r="L245" s="2" t="str">
        <f>VLOOKUP(A245,Table3[#All],12,FALSE)</f>
        <v>Chennai</v>
      </c>
      <c r="M245" s="2" t="str">
        <f t="shared" si="3"/>
        <v>Not Eligible</v>
      </c>
    </row>
    <row r="246" spans="1:13" hidden="1" x14ac:dyDescent="0.25">
      <c r="A246" s="5" t="s">
        <v>396</v>
      </c>
      <c r="B246" s="2" t="str">
        <f>VLOOKUP(A246,Table3[#All],2,FALSE)</f>
        <v>Manoj</v>
      </c>
      <c r="C246" s="2" t="str">
        <f>VLOOKUP(A246,Table3[#All],3,FALSE)</f>
        <v>Finance</v>
      </c>
      <c r="D246" s="2">
        <f>VLOOKUP(A246,Table3[#All],4,FALSE)</f>
        <v>28</v>
      </c>
      <c r="E246" s="2" t="str">
        <f>VLOOKUP(A246,Table3[#All],5,FALSE)</f>
        <v>Female</v>
      </c>
      <c r="F246" s="2">
        <f>VLOOKUP(A246,Table3[#All],6,FALSE)</f>
        <v>5</v>
      </c>
      <c r="G246" s="2">
        <f>VLOOKUP(A246,Table3[#All],7,FALSE)</f>
        <v>38114</v>
      </c>
      <c r="H246" s="2">
        <f>VLOOKUP(A246,Table3[#All],8,FALSE)</f>
        <v>4</v>
      </c>
      <c r="I246" s="2">
        <f>VLOOKUP(A246,Table3[#All],9,FALSE)</f>
        <v>39</v>
      </c>
      <c r="J246" s="2">
        <f>VLOOKUP(A246,Table3[#All],10,FALSE)</f>
        <v>1</v>
      </c>
      <c r="K246" s="2">
        <f>VLOOKUP(A246,Table3[#All],11,FALSE)</f>
        <v>92</v>
      </c>
      <c r="L246" s="2" t="str">
        <f>VLOOKUP(A246,Table3[#All],12,FALSE)</f>
        <v>Bangalore</v>
      </c>
      <c r="M246" s="2" t="str">
        <f t="shared" si="3"/>
        <v>Not Eligible</v>
      </c>
    </row>
    <row r="247" spans="1:13" hidden="1" x14ac:dyDescent="0.25">
      <c r="A247" s="5" t="s">
        <v>308</v>
      </c>
      <c r="B247" s="2" t="str">
        <f>VLOOKUP(A247,Table3[#All],2,FALSE)</f>
        <v>Ravi</v>
      </c>
      <c r="C247" s="2" t="str">
        <f>VLOOKUP(A247,Table3[#All],3,FALSE)</f>
        <v>Sales</v>
      </c>
      <c r="D247" s="2">
        <f>VLOOKUP(A247,Table3[#All],4,FALSE)</f>
        <v>25</v>
      </c>
      <c r="E247" s="2" t="str">
        <f>VLOOKUP(A247,Table3[#All],5,FALSE)</f>
        <v>Female</v>
      </c>
      <c r="F247" s="2">
        <f>VLOOKUP(A247,Table3[#All],6,FALSE)</f>
        <v>6</v>
      </c>
      <c r="G247" s="2">
        <f>VLOOKUP(A247,Table3[#All],7,FALSE)</f>
        <v>38419</v>
      </c>
      <c r="H247" s="2">
        <f>VLOOKUP(A247,Table3[#All],8,FALSE)</f>
        <v>3</v>
      </c>
      <c r="I247" s="2">
        <f>VLOOKUP(A247,Table3[#All],9,FALSE)</f>
        <v>42</v>
      </c>
      <c r="J247" s="2">
        <f>VLOOKUP(A247,Table3[#All],10,FALSE)</f>
        <v>3</v>
      </c>
      <c r="K247" s="2">
        <f>VLOOKUP(A247,Table3[#All],11,FALSE)</f>
        <v>85</v>
      </c>
      <c r="L247" s="2" t="str">
        <f>VLOOKUP(A247,Table3[#All],12,FALSE)</f>
        <v>Chennai</v>
      </c>
      <c r="M247" s="2" t="str">
        <f t="shared" si="3"/>
        <v>Not Eligible</v>
      </c>
    </row>
    <row r="248" spans="1:13" hidden="1" x14ac:dyDescent="0.25">
      <c r="A248" s="5" t="s">
        <v>778</v>
      </c>
      <c r="B248" s="2" t="str">
        <f>VLOOKUP(A248,Table3[#All],2,FALSE)</f>
        <v>Anitha</v>
      </c>
      <c r="C248" s="2" t="str">
        <f>VLOOKUP(A248,Table3[#All],3,FALSE)</f>
        <v>Finance</v>
      </c>
      <c r="D248" s="2">
        <f>VLOOKUP(A248,Table3[#All],4,FALSE)</f>
        <v>23</v>
      </c>
      <c r="E248" s="2" t="str">
        <f>VLOOKUP(A248,Table3[#All],5,FALSE)</f>
        <v>Male</v>
      </c>
      <c r="F248" s="2">
        <f>VLOOKUP(A248,Table3[#All],6,FALSE)</f>
        <v>10</v>
      </c>
      <c r="G248" s="2">
        <f>VLOOKUP(A248,Table3[#All],7,FALSE)</f>
        <v>38423</v>
      </c>
      <c r="H248" s="2">
        <f>VLOOKUP(A248,Table3[#All],8,FALSE)</f>
        <v>15</v>
      </c>
      <c r="I248" s="2">
        <f>VLOOKUP(A248,Table3[#All],9,FALSE)</f>
        <v>39</v>
      </c>
      <c r="J248" s="2">
        <f>VLOOKUP(A248,Table3[#All],10,FALSE)</f>
        <v>2</v>
      </c>
      <c r="K248" s="2">
        <f>VLOOKUP(A248,Table3[#All],11,FALSE)</f>
        <v>89</v>
      </c>
      <c r="L248" s="2" t="str">
        <f>VLOOKUP(A248,Table3[#All],12,FALSE)</f>
        <v>Delhi</v>
      </c>
      <c r="M248" s="2" t="str">
        <f t="shared" si="3"/>
        <v>Not Eligible</v>
      </c>
    </row>
    <row r="249" spans="1:13" hidden="1" x14ac:dyDescent="0.25">
      <c r="A249" s="5" t="s">
        <v>344</v>
      </c>
      <c r="B249" s="2" t="str">
        <f>VLOOKUP(A249,Table3[#All],2,FALSE)</f>
        <v>Deepa</v>
      </c>
      <c r="C249" s="2" t="str">
        <f>VLOOKUP(A249,Table3[#All],3,FALSE)</f>
        <v>IT</v>
      </c>
      <c r="D249" s="2">
        <f>VLOOKUP(A249,Table3[#All],4,FALSE)</f>
        <v>39</v>
      </c>
      <c r="E249" s="2" t="str">
        <f>VLOOKUP(A249,Table3[#All],5,FALSE)</f>
        <v>Male</v>
      </c>
      <c r="F249" s="2">
        <f>VLOOKUP(A249,Table3[#All],6,FALSE)</f>
        <v>6</v>
      </c>
      <c r="G249" s="2">
        <f>VLOOKUP(A249,Table3[#All],7,FALSE)</f>
        <v>38424</v>
      </c>
      <c r="H249" s="2">
        <f>VLOOKUP(A249,Table3[#All],8,FALSE)</f>
        <v>10</v>
      </c>
      <c r="I249" s="2">
        <f>VLOOKUP(A249,Table3[#All],9,FALSE)</f>
        <v>35</v>
      </c>
      <c r="J249" s="2">
        <f>VLOOKUP(A249,Table3[#All],10,FALSE)</f>
        <v>2</v>
      </c>
      <c r="K249" s="2">
        <f>VLOOKUP(A249,Table3[#All],11,FALSE)</f>
        <v>89</v>
      </c>
      <c r="L249" s="2" t="str">
        <f>VLOOKUP(A249,Table3[#All],12,FALSE)</f>
        <v>Chennai</v>
      </c>
      <c r="M249" s="2" t="str">
        <f t="shared" si="3"/>
        <v>Not Eligible</v>
      </c>
    </row>
    <row r="250" spans="1:13" hidden="1" x14ac:dyDescent="0.25">
      <c r="A250" s="5" t="s">
        <v>522</v>
      </c>
      <c r="B250" s="2" t="str">
        <f>VLOOKUP(A250,Table3[#All],2,FALSE)</f>
        <v>Meena</v>
      </c>
      <c r="C250" s="2" t="str">
        <f>VLOOKUP(A250,Table3[#All],3,FALSE)</f>
        <v>Sales</v>
      </c>
      <c r="D250" s="2">
        <f>VLOOKUP(A250,Table3[#All],4,FALSE)</f>
        <v>40</v>
      </c>
      <c r="E250" s="2" t="str">
        <f>VLOOKUP(A250,Table3[#All],5,FALSE)</f>
        <v>Male</v>
      </c>
      <c r="F250" s="2">
        <f>VLOOKUP(A250,Table3[#All],6,FALSE)</f>
        <v>5</v>
      </c>
      <c r="G250" s="2">
        <f>VLOOKUP(A250,Table3[#All],7,FALSE)</f>
        <v>38462</v>
      </c>
      <c r="H250" s="2">
        <f>VLOOKUP(A250,Table3[#All],8,FALSE)</f>
        <v>9</v>
      </c>
      <c r="I250" s="2">
        <f>VLOOKUP(A250,Table3[#All],9,FALSE)</f>
        <v>41</v>
      </c>
      <c r="J250" s="2">
        <f>VLOOKUP(A250,Table3[#All],10,FALSE)</f>
        <v>5</v>
      </c>
      <c r="K250" s="2">
        <f>VLOOKUP(A250,Table3[#All],11,FALSE)</f>
        <v>98</v>
      </c>
      <c r="L250" s="2" t="str">
        <f>VLOOKUP(A250,Table3[#All],12,FALSE)</f>
        <v>Hyderabad</v>
      </c>
      <c r="M250" s="2" t="str">
        <f t="shared" si="3"/>
        <v>Eligible</v>
      </c>
    </row>
    <row r="251" spans="1:13" hidden="1" x14ac:dyDescent="0.25">
      <c r="A251" s="6" t="s">
        <v>293</v>
      </c>
      <c r="B251" s="2" t="str">
        <f>VLOOKUP(A251,Table3[#All],2,FALSE)</f>
        <v>Meena</v>
      </c>
      <c r="C251" s="2" t="str">
        <f>VLOOKUP(A251,Table3[#All],3,FALSE)</f>
        <v>HR</v>
      </c>
      <c r="D251" s="2">
        <f>VLOOKUP(A251,Table3[#All],4,FALSE)</f>
        <v>40</v>
      </c>
      <c r="E251" s="2" t="str">
        <f>VLOOKUP(A251,Table3[#All],5,FALSE)</f>
        <v>Female</v>
      </c>
      <c r="F251" s="2">
        <f>VLOOKUP(A251,Table3[#All],6,FALSE)</f>
        <v>3</v>
      </c>
      <c r="G251" s="2">
        <f>VLOOKUP(A251,Table3[#All],7,FALSE)</f>
        <v>67276</v>
      </c>
      <c r="H251" s="2">
        <f>VLOOKUP(A251,Table3[#All],8,FALSE)</f>
        <v>7</v>
      </c>
      <c r="I251" s="2">
        <f>VLOOKUP(A251,Table3[#All],9,FALSE)</f>
        <v>48</v>
      </c>
      <c r="J251" s="2">
        <f>VLOOKUP(A251,Table3[#All],10,FALSE)</f>
        <v>4</v>
      </c>
      <c r="K251" s="2">
        <f>VLOOKUP(A251,Table3[#All],11,FALSE)</f>
        <v>95</v>
      </c>
      <c r="L251" s="2" t="str">
        <f>VLOOKUP(A251,Table3[#All],12,FALSE)</f>
        <v>Mumbai</v>
      </c>
      <c r="M251" s="2" t="str">
        <f t="shared" si="3"/>
        <v>Eligible</v>
      </c>
    </row>
    <row r="252" spans="1:13" hidden="1" x14ac:dyDescent="0.25">
      <c r="A252" s="5" t="s">
        <v>294</v>
      </c>
      <c r="B252" s="2" t="str">
        <f>VLOOKUP(A252,Table3[#All],2,FALSE)</f>
        <v>Arun</v>
      </c>
      <c r="C252" s="2" t="str">
        <f>VLOOKUP(A252,Table3[#All],3,FALSE)</f>
        <v>Sales</v>
      </c>
      <c r="D252" s="2">
        <f>VLOOKUP(A252,Table3[#All],4,FALSE)</f>
        <v>30</v>
      </c>
      <c r="E252" s="2" t="str">
        <f>VLOOKUP(A252,Table3[#All],5,FALSE)</f>
        <v>Male</v>
      </c>
      <c r="F252" s="2">
        <f>VLOOKUP(A252,Table3[#All],6,FALSE)</f>
        <v>2</v>
      </c>
      <c r="G252" s="2">
        <f>VLOOKUP(A252,Table3[#All],7,FALSE)</f>
        <v>50331</v>
      </c>
      <c r="H252" s="2">
        <f>VLOOKUP(A252,Table3[#All],8,FALSE)</f>
        <v>3</v>
      </c>
      <c r="I252" s="2">
        <f>VLOOKUP(A252,Table3[#All],9,FALSE)</f>
        <v>48</v>
      </c>
      <c r="J252" s="2">
        <f>VLOOKUP(A252,Table3[#All],10,FALSE)</f>
        <v>5</v>
      </c>
      <c r="K252" s="2">
        <f>VLOOKUP(A252,Table3[#All],11,FALSE)</f>
        <v>92</v>
      </c>
      <c r="L252" s="2" t="str">
        <f>VLOOKUP(A252,Table3[#All],12,FALSE)</f>
        <v>Pune</v>
      </c>
      <c r="M252" s="2" t="str">
        <f t="shared" si="3"/>
        <v>Not Eligible</v>
      </c>
    </row>
    <row r="253" spans="1:13" hidden="1" x14ac:dyDescent="0.25">
      <c r="A253" s="5" t="s">
        <v>740</v>
      </c>
      <c r="B253" s="2" t="str">
        <f>VLOOKUP(A253,Table3[#All],2,FALSE)</f>
        <v>Ravi</v>
      </c>
      <c r="C253" s="2" t="str">
        <f>VLOOKUP(A253,Table3[#All],3,FALSE)</f>
        <v>Sales</v>
      </c>
      <c r="D253" s="2">
        <f>VLOOKUP(A253,Table3[#All],4,FALSE)</f>
        <v>26</v>
      </c>
      <c r="E253" s="2" t="str">
        <f>VLOOKUP(A253,Table3[#All],5,FALSE)</f>
        <v>Male</v>
      </c>
      <c r="F253" s="2">
        <f>VLOOKUP(A253,Table3[#All],6,FALSE)</f>
        <v>9</v>
      </c>
      <c r="G253" s="2">
        <f>VLOOKUP(A253,Table3[#All],7,FALSE)</f>
        <v>38519</v>
      </c>
      <c r="H253" s="2">
        <f>VLOOKUP(A253,Table3[#All],8,FALSE)</f>
        <v>3</v>
      </c>
      <c r="I253" s="2">
        <f>VLOOKUP(A253,Table3[#All],9,FALSE)</f>
        <v>46</v>
      </c>
      <c r="J253" s="2">
        <f>VLOOKUP(A253,Table3[#All],10,FALSE)</f>
        <v>4</v>
      </c>
      <c r="K253" s="2">
        <f>VLOOKUP(A253,Table3[#All],11,FALSE)</f>
        <v>93</v>
      </c>
      <c r="L253" s="2" t="str">
        <f>VLOOKUP(A253,Table3[#All],12,FALSE)</f>
        <v>Mumbai</v>
      </c>
      <c r="M253" s="2" t="str">
        <f t="shared" si="3"/>
        <v>Not Eligible</v>
      </c>
    </row>
    <row r="254" spans="1:13" x14ac:dyDescent="0.25">
      <c r="A254" s="6" t="s">
        <v>207</v>
      </c>
      <c r="B254" s="2" t="str">
        <f>VLOOKUP(A254,Table3[#All],2,FALSE)</f>
        <v>Lakshmi</v>
      </c>
      <c r="C254" s="2" t="str">
        <f>VLOOKUP(A254,Table3[#All],3,FALSE)</f>
        <v>Sales</v>
      </c>
      <c r="D254" s="2">
        <f>VLOOKUP(A254,Table3[#All],4,FALSE)</f>
        <v>22</v>
      </c>
      <c r="E254" s="2" t="str">
        <f>VLOOKUP(A254,Table3[#All],5,FALSE)</f>
        <v>Male</v>
      </c>
      <c r="F254" s="2">
        <f>VLOOKUP(A254,Table3[#All],6,FALSE)</f>
        <v>7</v>
      </c>
      <c r="G254" s="2">
        <f>VLOOKUP(A254,Table3[#All],7,FALSE)</f>
        <v>38643</v>
      </c>
      <c r="H254" s="2">
        <f>VLOOKUP(A254,Table3[#All],8,FALSE)</f>
        <v>14</v>
      </c>
      <c r="I254" s="2">
        <f>VLOOKUP(A254,Table3[#All],9,FALSE)</f>
        <v>44</v>
      </c>
      <c r="J254" s="2">
        <f>VLOOKUP(A254,Table3[#All],10,FALSE)</f>
        <v>4</v>
      </c>
      <c r="K254" s="2">
        <v>85</v>
      </c>
      <c r="L254" s="2" t="str">
        <f>VLOOKUP(A254,Table3[#All],12,FALSE)</f>
        <v>Bangalore</v>
      </c>
      <c r="M254" s="2" t="str">
        <f t="shared" si="3"/>
        <v>Not Eligible</v>
      </c>
    </row>
    <row r="255" spans="1:13" hidden="1" x14ac:dyDescent="0.25">
      <c r="A255" s="6" t="s">
        <v>297</v>
      </c>
      <c r="B255" s="2" t="str">
        <f>VLOOKUP(A255,Table3[#All],2,FALSE)</f>
        <v>Arun</v>
      </c>
      <c r="C255" s="2" t="str">
        <f>VLOOKUP(A255,Table3[#All],3,FALSE)</f>
        <v>Sales</v>
      </c>
      <c r="D255" s="2">
        <f>VLOOKUP(A255,Table3[#All],4,FALSE)</f>
        <v>28</v>
      </c>
      <c r="E255" s="2" t="str">
        <f>VLOOKUP(A255,Table3[#All],5,FALSE)</f>
        <v>Male</v>
      </c>
      <c r="F255" s="2">
        <f>VLOOKUP(A255,Table3[#All],6,FALSE)</f>
        <v>4</v>
      </c>
      <c r="G255" s="2">
        <f>VLOOKUP(A255,Table3[#All],7,FALSE)</f>
        <v>31217</v>
      </c>
      <c r="H255" s="2">
        <f>VLOOKUP(A255,Table3[#All],8,FALSE)</f>
        <v>11</v>
      </c>
      <c r="I255" s="2">
        <f>VLOOKUP(A255,Table3[#All],9,FALSE)</f>
        <v>39</v>
      </c>
      <c r="J255" s="2">
        <f>VLOOKUP(A255,Table3[#All],10,FALSE)</f>
        <v>1</v>
      </c>
      <c r="K255" s="2">
        <f>VLOOKUP(A255,Table3[#All],11,FALSE)</f>
        <v>93</v>
      </c>
      <c r="L255" s="2" t="str">
        <f>VLOOKUP(A255,Table3[#All],12,FALSE)</f>
        <v>Mumbai</v>
      </c>
      <c r="M255" s="2" t="str">
        <f t="shared" si="3"/>
        <v>Not Eligible</v>
      </c>
    </row>
    <row r="256" spans="1:13" x14ac:dyDescent="0.25">
      <c r="A256" s="6" t="s">
        <v>187</v>
      </c>
      <c r="B256" s="2" t="str">
        <f>VLOOKUP(A256,Table3[#All],2,FALSE)</f>
        <v>Ajay</v>
      </c>
      <c r="C256" s="2" t="str">
        <f>VLOOKUP(A256,Table3[#All],3,FALSE)</f>
        <v>Finance</v>
      </c>
      <c r="D256" s="2">
        <f>VLOOKUP(A256,Table3[#All],4,FALSE)</f>
        <v>31</v>
      </c>
      <c r="E256" s="2" t="str">
        <f>VLOOKUP(A256,Table3[#All],5,FALSE)</f>
        <v>Male</v>
      </c>
      <c r="F256" s="2">
        <f>VLOOKUP(A256,Table3[#All],6,FALSE)</f>
        <v>5</v>
      </c>
      <c r="G256" s="2">
        <f>VLOOKUP(A256,Table3[#All],7,FALSE)</f>
        <v>38712</v>
      </c>
      <c r="H256" s="2">
        <f>VLOOKUP(A256,Table3[#All],8,FALSE)</f>
        <v>15</v>
      </c>
      <c r="I256" s="2">
        <f>VLOOKUP(A256,Table3[#All],9,FALSE)</f>
        <v>50</v>
      </c>
      <c r="J256" s="2">
        <f>VLOOKUP(A256,Table3[#All],10,FALSE)</f>
        <v>3</v>
      </c>
      <c r="K256" s="2">
        <f>VLOOKUP(A256,Table3[#All],11,FALSE)</f>
        <v>93</v>
      </c>
      <c r="L256" s="2" t="str">
        <f>VLOOKUP(A256,Table3[#All],12,FALSE)</f>
        <v>Pune</v>
      </c>
      <c r="M256" s="2" t="str">
        <f t="shared" si="3"/>
        <v>Not Eligible</v>
      </c>
    </row>
    <row r="257" spans="1:13" hidden="1" x14ac:dyDescent="0.25">
      <c r="A257" s="6" t="s">
        <v>299</v>
      </c>
      <c r="B257" s="2" t="str">
        <f>VLOOKUP(A257,Table3[#All],2,FALSE)</f>
        <v>Ramesh</v>
      </c>
      <c r="C257" s="2" t="str">
        <f>VLOOKUP(A257,Table3[#All],3,FALSE)</f>
        <v>Sales</v>
      </c>
      <c r="D257" s="2">
        <f>VLOOKUP(A257,Table3[#All],4,FALSE)</f>
        <v>35</v>
      </c>
      <c r="E257" s="2" t="str">
        <f>VLOOKUP(A257,Table3[#All],5,FALSE)</f>
        <v>Male</v>
      </c>
      <c r="F257" s="2">
        <f>VLOOKUP(A257,Table3[#All],6,FALSE)</f>
        <v>4</v>
      </c>
      <c r="G257" s="2">
        <f>VLOOKUP(A257,Table3[#All],7,FALSE)</f>
        <v>72452</v>
      </c>
      <c r="H257" s="2">
        <f>VLOOKUP(A257,Table3[#All],8,FALSE)</f>
        <v>13</v>
      </c>
      <c r="I257" s="2">
        <f>VLOOKUP(A257,Table3[#All],9,FALSE)</f>
        <v>35</v>
      </c>
      <c r="J257" s="2">
        <f>VLOOKUP(A257,Table3[#All],10,FALSE)</f>
        <v>1</v>
      </c>
      <c r="K257" s="2">
        <f>VLOOKUP(A257,Table3[#All],11,FALSE)</f>
        <v>91</v>
      </c>
      <c r="L257" s="2" t="str">
        <f>VLOOKUP(A257,Table3[#All],12,FALSE)</f>
        <v>Bangalore</v>
      </c>
      <c r="M257" s="2" t="str">
        <f t="shared" si="3"/>
        <v>Not Eligible</v>
      </c>
    </row>
    <row r="258" spans="1:13" hidden="1" x14ac:dyDescent="0.25">
      <c r="A258" s="5" t="s">
        <v>300</v>
      </c>
      <c r="B258" s="2" t="str">
        <f>VLOOKUP(A258,Table3[#All],2,FALSE)</f>
        <v>Kavya</v>
      </c>
      <c r="C258" s="2" t="str">
        <f>VLOOKUP(A258,Table3[#All],3,FALSE)</f>
        <v>HR</v>
      </c>
      <c r="D258" s="2">
        <f>VLOOKUP(A258,Table3[#All],4,FALSE)</f>
        <v>31</v>
      </c>
      <c r="E258" s="2" t="str">
        <f>VLOOKUP(A258,Table3[#All],5,FALSE)</f>
        <v>Male</v>
      </c>
      <c r="F258" s="2">
        <f>VLOOKUP(A258,Table3[#All],6,FALSE)</f>
        <v>1</v>
      </c>
      <c r="G258" s="2">
        <f>VLOOKUP(A258,Table3[#All],7,FALSE)</f>
        <v>37560</v>
      </c>
      <c r="H258" s="2">
        <f>VLOOKUP(A258,Table3[#All],8,FALSE)</f>
        <v>8</v>
      </c>
      <c r="I258" s="2">
        <f>VLOOKUP(A258,Table3[#All],9,FALSE)</f>
        <v>44</v>
      </c>
      <c r="J258" s="2">
        <f>VLOOKUP(A258,Table3[#All],10,FALSE)</f>
        <v>1</v>
      </c>
      <c r="K258" s="2">
        <f>VLOOKUP(A258,Table3[#All],11,FALSE)</f>
        <v>85</v>
      </c>
      <c r="L258" s="2" t="str">
        <f>VLOOKUP(A258,Table3[#All],12,FALSE)</f>
        <v>Pune</v>
      </c>
      <c r="M258" s="2" t="str">
        <f t="shared" ref="M258:M321" si="4">IF(K258&gt;=95,"Eligible","Not Eligible")</f>
        <v>Not Eligible</v>
      </c>
    </row>
    <row r="259" spans="1:13" hidden="1" x14ac:dyDescent="0.25">
      <c r="A259" s="6" t="s">
        <v>301</v>
      </c>
      <c r="B259" s="2" t="str">
        <f>VLOOKUP(A259,Table3[#All],2,FALSE)</f>
        <v>Nisha</v>
      </c>
      <c r="C259" s="2" t="str">
        <f>VLOOKUP(A259,Table3[#All],3,FALSE)</f>
        <v>Sales</v>
      </c>
      <c r="D259" s="2">
        <f>VLOOKUP(A259,Table3[#All],4,FALSE)</f>
        <v>40</v>
      </c>
      <c r="E259" s="2" t="str">
        <f>VLOOKUP(A259,Table3[#All],5,FALSE)</f>
        <v>Male</v>
      </c>
      <c r="F259" s="2">
        <f>VLOOKUP(A259,Table3[#All],6,FALSE)</f>
        <v>1</v>
      </c>
      <c r="G259" s="2">
        <f>VLOOKUP(A259,Table3[#All],7,FALSE)</f>
        <v>48256</v>
      </c>
      <c r="H259" s="2">
        <f>VLOOKUP(A259,Table3[#All],8,FALSE)</f>
        <v>10</v>
      </c>
      <c r="I259" s="2">
        <f>VLOOKUP(A259,Table3[#All],9,FALSE)</f>
        <v>39</v>
      </c>
      <c r="J259" s="2">
        <f>VLOOKUP(A259,Table3[#All],10,FALSE)</f>
        <v>3</v>
      </c>
      <c r="K259" s="2">
        <f>VLOOKUP(A259,Table3[#All],11,FALSE)</f>
        <v>89</v>
      </c>
      <c r="L259" s="2" t="str">
        <f>VLOOKUP(A259,Table3[#All],12,FALSE)</f>
        <v>Pune</v>
      </c>
      <c r="M259" s="2" t="str">
        <f t="shared" si="4"/>
        <v>Not Eligible</v>
      </c>
    </row>
    <row r="260" spans="1:13" x14ac:dyDescent="0.25">
      <c r="A260" s="6" t="s">
        <v>587</v>
      </c>
      <c r="B260" s="2" t="str">
        <f>VLOOKUP(A260,Table3[#All],2,FALSE)</f>
        <v>Hari</v>
      </c>
      <c r="C260" s="2" t="str">
        <f>VLOOKUP(A260,Table3[#All],3,FALSE)</f>
        <v>Sales</v>
      </c>
      <c r="D260" s="2">
        <f>VLOOKUP(A260,Table3[#All],4,FALSE)</f>
        <v>35</v>
      </c>
      <c r="E260" s="2" t="str">
        <f>VLOOKUP(A260,Table3[#All],5,FALSE)</f>
        <v>Female</v>
      </c>
      <c r="F260" s="2">
        <f>VLOOKUP(A260,Table3[#All],6,FALSE)</f>
        <v>9</v>
      </c>
      <c r="G260" s="2">
        <f>VLOOKUP(A260,Table3[#All],7,FALSE)</f>
        <v>38818</v>
      </c>
      <c r="H260" s="2">
        <f>VLOOKUP(A260,Table3[#All],8,FALSE)</f>
        <v>13</v>
      </c>
      <c r="I260" s="2">
        <f>VLOOKUP(A260,Table3[#All],9,FALSE)</f>
        <v>50</v>
      </c>
      <c r="J260" s="2">
        <f>VLOOKUP(A260,Table3[#All],10,FALSE)</f>
        <v>4</v>
      </c>
      <c r="K260" s="2">
        <f>VLOOKUP(A260,Table3[#All],11,FALSE)</f>
        <v>95</v>
      </c>
      <c r="L260" s="2" t="str">
        <f>VLOOKUP(A260,Table3[#All],12,FALSE)</f>
        <v>Delhi</v>
      </c>
      <c r="M260" s="2" t="str">
        <f t="shared" si="4"/>
        <v>Eligible</v>
      </c>
    </row>
    <row r="261" spans="1:13" hidden="1" x14ac:dyDescent="0.25">
      <c r="A261" s="6" t="s">
        <v>303</v>
      </c>
      <c r="B261" s="2" t="str">
        <f>VLOOKUP(A261,Table3[#All],2,FALSE)</f>
        <v>Nisha</v>
      </c>
      <c r="C261" s="2" t="str">
        <f>VLOOKUP(A261,Table3[#All],3,FALSE)</f>
        <v>Sales</v>
      </c>
      <c r="D261" s="2">
        <f>VLOOKUP(A261,Table3[#All],4,FALSE)</f>
        <v>26</v>
      </c>
      <c r="E261" s="2" t="str">
        <f>VLOOKUP(A261,Table3[#All],5,FALSE)</f>
        <v>Female</v>
      </c>
      <c r="F261" s="2">
        <f>VLOOKUP(A261,Table3[#All],6,FALSE)</f>
        <v>4</v>
      </c>
      <c r="G261" s="2">
        <f>VLOOKUP(A261,Table3[#All],7,FALSE)</f>
        <v>67709</v>
      </c>
      <c r="H261" s="2">
        <f>VLOOKUP(A261,Table3[#All],8,FALSE)</f>
        <v>15</v>
      </c>
      <c r="I261" s="2">
        <f>VLOOKUP(A261,Table3[#All],9,FALSE)</f>
        <v>39</v>
      </c>
      <c r="J261" s="2">
        <f>VLOOKUP(A261,Table3[#All],10,FALSE)</f>
        <v>2</v>
      </c>
      <c r="K261" s="2">
        <f>VLOOKUP(A261,Table3[#All],11,FALSE)</f>
        <v>93</v>
      </c>
      <c r="L261" s="2" t="str">
        <f>VLOOKUP(A261,Table3[#All],12,FALSE)</f>
        <v>Pune</v>
      </c>
      <c r="M261" s="2" t="str">
        <f t="shared" si="4"/>
        <v>Not Eligible</v>
      </c>
    </row>
    <row r="262" spans="1:13" hidden="1" x14ac:dyDescent="0.25">
      <c r="A262" s="6" t="s">
        <v>191</v>
      </c>
      <c r="B262" s="2" t="str">
        <f>VLOOKUP(A262,Table3[#All],2,FALSE)</f>
        <v>Sneha</v>
      </c>
      <c r="C262" s="2" t="str">
        <f>VLOOKUP(A262,Table3[#All],3,FALSE)</f>
        <v>IT</v>
      </c>
      <c r="D262" s="2">
        <f>VLOOKUP(A262,Table3[#All],4,FALSE)</f>
        <v>29</v>
      </c>
      <c r="E262" s="2" t="str">
        <f>VLOOKUP(A262,Table3[#All],5,FALSE)</f>
        <v>Male</v>
      </c>
      <c r="F262" s="2">
        <f>VLOOKUP(A262,Table3[#All],6,FALSE)</f>
        <v>5</v>
      </c>
      <c r="G262" s="2">
        <f>VLOOKUP(A262,Table3[#All],7,FALSE)</f>
        <v>38907</v>
      </c>
      <c r="H262" s="2">
        <f>VLOOKUP(A262,Table3[#All],8,FALSE)</f>
        <v>4</v>
      </c>
      <c r="I262" s="2">
        <f>VLOOKUP(A262,Table3[#All],9,FALSE)</f>
        <v>36</v>
      </c>
      <c r="J262" s="2">
        <f>VLOOKUP(A262,Table3[#All],10,FALSE)</f>
        <v>1</v>
      </c>
      <c r="K262" s="2">
        <f>VLOOKUP(A262,Table3[#All],11,FALSE)</f>
        <v>98</v>
      </c>
      <c r="L262" s="2" t="str">
        <f>VLOOKUP(A262,Table3[#All],12,FALSE)</f>
        <v>Pune</v>
      </c>
      <c r="M262" s="2" t="str">
        <f t="shared" si="4"/>
        <v>Eligible</v>
      </c>
    </row>
    <row r="263" spans="1:13" hidden="1" x14ac:dyDescent="0.25">
      <c r="A263" s="6" t="s">
        <v>305</v>
      </c>
      <c r="B263" s="2" t="str">
        <f>VLOOKUP(A263,Table3[#All],2,FALSE)</f>
        <v>Lakshmi</v>
      </c>
      <c r="C263" s="2" t="str">
        <f>VLOOKUP(A263,Table3[#All],3,FALSE)</f>
        <v>IT</v>
      </c>
      <c r="D263" s="2">
        <f>VLOOKUP(A263,Table3[#All],4,FALSE)</f>
        <v>29</v>
      </c>
      <c r="E263" s="2" t="str">
        <f>VLOOKUP(A263,Table3[#All],5,FALSE)</f>
        <v>Male</v>
      </c>
      <c r="F263" s="2">
        <f>VLOOKUP(A263,Table3[#All],6,FALSE)</f>
        <v>1</v>
      </c>
      <c r="G263" s="2">
        <f>VLOOKUP(A263,Table3[#All],7,FALSE)</f>
        <v>68703</v>
      </c>
      <c r="H263" s="2">
        <f>VLOOKUP(A263,Table3[#All],8,FALSE)</f>
        <v>14</v>
      </c>
      <c r="I263" s="2">
        <f>VLOOKUP(A263,Table3[#All],9,FALSE)</f>
        <v>42</v>
      </c>
      <c r="J263" s="2">
        <f>VLOOKUP(A263,Table3[#All],10,FALSE)</f>
        <v>5</v>
      </c>
      <c r="K263" s="2">
        <f>VLOOKUP(A263,Table3[#All],11,FALSE)</f>
        <v>92</v>
      </c>
      <c r="L263" s="2" t="str">
        <f>VLOOKUP(A263,Table3[#All],12,FALSE)</f>
        <v>Mumbai</v>
      </c>
      <c r="M263" s="2" t="str">
        <f t="shared" si="4"/>
        <v>Not Eligible</v>
      </c>
    </row>
    <row r="264" spans="1:13" hidden="1" x14ac:dyDescent="0.25">
      <c r="A264" s="6" t="s">
        <v>475</v>
      </c>
      <c r="B264" s="2" t="str">
        <f>VLOOKUP(A264,Table3[#All],2,FALSE)</f>
        <v>Nisha</v>
      </c>
      <c r="C264" s="2" t="str">
        <f>VLOOKUP(A264,Table3[#All],3,FALSE)</f>
        <v>HR</v>
      </c>
      <c r="D264" s="2">
        <f>VLOOKUP(A264,Table3[#All],4,FALSE)</f>
        <v>35</v>
      </c>
      <c r="E264" s="2" t="str">
        <f>VLOOKUP(A264,Table3[#All],5,FALSE)</f>
        <v>Female</v>
      </c>
      <c r="F264" s="2">
        <f>VLOOKUP(A264,Table3[#All],6,FALSE)</f>
        <v>6</v>
      </c>
      <c r="G264" s="2">
        <f>VLOOKUP(A264,Table3[#All],7,FALSE)</f>
        <v>38949</v>
      </c>
      <c r="H264" s="2">
        <f>VLOOKUP(A264,Table3[#All],8,FALSE)</f>
        <v>8</v>
      </c>
      <c r="I264" s="2">
        <f>VLOOKUP(A264,Table3[#All],9,FALSE)</f>
        <v>39</v>
      </c>
      <c r="J264" s="2">
        <f>VLOOKUP(A264,Table3[#All],10,FALSE)</f>
        <v>5</v>
      </c>
      <c r="K264" s="2">
        <f>VLOOKUP(A264,Table3[#All],11,FALSE)</f>
        <v>99</v>
      </c>
      <c r="L264" s="2" t="str">
        <f>VLOOKUP(A264,Table3[#All],12,FALSE)</f>
        <v>Bangalore</v>
      </c>
      <c r="M264" s="2" t="str">
        <f t="shared" si="4"/>
        <v>Eligible</v>
      </c>
    </row>
    <row r="265" spans="1:13" hidden="1" x14ac:dyDescent="0.25">
      <c r="A265" s="6" t="s">
        <v>307</v>
      </c>
      <c r="B265" s="2" t="str">
        <f>VLOOKUP(A265,Table3[#All],2,FALSE)</f>
        <v>Vijay</v>
      </c>
      <c r="C265" s="2" t="str">
        <f>VLOOKUP(A265,Table3[#All],3,FALSE)</f>
        <v>Sales</v>
      </c>
      <c r="D265" s="2">
        <f>VLOOKUP(A265,Table3[#All],4,FALSE)</f>
        <v>35</v>
      </c>
      <c r="E265" s="2" t="str">
        <f>VLOOKUP(A265,Table3[#All],5,FALSE)</f>
        <v>Female</v>
      </c>
      <c r="F265" s="2">
        <f>VLOOKUP(A265,Table3[#All],6,FALSE)</f>
        <v>4</v>
      </c>
      <c r="G265" s="2">
        <f>VLOOKUP(A265,Table3[#All],7,FALSE)</f>
        <v>42052</v>
      </c>
      <c r="H265" s="2">
        <f>VLOOKUP(A265,Table3[#All],8,FALSE)</f>
        <v>11</v>
      </c>
      <c r="I265" s="2">
        <f>VLOOKUP(A265,Table3[#All],9,FALSE)</f>
        <v>40</v>
      </c>
      <c r="J265" s="2">
        <f>VLOOKUP(A265,Table3[#All],10,FALSE)</f>
        <v>5</v>
      </c>
      <c r="K265" s="2">
        <f>VLOOKUP(A265,Table3[#All],11,FALSE)</f>
        <v>91</v>
      </c>
      <c r="L265" s="2" t="str">
        <f>VLOOKUP(A265,Table3[#All],12,FALSE)</f>
        <v>Hyderabad</v>
      </c>
      <c r="M265" s="2" t="str">
        <f t="shared" si="4"/>
        <v>Not Eligible</v>
      </c>
    </row>
    <row r="266" spans="1:13" hidden="1" x14ac:dyDescent="0.25">
      <c r="A266" s="6" t="s">
        <v>217</v>
      </c>
      <c r="B266" s="2" t="str">
        <f>VLOOKUP(A266,Table3[#All],2,FALSE)</f>
        <v>Divya</v>
      </c>
      <c r="C266" s="2" t="str">
        <f>VLOOKUP(A266,Table3[#All],3,FALSE)</f>
        <v>Sales</v>
      </c>
      <c r="D266" s="2">
        <f>VLOOKUP(A266,Table3[#All],4,FALSE)</f>
        <v>22</v>
      </c>
      <c r="E266" s="2" t="str">
        <f>VLOOKUP(A266,Table3[#All],5,FALSE)</f>
        <v>Male</v>
      </c>
      <c r="F266" s="2">
        <f>VLOOKUP(A266,Table3[#All],6,FALSE)</f>
        <v>8</v>
      </c>
      <c r="G266" s="2">
        <f>VLOOKUP(A266,Table3[#All],7,FALSE)</f>
        <v>39003</v>
      </c>
      <c r="H266" s="2">
        <f>VLOOKUP(A266,Table3[#All],8,FALSE)</f>
        <v>13</v>
      </c>
      <c r="I266" s="2">
        <f>VLOOKUP(A266,Table3[#All],9,FALSE)</f>
        <v>48</v>
      </c>
      <c r="J266" s="2">
        <f>VLOOKUP(A266,Table3[#All],10,FALSE)</f>
        <v>3</v>
      </c>
      <c r="K266" s="2">
        <f>VLOOKUP(A266,Table3[#All],11,FALSE)</f>
        <v>85</v>
      </c>
      <c r="L266" s="2" t="str">
        <f>VLOOKUP(A266,Table3[#All],12,FALSE)</f>
        <v>Mumbai</v>
      </c>
      <c r="M266" s="2" t="str">
        <f t="shared" si="4"/>
        <v>Not Eligible</v>
      </c>
    </row>
    <row r="267" spans="1:13" hidden="1" x14ac:dyDescent="0.25">
      <c r="A267" s="5" t="s">
        <v>410</v>
      </c>
      <c r="B267" s="2" t="str">
        <f>VLOOKUP(A267,Table3[#All],2,FALSE)</f>
        <v>Rekha</v>
      </c>
      <c r="C267" s="2" t="str">
        <f>VLOOKUP(A267,Table3[#All],3,FALSE)</f>
        <v>HR</v>
      </c>
      <c r="D267" s="2">
        <f>VLOOKUP(A267,Table3[#All],4,FALSE)</f>
        <v>24</v>
      </c>
      <c r="E267" s="2" t="str">
        <f>VLOOKUP(A267,Table3[#All],5,FALSE)</f>
        <v>Female</v>
      </c>
      <c r="F267" s="2">
        <f>VLOOKUP(A267,Table3[#All],6,FALSE)</f>
        <v>6</v>
      </c>
      <c r="G267" s="2">
        <f>VLOOKUP(A267,Table3[#All],7,FALSE)</f>
        <v>39049</v>
      </c>
      <c r="H267" s="2">
        <f>VLOOKUP(A267,Table3[#All],8,FALSE)</f>
        <v>3</v>
      </c>
      <c r="I267" s="2">
        <f>VLOOKUP(A267,Table3[#All],9,FALSE)</f>
        <v>43</v>
      </c>
      <c r="J267" s="2">
        <f>VLOOKUP(A267,Table3[#All],10,FALSE)</f>
        <v>3</v>
      </c>
      <c r="K267" s="2">
        <f>VLOOKUP(A267,Table3[#All],11,FALSE)</f>
        <v>91</v>
      </c>
      <c r="L267" s="2" t="str">
        <f>VLOOKUP(A267,Table3[#All],12,FALSE)</f>
        <v>Delhi</v>
      </c>
      <c r="M267" s="2" t="str">
        <f t="shared" si="4"/>
        <v>Not Eligible</v>
      </c>
    </row>
    <row r="268" spans="1:13" hidden="1" x14ac:dyDescent="0.25">
      <c r="A268" s="5" t="s">
        <v>310</v>
      </c>
      <c r="B268" s="2" t="str">
        <f>VLOOKUP(A268,Table3[#All],2,FALSE)</f>
        <v>Deepa</v>
      </c>
      <c r="C268" s="2" t="str">
        <f>VLOOKUP(A268,Table3[#All],3,FALSE)</f>
        <v>IT</v>
      </c>
      <c r="D268" s="2">
        <f>VLOOKUP(A268,Table3[#All],4,FALSE)</f>
        <v>25</v>
      </c>
      <c r="E268" s="2" t="str">
        <f>VLOOKUP(A268,Table3[#All],5,FALSE)</f>
        <v>Female</v>
      </c>
      <c r="F268" s="2">
        <f>VLOOKUP(A268,Table3[#All],6,FALSE)</f>
        <v>2</v>
      </c>
      <c r="G268" s="2">
        <f>VLOOKUP(A268,Table3[#All],7,FALSE)</f>
        <v>25137</v>
      </c>
      <c r="H268" s="2">
        <f>VLOOKUP(A268,Table3[#All],8,FALSE)</f>
        <v>14</v>
      </c>
      <c r="I268" s="2">
        <f>VLOOKUP(A268,Table3[#All],9,FALSE)</f>
        <v>43</v>
      </c>
      <c r="J268" s="2">
        <f>VLOOKUP(A268,Table3[#All],10,FALSE)</f>
        <v>2</v>
      </c>
      <c r="K268" s="2">
        <f>VLOOKUP(A268,Table3[#All],11,FALSE)</f>
        <v>95</v>
      </c>
      <c r="L268" s="2" t="str">
        <f>VLOOKUP(A268,Table3[#All],12,FALSE)</f>
        <v>Bangalore</v>
      </c>
      <c r="M268" s="2" t="str">
        <f t="shared" si="4"/>
        <v>Eligible</v>
      </c>
    </row>
    <row r="269" spans="1:13" hidden="1" x14ac:dyDescent="0.25">
      <c r="A269" s="6" t="s">
        <v>711</v>
      </c>
      <c r="B269" s="2" t="str">
        <f>VLOOKUP(A269,Table3[#All],2,FALSE)</f>
        <v>Priya</v>
      </c>
      <c r="C269" s="2" t="str">
        <f>VLOOKUP(A269,Table3[#All],3,FALSE)</f>
        <v>Sales</v>
      </c>
      <c r="D269" s="2">
        <f>VLOOKUP(A269,Table3[#All],4,FALSE)</f>
        <v>25</v>
      </c>
      <c r="E269" s="2" t="str">
        <f>VLOOKUP(A269,Table3[#All],5,FALSE)</f>
        <v>Female</v>
      </c>
      <c r="F269" s="2">
        <f>VLOOKUP(A269,Table3[#All],6,FALSE)</f>
        <v>6</v>
      </c>
      <c r="G269" s="2">
        <f>VLOOKUP(A269,Table3[#All],7,FALSE)</f>
        <v>39064</v>
      </c>
      <c r="H269" s="2">
        <f>VLOOKUP(A269,Table3[#All],8,FALSE)</f>
        <v>4</v>
      </c>
      <c r="I269" s="2">
        <f>VLOOKUP(A269,Table3[#All],9,FALSE)</f>
        <v>38</v>
      </c>
      <c r="J269" s="2">
        <f>VLOOKUP(A269,Table3[#All],10,FALSE)</f>
        <v>3</v>
      </c>
      <c r="K269" s="2">
        <f>VLOOKUP(A269,Table3[#All],11,FALSE)</f>
        <v>88</v>
      </c>
      <c r="L269" s="2" t="str">
        <f>VLOOKUP(A269,Table3[#All],12,FALSE)</f>
        <v>Bangalore</v>
      </c>
      <c r="M269" s="2" t="str">
        <f t="shared" si="4"/>
        <v>Not Eligible</v>
      </c>
    </row>
    <row r="270" spans="1:13" hidden="1" x14ac:dyDescent="0.25">
      <c r="A270" s="5" t="s">
        <v>510</v>
      </c>
      <c r="B270" s="2" t="str">
        <f>VLOOKUP(A270,Table3[#All],2,FALSE)</f>
        <v>Rekha</v>
      </c>
      <c r="C270" s="2" t="str">
        <f>VLOOKUP(A270,Table3[#All],3,FALSE)</f>
        <v>Finance</v>
      </c>
      <c r="D270" s="2">
        <f>VLOOKUP(A270,Table3[#All],4,FALSE)</f>
        <v>24</v>
      </c>
      <c r="E270" s="2" t="str">
        <f>VLOOKUP(A270,Table3[#All],5,FALSE)</f>
        <v>Female</v>
      </c>
      <c r="F270" s="2">
        <f>VLOOKUP(A270,Table3[#All],6,FALSE)</f>
        <v>14</v>
      </c>
      <c r="G270" s="2">
        <f>VLOOKUP(A270,Table3[#All],7,FALSE)</f>
        <v>39097</v>
      </c>
      <c r="H270" s="2">
        <f>VLOOKUP(A270,Table3[#All],8,FALSE)</f>
        <v>7</v>
      </c>
      <c r="I270" s="2">
        <f>VLOOKUP(A270,Table3[#All],9,FALSE)</f>
        <v>47</v>
      </c>
      <c r="J270" s="2">
        <f>VLOOKUP(A270,Table3[#All],10,FALSE)</f>
        <v>4</v>
      </c>
      <c r="K270" s="2">
        <f>VLOOKUP(A270,Table3[#All],11,FALSE)</f>
        <v>87</v>
      </c>
      <c r="L270" s="2" t="str">
        <f>VLOOKUP(A270,Table3[#All],12,FALSE)</f>
        <v>Pune</v>
      </c>
      <c r="M270" s="2" t="str">
        <f t="shared" si="4"/>
        <v>Not Eligible</v>
      </c>
    </row>
    <row r="271" spans="1:13" hidden="1" x14ac:dyDescent="0.25">
      <c r="A271" s="5" t="s">
        <v>424</v>
      </c>
      <c r="B271" s="2" t="str">
        <f>VLOOKUP(A271,Table3[#All],2,FALSE)</f>
        <v>Meena</v>
      </c>
      <c r="C271" s="2" t="str">
        <f>VLOOKUP(A271,Table3[#All],3,FALSE)</f>
        <v>IT</v>
      </c>
      <c r="D271" s="2">
        <f>VLOOKUP(A271,Table3[#All],4,FALSE)</f>
        <v>28</v>
      </c>
      <c r="E271" s="2" t="str">
        <f>VLOOKUP(A271,Table3[#All],5,FALSE)</f>
        <v>Male</v>
      </c>
      <c r="F271" s="2">
        <f>VLOOKUP(A271,Table3[#All],6,FALSE)</f>
        <v>8</v>
      </c>
      <c r="G271" s="2">
        <f>VLOOKUP(A271,Table3[#All],7,FALSE)</f>
        <v>39471</v>
      </c>
      <c r="H271" s="2">
        <f>VLOOKUP(A271,Table3[#All],8,FALSE)</f>
        <v>15</v>
      </c>
      <c r="I271" s="2">
        <f>VLOOKUP(A271,Table3[#All],9,FALSE)</f>
        <v>40</v>
      </c>
      <c r="J271" s="2">
        <f>VLOOKUP(A271,Table3[#All],10,FALSE)</f>
        <v>5</v>
      </c>
      <c r="K271" s="2">
        <f>VLOOKUP(A271,Table3[#All],11,FALSE)</f>
        <v>90</v>
      </c>
      <c r="L271" s="2" t="str">
        <f>VLOOKUP(A271,Table3[#All],12,FALSE)</f>
        <v>Mumbai</v>
      </c>
      <c r="M271" s="2" t="str">
        <f t="shared" si="4"/>
        <v>Not Eligible</v>
      </c>
    </row>
    <row r="272" spans="1:13" hidden="1" x14ac:dyDescent="0.25">
      <c r="A272" s="5" t="s">
        <v>984</v>
      </c>
      <c r="B272" s="2" t="str">
        <f>VLOOKUP(A272,Table3[#All],2,FALSE)</f>
        <v>Rekha</v>
      </c>
      <c r="C272" s="2" t="str">
        <f>VLOOKUP(A272,Table3[#All],3,FALSE)</f>
        <v>Finance</v>
      </c>
      <c r="D272" s="2">
        <f>VLOOKUP(A272,Table3[#All],4,FALSE)</f>
        <v>30</v>
      </c>
      <c r="E272" s="2" t="str">
        <f>VLOOKUP(A272,Table3[#All],5,FALSE)</f>
        <v>Male</v>
      </c>
      <c r="F272" s="2">
        <f>VLOOKUP(A272,Table3[#All],6,FALSE)</f>
        <v>7</v>
      </c>
      <c r="G272" s="2">
        <f>VLOOKUP(A272,Table3[#All],7,FALSE)</f>
        <v>39617</v>
      </c>
      <c r="H272" s="2">
        <f>VLOOKUP(A272,Table3[#All],8,FALSE)</f>
        <v>3</v>
      </c>
      <c r="I272" s="2">
        <f>VLOOKUP(A272,Table3[#All],9,FALSE)</f>
        <v>46</v>
      </c>
      <c r="J272" s="2">
        <f>VLOOKUP(A272,Table3[#All],10,FALSE)</f>
        <v>1</v>
      </c>
      <c r="K272" s="2">
        <f>VLOOKUP(A272,Table3[#All],11,FALSE)</f>
        <v>87</v>
      </c>
      <c r="L272" s="2" t="str">
        <f>VLOOKUP(A272,Table3[#All],12,FALSE)</f>
        <v>Pune</v>
      </c>
      <c r="M272" s="2" t="str">
        <f t="shared" si="4"/>
        <v>Not Eligible</v>
      </c>
    </row>
    <row r="273" spans="1:13" hidden="1" x14ac:dyDescent="0.25">
      <c r="A273" s="6" t="s">
        <v>1017</v>
      </c>
      <c r="B273" s="2" t="str">
        <f>VLOOKUP(A273,Table3[#All],2,FALSE)</f>
        <v>Divya</v>
      </c>
      <c r="C273" s="2" t="str">
        <f>VLOOKUP(A273,Table3[#All],3,FALSE)</f>
        <v>IT</v>
      </c>
      <c r="D273" s="2">
        <f>VLOOKUP(A273,Table3[#All],4,FALSE)</f>
        <v>29</v>
      </c>
      <c r="E273" s="2" t="str">
        <f>VLOOKUP(A273,Table3[#All],5,FALSE)</f>
        <v>Male</v>
      </c>
      <c r="F273" s="2">
        <f>VLOOKUP(A273,Table3[#All],6,FALSE)</f>
        <v>7</v>
      </c>
      <c r="G273" s="2">
        <f>VLOOKUP(A273,Table3[#All],7,FALSE)</f>
        <v>39620</v>
      </c>
      <c r="H273" s="2">
        <f>VLOOKUP(A273,Table3[#All],8,FALSE)</f>
        <v>6</v>
      </c>
      <c r="I273" s="2">
        <f>VLOOKUP(A273,Table3[#All],9,FALSE)</f>
        <v>45</v>
      </c>
      <c r="J273" s="2">
        <f>VLOOKUP(A273,Table3[#All],10,FALSE)</f>
        <v>1</v>
      </c>
      <c r="K273" s="2">
        <f>VLOOKUP(A273,Table3[#All],11,FALSE)</f>
        <v>100</v>
      </c>
      <c r="L273" s="2" t="str">
        <f>VLOOKUP(A273,Table3[#All],12,FALSE)</f>
        <v>Mumbai</v>
      </c>
      <c r="M273" s="2" t="str">
        <f t="shared" si="4"/>
        <v>Eligible</v>
      </c>
    </row>
    <row r="274" spans="1:13" hidden="1" x14ac:dyDescent="0.25">
      <c r="A274" s="6" t="s">
        <v>439</v>
      </c>
      <c r="B274" s="2" t="str">
        <f>VLOOKUP(A274,Table3[#All],2,FALSE)</f>
        <v>Ajay</v>
      </c>
      <c r="C274" s="2" t="str">
        <f>VLOOKUP(A274,Table3[#All],3,FALSE)</f>
        <v>IT</v>
      </c>
      <c r="D274" s="2">
        <f>VLOOKUP(A274,Table3[#All],4,FALSE)</f>
        <v>34</v>
      </c>
      <c r="E274" s="2" t="str">
        <f>VLOOKUP(A274,Table3[#All],5,FALSE)</f>
        <v>Female</v>
      </c>
      <c r="F274" s="2">
        <f>VLOOKUP(A274,Table3[#All],6,FALSE)</f>
        <v>10</v>
      </c>
      <c r="G274" s="2">
        <f>VLOOKUP(A274,Table3[#All],7,FALSE)</f>
        <v>39641</v>
      </c>
      <c r="H274" s="2">
        <f>VLOOKUP(A274,Table3[#All],8,FALSE)</f>
        <v>4</v>
      </c>
      <c r="I274" s="2">
        <f>VLOOKUP(A274,Table3[#All],9,FALSE)</f>
        <v>40</v>
      </c>
      <c r="J274" s="2">
        <f>VLOOKUP(A274,Table3[#All],10,FALSE)</f>
        <v>3</v>
      </c>
      <c r="K274" s="2">
        <f>VLOOKUP(A274,Table3[#All],11,FALSE)</f>
        <v>93</v>
      </c>
      <c r="L274" s="2" t="str">
        <f>VLOOKUP(A274,Table3[#All],12,FALSE)</f>
        <v>Bangalore</v>
      </c>
      <c r="M274" s="2" t="str">
        <f t="shared" si="4"/>
        <v>Not Eligible</v>
      </c>
    </row>
    <row r="275" spans="1:13" x14ac:dyDescent="0.25">
      <c r="A275" s="5" t="s">
        <v>74</v>
      </c>
      <c r="B275" s="2" t="str">
        <f>VLOOKUP(A275,Table3[#All],2,FALSE)</f>
        <v>Arun</v>
      </c>
      <c r="C275" s="2" t="str">
        <f>VLOOKUP(A275,Table3[#All],3,FALSE)</f>
        <v>Finance</v>
      </c>
      <c r="D275" s="2">
        <f>VLOOKUP(A275,Table3[#All],4,FALSE)</f>
        <v>26</v>
      </c>
      <c r="E275" s="2" t="str">
        <f>VLOOKUP(A275,Table3[#All],5,FALSE)</f>
        <v>Female</v>
      </c>
      <c r="F275" s="2">
        <f>VLOOKUP(A275,Table3[#All],6,FALSE)</f>
        <v>13</v>
      </c>
      <c r="G275" s="2">
        <f>VLOOKUP(A275,Table3[#All],7,FALSE)</f>
        <v>39844</v>
      </c>
      <c r="H275" s="2">
        <f>VLOOKUP(A275,Table3[#All],8,FALSE)</f>
        <v>13</v>
      </c>
      <c r="I275" s="2">
        <f>VLOOKUP(A275,Table3[#All],9,FALSE)</f>
        <v>40</v>
      </c>
      <c r="J275" s="2">
        <f>VLOOKUP(A275,Table3[#All],10,FALSE)</f>
        <v>5</v>
      </c>
      <c r="K275" s="2">
        <f>VLOOKUP(A275,Table3[#All],11,FALSE)</f>
        <v>98</v>
      </c>
      <c r="L275" s="2" t="str">
        <f>VLOOKUP(A275,Table3[#All],12,FALSE)</f>
        <v>Bangalore</v>
      </c>
      <c r="M275" s="2" t="str">
        <f t="shared" si="4"/>
        <v>Eligible</v>
      </c>
    </row>
    <row r="276" spans="1:13" hidden="1" x14ac:dyDescent="0.25">
      <c r="A276" s="5" t="s">
        <v>64</v>
      </c>
      <c r="B276" s="2" t="str">
        <f>VLOOKUP(A276,Table3[#All],2,FALSE)</f>
        <v>Vijay</v>
      </c>
      <c r="C276" s="2" t="str">
        <f>VLOOKUP(A276,Table3[#All],3,FALSE)</f>
        <v>IT</v>
      </c>
      <c r="D276" s="2">
        <f>VLOOKUP(A276,Table3[#All],4,FALSE)</f>
        <v>33</v>
      </c>
      <c r="E276" s="2" t="str">
        <f>VLOOKUP(A276,Table3[#All],5,FALSE)</f>
        <v>Female</v>
      </c>
      <c r="F276" s="2">
        <f>VLOOKUP(A276,Table3[#All],6,FALSE)</f>
        <v>5</v>
      </c>
      <c r="G276" s="2">
        <f>VLOOKUP(A276,Table3[#All],7,FALSE)</f>
        <v>39879</v>
      </c>
      <c r="H276" s="2">
        <f>VLOOKUP(A276,Table3[#All],8,FALSE)</f>
        <v>15</v>
      </c>
      <c r="I276" s="2">
        <f>VLOOKUP(A276,Table3[#All],9,FALSE)</f>
        <v>45</v>
      </c>
      <c r="J276" s="2">
        <f>VLOOKUP(A276,Table3[#All],10,FALSE)</f>
        <v>4</v>
      </c>
      <c r="K276" s="2">
        <f>VLOOKUP(A276,Table3[#All],11,FALSE)</f>
        <v>86</v>
      </c>
      <c r="L276" s="2" t="str">
        <f>VLOOKUP(A276,Table3[#All],12,FALSE)</f>
        <v>Pune</v>
      </c>
      <c r="M276" s="2" t="str">
        <f t="shared" si="4"/>
        <v>Not Eligible</v>
      </c>
    </row>
    <row r="277" spans="1:13" hidden="1" x14ac:dyDescent="0.25">
      <c r="A277" s="5" t="s">
        <v>49</v>
      </c>
      <c r="B277" s="2" t="str">
        <f>VLOOKUP(A277,Table3[#All],2,FALSE)</f>
        <v>Sneha</v>
      </c>
      <c r="C277" s="2" t="str">
        <f>VLOOKUP(A277,Table3[#All],3,FALSE)</f>
        <v>IT</v>
      </c>
      <c r="D277" s="2">
        <f>VLOOKUP(A277,Table3[#All],4,FALSE)</f>
        <v>28</v>
      </c>
      <c r="E277" s="2" t="str">
        <f>VLOOKUP(A277,Table3[#All],5,FALSE)</f>
        <v>Male</v>
      </c>
      <c r="F277" s="2">
        <f>VLOOKUP(A277,Table3[#All],6,FALSE)</f>
        <v>13</v>
      </c>
      <c r="G277" s="2">
        <f>VLOOKUP(A277,Table3[#All],7,FALSE)</f>
        <v>39892</v>
      </c>
      <c r="H277" s="2">
        <f>VLOOKUP(A277,Table3[#All],8,FALSE)</f>
        <v>6</v>
      </c>
      <c r="I277" s="2">
        <f>VLOOKUP(A277,Table3[#All],9,FALSE)</f>
        <v>44</v>
      </c>
      <c r="J277" s="2">
        <f>VLOOKUP(A277,Table3[#All],10,FALSE)</f>
        <v>3</v>
      </c>
      <c r="K277" s="2">
        <f>VLOOKUP(A277,Table3[#All],11,FALSE)</f>
        <v>92</v>
      </c>
      <c r="L277" s="2" t="str">
        <f>VLOOKUP(A277,Table3[#All],12,FALSE)</f>
        <v>Chennai</v>
      </c>
      <c r="M277" s="2" t="str">
        <f t="shared" si="4"/>
        <v>Not Eligible</v>
      </c>
    </row>
    <row r="278" spans="1:13" x14ac:dyDescent="0.25">
      <c r="A278" s="5" t="s">
        <v>806</v>
      </c>
      <c r="B278" s="2" t="str">
        <f>VLOOKUP(A278,Table3[#All],2,FALSE)</f>
        <v>Hari</v>
      </c>
      <c r="C278" s="2" t="str">
        <f>VLOOKUP(A278,Table3[#All],3,FALSE)</f>
        <v>HR</v>
      </c>
      <c r="D278" s="2">
        <f>VLOOKUP(A278,Table3[#All],4,FALSE)</f>
        <v>22</v>
      </c>
      <c r="E278" s="2" t="str">
        <f>VLOOKUP(A278,Table3[#All],5,FALSE)</f>
        <v>Female</v>
      </c>
      <c r="F278" s="2">
        <f>VLOOKUP(A278,Table3[#All],6,FALSE)</f>
        <v>12</v>
      </c>
      <c r="G278" s="2">
        <f>VLOOKUP(A278,Table3[#All],7,FALSE)</f>
        <v>39989</v>
      </c>
      <c r="H278" s="2">
        <f>VLOOKUP(A278,Table3[#All],8,FALSE)</f>
        <v>15</v>
      </c>
      <c r="I278" s="2">
        <f>VLOOKUP(A278,Table3[#All],9,FALSE)</f>
        <v>38</v>
      </c>
      <c r="J278" s="2">
        <f>VLOOKUP(A278,Table3[#All],10,FALSE)</f>
        <v>4</v>
      </c>
      <c r="K278" s="2">
        <f>VLOOKUP(A278,Table3[#All],11,FALSE)</f>
        <v>94</v>
      </c>
      <c r="L278" s="2" t="str">
        <f>VLOOKUP(A278,Table3[#All],12,FALSE)</f>
        <v>Hyderabad</v>
      </c>
      <c r="M278" s="2" t="str">
        <f t="shared" si="4"/>
        <v>Not Eligible</v>
      </c>
    </row>
    <row r="279" spans="1:13" hidden="1" x14ac:dyDescent="0.25">
      <c r="A279" s="6" t="s">
        <v>321</v>
      </c>
      <c r="B279" s="2" t="str">
        <f>VLOOKUP(A279,Table3[#All],2,FALSE)</f>
        <v>Arun</v>
      </c>
      <c r="C279" s="2" t="str">
        <f>VLOOKUP(A279,Table3[#All],3,FALSE)</f>
        <v>Sales</v>
      </c>
      <c r="D279" s="2">
        <f>VLOOKUP(A279,Table3[#All],4,FALSE)</f>
        <v>38</v>
      </c>
      <c r="E279" s="2" t="str">
        <f>VLOOKUP(A279,Table3[#All],5,FALSE)</f>
        <v>Female</v>
      </c>
      <c r="F279" s="2">
        <f>VLOOKUP(A279,Table3[#All],6,FALSE)</f>
        <v>4</v>
      </c>
      <c r="G279" s="2">
        <f>VLOOKUP(A279,Table3[#All],7,FALSE)</f>
        <v>64491</v>
      </c>
      <c r="H279" s="2">
        <f>VLOOKUP(A279,Table3[#All],8,FALSE)</f>
        <v>8</v>
      </c>
      <c r="I279" s="2">
        <f>VLOOKUP(A279,Table3[#All],9,FALSE)</f>
        <v>39</v>
      </c>
      <c r="J279" s="2">
        <f>VLOOKUP(A279,Table3[#All],10,FALSE)</f>
        <v>3</v>
      </c>
      <c r="K279" s="2">
        <f>VLOOKUP(A279,Table3[#All],11,FALSE)</f>
        <v>97</v>
      </c>
      <c r="L279" s="2" t="str">
        <f>VLOOKUP(A279,Table3[#All],12,FALSE)</f>
        <v>Chennai</v>
      </c>
      <c r="M279" s="2" t="str">
        <f t="shared" si="4"/>
        <v>Eligible</v>
      </c>
    </row>
    <row r="280" spans="1:13" hidden="1" x14ac:dyDescent="0.25">
      <c r="A280" s="6" t="s">
        <v>199</v>
      </c>
      <c r="B280" s="2" t="str">
        <f>VLOOKUP(A280,Table3[#All],2,FALSE)</f>
        <v>Sneha</v>
      </c>
      <c r="C280" s="2" t="str">
        <f>VLOOKUP(A280,Table3[#All],3,FALSE)</f>
        <v>Finance</v>
      </c>
      <c r="D280" s="2">
        <f>VLOOKUP(A280,Table3[#All],4,FALSE)</f>
        <v>34</v>
      </c>
      <c r="E280" s="2" t="str">
        <f>VLOOKUP(A280,Table3[#All],5,FALSE)</f>
        <v>Female</v>
      </c>
      <c r="F280" s="2">
        <f>VLOOKUP(A280,Table3[#All],6,FALSE)</f>
        <v>15</v>
      </c>
      <c r="G280" s="2">
        <f>VLOOKUP(A280,Table3[#All],7,FALSE)</f>
        <v>40122</v>
      </c>
      <c r="H280" s="2">
        <f>VLOOKUP(A280,Table3[#All],8,FALSE)</f>
        <v>10</v>
      </c>
      <c r="I280" s="2">
        <f>VLOOKUP(A280,Table3[#All],9,FALSE)</f>
        <v>45</v>
      </c>
      <c r="J280" s="2">
        <f>VLOOKUP(A280,Table3[#All],10,FALSE)</f>
        <v>2</v>
      </c>
      <c r="K280" s="2">
        <f>VLOOKUP(A280,Table3[#All],11,FALSE)</f>
        <v>89</v>
      </c>
      <c r="L280" s="2" t="str">
        <f>VLOOKUP(A280,Table3[#All],12,FALSE)</f>
        <v>Mumbai</v>
      </c>
      <c r="M280" s="2" t="str">
        <f t="shared" si="4"/>
        <v>Not Eligible</v>
      </c>
    </row>
    <row r="281" spans="1:13" hidden="1" x14ac:dyDescent="0.25">
      <c r="A281" s="6" t="s">
        <v>323</v>
      </c>
      <c r="B281" s="2" t="str">
        <f>VLOOKUP(A281,Table3[#All],2,FALSE)</f>
        <v>Kavya</v>
      </c>
      <c r="C281" s="2" t="str">
        <f>VLOOKUP(A281,Table3[#All],3,FALSE)</f>
        <v>Finance</v>
      </c>
      <c r="D281" s="2">
        <f>VLOOKUP(A281,Table3[#All],4,FALSE)</f>
        <v>30</v>
      </c>
      <c r="E281" s="2" t="str">
        <f>VLOOKUP(A281,Table3[#All],5,FALSE)</f>
        <v>Male</v>
      </c>
      <c r="F281" s="2">
        <f>VLOOKUP(A281,Table3[#All],6,FALSE)</f>
        <v>2</v>
      </c>
      <c r="G281" s="2">
        <f>VLOOKUP(A281,Table3[#All],7,FALSE)</f>
        <v>42326</v>
      </c>
      <c r="H281" s="2">
        <f>VLOOKUP(A281,Table3[#All],8,FALSE)</f>
        <v>9</v>
      </c>
      <c r="I281" s="2">
        <f>VLOOKUP(A281,Table3[#All],9,FALSE)</f>
        <v>41</v>
      </c>
      <c r="J281" s="2">
        <f>VLOOKUP(A281,Table3[#All],10,FALSE)</f>
        <v>1</v>
      </c>
      <c r="K281" s="2">
        <f>VLOOKUP(A281,Table3[#All],11,FALSE)</f>
        <v>99</v>
      </c>
      <c r="L281" s="2" t="str">
        <f>VLOOKUP(A281,Table3[#All],12,FALSE)</f>
        <v>Pune</v>
      </c>
      <c r="M281" s="2" t="str">
        <f t="shared" si="4"/>
        <v>Eligible</v>
      </c>
    </row>
    <row r="282" spans="1:13" hidden="1" x14ac:dyDescent="0.25">
      <c r="A282" s="5" t="s">
        <v>324</v>
      </c>
      <c r="B282" s="2" t="str">
        <f>VLOOKUP(A282,Table3[#All],2,FALSE)</f>
        <v>Priya</v>
      </c>
      <c r="C282" s="2" t="str">
        <f>VLOOKUP(A282,Table3[#All],3,FALSE)</f>
        <v>HR</v>
      </c>
      <c r="D282" s="2">
        <f>VLOOKUP(A282,Table3[#All],4,FALSE)</f>
        <v>40</v>
      </c>
      <c r="E282" s="2" t="str">
        <f>VLOOKUP(A282,Table3[#All],5,FALSE)</f>
        <v>Male</v>
      </c>
      <c r="F282" s="2">
        <f>VLOOKUP(A282,Table3[#All],6,FALSE)</f>
        <v>3</v>
      </c>
      <c r="G282" s="2">
        <f>VLOOKUP(A282,Table3[#All],7,FALSE)</f>
        <v>34670</v>
      </c>
      <c r="H282" s="2">
        <f>VLOOKUP(A282,Table3[#All],8,FALSE)</f>
        <v>7</v>
      </c>
      <c r="I282" s="2">
        <f>VLOOKUP(A282,Table3[#All],9,FALSE)</f>
        <v>46</v>
      </c>
      <c r="J282" s="2">
        <f>VLOOKUP(A282,Table3[#All],10,FALSE)</f>
        <v>4</v>
      </c>
      <c r="K282" s="2">
        <f>VLOOKUP(A282,Table3[#All],11,FALSE)</f>
        <v>92</v>
      </c>
      <c r="L282" s="2" t="str">
        <f>VLOOKUP(A282,Table3[#All],12,FALSE)</f>
        <v>Chennai</v>
      </c>
      <c r="M282" s="2" t="str">
        <f t="shared" si="4"/>
        <v>Not Eligible</v>
      </c>
    </row>
    <row r="283" spans="1:13" hidden="1" x14ac:dyDescent="0.25">
      <c r="A283" s="6" t="s">
        <v>167</v>
      </c>
      <c r="B283" s="2" t="str">
        <f>VLOOKUP(A283,Table3[#All],2,FALSE)</f>
        <v>Kavya</v>
      </c>
      <c r="C283" s="2" t="str">
        <f>VLOOKUP(A283,Table3[#All],3,FALSE)</f>
        <v>Finance</v>
      </c>
      <c r="D283" s="2">
        <f>VLOOKUP(A283,Table3[#All],4,FALSE)</f>
        <v>34</v>
      </c>
      <c r="E283" s="2" t="str">
        <f>VLOOKUP(A283,Table3[#All],5,FALSE)</f>
        <v>Female</v>
      </c>
      <c r="F283" s="2">
        <f>VLOOKUP(A283,Table3[#All],6,FALSE)</f>
        <v>12</v>
      </c>
      <c r="G283" s="2">
        <f>VLOOKUP(A283,Table3[#All],7,FALSE)</f>
        <v>40231</v>
      </c>
      <c r="H283" s="2">
        <f>VLOOKUP(A283,Table3[#All],8,FALSE)</f>
        <v>4</v>
      </c>
      <c r="I283" s="2">
        <f>VLOOKUP(A283,Table3[#All],9,FALSE)</f>
        <v>46</v>
      </c>
      <c r="J283" s="2">
        <f>VLOOKUP(A283,Table3[#All],10,FALSE)</f>
        <v>1</v>
      </c>
      <c r="K283" s="2">
        <f>VLOOKUP(A283,Table3[#All],11,FALSE)</f>
        <v>92</v>
      </c>
      <c r="L283" s="2" t="str">
        <f>VLOOKUP(A283,Table3[#All],12,FALSE)</f>
        <v>Hyderabad</v>
      </c>
      <c r="M283" s="2" t="str">
        <f t="shared" si="4"/>
        <v>Not Eligible</v>
      </c>
    </row>
    <row r="284" spans="1:13" hidden="1" x14ac:dyDescent="0.25">
      <c r="A284" s="5" t="s">
        <v>480</v>
      </c>
      <c r="B284" s="2" t="str">
        <f>VLOOKUP(A284,Table3[#All],2,FALSE)</f>
        <v>Lakshmi</v>
      </c>
      <c r="C284" s="2" t="str">
        <f>VLOOKUP(A284,Table3[#All],3,FALSE)</f>
        <v>HR</v>
      </c>
      <c r="D284" s="2">
        <f>VLOOKUP(A284,Table3[#All],4,FALSE)</f>
        <v>33</v>
      </c>
      <c r="E284" s="2" t="str">
        <f>VLOOKUP(A284,Table3[#All],5,FALSE)</f>
        <v>Male</v>
      </c>
      <c r="F284" s="2">
        <f>VLOOKUP(A284,Table3[#All],6,FALSE)</f>
        <v>13</v>
      </c>
      <c r="G284" s="2">
        <f>VLOOKUP(A284,Table3[#All],7,FALSE)</f>
        <v>40258</v>
      </c>
      <c r="H284" s="2">
        <f>VLOOKUP(A284,Table3[#All],8,FALSE)</f>
        <v>8</v>
      </c>
      <c r="I284" s="2">
        <f>VLOOKUP(A284,Table3[#All],9,FALSE)</f>
        <v>47</v>
      </c>
      <c r="J284" s="2">
        <f>VLOOKUP(A284,Table3[#All],10,FALSE)</f>
        <v>2</v>
      </c>
      <c r="K284" s="2">
        <f>VLOOKUP(A284,Table3[#All],11,FALSE)</f>
        <v>86</v>
      </c>
      <c r="L284" s="2" t="str">
        <f>VLOOKUP(A284,Table3[#All],12,FALSE)</f>
        <v>Hyderabad</v>
      </c>
      <c r="M284" s="2" t="str">
        <f t="shared" si="4"/>
        <v>Not Eligible</v>
      </c>
    </row>
    <row r="285" spans="1:13" hidden="1" x14ac:dyDescent="0.25">
      <c r="A285" s="6" t="s">
        <v>395</v>
      </c>
      <c r="B285" s="2" t="str">
        <f>VLOOKUP(A285,Table3[#All],2,FALSE)</f>
        <v>Hari</v>
      </c>
      <c r="C285" s="2" t="str">
        <f>VLOOKUP(A285,Table3[#All],3,FALSE)</f>
        <v>Sales</v>
      </c>
      <c r="D285" s="2">
        <f>VLOOKUP(A285,Table3[#All],4,FALSE)</f>
        <v>30</v>
      </c>
      <c r="E285" s="2" t="str">
        <f>VLOOKUP(A285,Table3[#All],5,FALSE)</f>
        <v>Female</v>
      </c>
      <c r="F285" s="2">
        <f>VLOOKUP(A285,Table3[#All],6,FALSE)</f>
        <v>9</v>
      </c>
      <c r="G285" s="2">
        <f>VLOOKUP(A285,Table3[#All],7,FALSE)</f>
        <v>40382</v>
      </c>
      <c r="H285" s="2">
        <f>VLOOKUP(A285,Table3[#All],8,FALSE)</f>
        <v>9</v>
      </c>
      <c r="I285" s="2">
        <f>VLOOKUP(A285,Table3[#All],9,FALSE)</f>
        <v>40</v>
      </c>
      <c r="J285" s="2">
        <f>VLOOKUP(A285,Table3[#All],10,FALSE)</f>
        <v>5</v>
      </c>
      <c r="K285" s="2">
        <f>VLOOKUP(A285,Table3[#All],11,FALSE)</f>
        <v>86</v>
      </c>
      <c r="L285" s="2" t="str">
        <f>VLOOKUP(A285,Table3[#All],12,FALSE)</f>
        <v>Delhi</v>
      </c>
      <c r="M285" s="2" t="str">
        <f t="shared" si="4"/>
        <v>Not Eligible</v>
      </c>
    </row>
    <row r="286" spans="1:13" hidden="1" x14ac:dyDescent="0.25">
      <c r="A286" s="5" t="s">
        <v>386</v>
      </c>
      <c r="B286" s="2" t="str">
        <f>VLOOKUP(A286,Table3[#All],2,FALSE)</f>
        <v>Meena</v>
      </c>
      <c r="C286" s="2" t="str">
        <f>VLOOKUP(A286,Table3[#All],3,FALSE)</f>
        <v>HR</v>
      </c>
      <c r="D286" s="2">
        <f>VLOOKUP(A286,Table3[#All],4,FALSE)</f>
        <v>22</v>
      </c>
      <c r="E286" s="2" t="str">
        <f>VLOOKUP(A286,Table3[#All],5,FALSE)</f>
        <v>Male</v>
      </c>
      <c r="F286" s="2">
        <f>VLOOKUP(A286,Table3[#All],6,FALSE)</f>
        <v>13</v>
      </c>
      <c r="G286" s="2">
        <f>VLOOKUP(A286,Table3[#All],7,FALSE)</f>
        <v>40391</v>
      </c>
      <c r="H286" s="2">
        <f>VLOOKUP(A286,Table3[#All],8,FALSE)</f>
        <v>4</v>
      </c>
      <c r="I286" s="2">
        <f>VLOOKUP(A286,Table3[#All],9,FALSE)</f>
        <v>43</v>
      </c>
      <c r="J286" s="2">
        <f>VLOOKUP(A286,Table3[#All],10,FALSE)</f>
        <v>2</v>
      </c>
      <c r="K286" s="2">
        <f>VLOOKUP(A286,Table3[#All],11,FALSE)</f>
        <v>100</v>
      </c>
      <c r="L286" s="2" t="str">
        <f>VLOOKUP(A286,Table3[#All],12,FALSE)</f>
        <v>Delhi</v>
      </c>
      <c r="M286" s="2" t="str">
        <f t="shared" si="4"/>
        <v>Eligible</v>
      </c>
    </row>
    <row r="287" spans="1:13" hidden="1" x14ac:dyDescent="0.25">
      <c r="A287" s="6" t="s">
        <v>295</v>
      </c>
      <c r="B287" s="2" t="str">
        <f>VLOOKUP(A287,Table3[#All],2,FALSE)</f>
        <v>Sneha</v>
      </c>
      <c r="C287" s="2" t="str">
        <f>VLOOKUP(A287,Table3[#All],3,FALSE)</f>
        <v>Sales</v>
      </c>
      <c r="D287" s="2">
        <f>VLOOKUP(A287,Table3[#All],4,FALSE)</f>
        <v>23</v>
      </c>
      <c r="E287" s="2" t="str">
        <f>VLOOKUP(A287,Table3[#All],5,FALSE)</f>
        <v>Female</v>
      </c>
      <c r="F287" s="2">
        <f>VLOOKUP(A287,Table3[#All],6,FALSE)</f>
        <v>13</v>
      </c>
      <c r="G287" s="2">
        <f>VLOOKUP(A287,Table3[#All],7,FALSE)</f>
        <v>40475</v>
      </c>
      <c r="H287" s="2">
        <f>VLOOKUP(A287,Table3[#All],8,FALSE)</f>
        <v>7</v>
      </c>
      <c r="I287" s="2">
        <f>VLOOKUP(A287,Table3[#All],9,FALSE)</f>
        <v>49</v>
      </c>
      <c r="J287" s="2">
        <f>VLOOKUP(A287,Table3[#All],10,FALSE)</f>
        <v>1</v>
      </c>
      <c r="K287" s="2">
        <f>VLOOKUP(A287,Table3[#All],11,FALSE)</f>
        <v>89</v>
      </c>
      <c r="L287" s="2" t="str">
        <f>VLOOKUP(A287,Table3[#All],12,FALSE)</f>
        <v>Mumbai</v>
      </c>
      <c r="M287" s="2" t="str">
        <f t="shared" si="4"/>
        <v>Not Eligible</v>
      </c>
    </row>
    <row r="288" spans="1:13" hidden="1" x14ac:dyDescent="0.25">
      <c r="A288" s="6" t="s">
        <v>133</v>
      </c>
      <c r="B288" s="2" t="str">
        <f>VLOOKUP(A288,Table3[#All],2,FALSE)</f>
        <v>Nisha</v>
      </c>
      <c r="C288" s="2" t="str">
        <f>VLOOKUP(A288,Table3[#All],3,FALSE)</f>
        <v>HR</v>
      </c>
      <c r="D288" s="2">
        <f>VLOOKUP(A288,Table3[#All],4,FALSE)</f>
        <v>25</v>
      </c>
      <c r="E288" s="2" t="str">
        <f>VLOOKUP(A288,Table3[#All],5,FALSE)</f>
        <v>Female</v>
      </c>
      <c r="F288" s="2">
        <f>VLOOKUP(A288,Table3[#All],6,FALSE)</f>
        <v>9</v>
      </c>
      <c r="G288" s="2">
        <f>VLOOKUP(A288,Table3[#All],7,FALSE)</f>
        <v>40531</v>
      </c>
      <c r="H288" s="2">
        <f>VLOOKUP(A288,Table3[#All],8,FALSE)</f>
        <v>6</v>
      </c>
      <c r="I288" s="2">
        <f>VLOOKUP(A288,Table3[#All],9,FALSE)</f>
        <v>45</v>
      </c>
      <c r="J288" s="2">
        <f>VLOOKUP(A288,Table3[#All],10,FALSE)</f>
        <v>3</v>
      </c>
      <c r="K288" s="2">
        <f>VLOOKUP(A288,Table3[#All],11,FALSE)</f>
        <v>86</v>
      </c>
      <c r="L288" s="2" t="str">
        <f>VLOOKUP(A288,Table3[#All],12,FALSE)</f>
        <v>Delhi</v>
      </c>
      <c r="M288" s="2" t="str">
        <f t="shared" si="4"/>
        <v>Not Eligible</v>
      </c>
    </row>
    <row r="289" spans="1:13" x14ac:dyDescent="0.25">
      <c r="A289" s="6" t="s">
        <v>92</v>
      </c>
      <c r="B289" s="2" t="str">
        <f>VLOOKUP(A289,Table3[#All],2,FALSE)</f>
        <v>Lakshmi</v>
      </c>
      <c r="C289" s="2" t="str">
        <f>VLOOKUP(A289,Table3[#All],3,FALSE)</f>
        <v>IT</v>
      </c>
      <c r="D289" s="2">
        <f>VLOOKUP(A289,Table3[#All],4,FALSE)</f>
        <v>32</v>
      </c>
      <c r="E289" s="2" t="str">
        <f>VLOOKUP(A289,Table3[#All],5,FALSE)</f>
        <v>Male</v>
      </c>
      <c r="F289" s="2">
        <f>VLOOKUP(A289,Table3[#All],6,FALSE)</f>
        <v>15</v>
      </c>
      <c r="G289" s="2">
        <f>VLOOKUP(A289,Table3[#All],7,FALSE)</f>
        <v>40726</v>
      </c>
      <c r="H289" s="2">
        <f>VLOOKUP(A289,Table3[#All],8,FALSE)</f>
        <v>10</v>
      </c>
      <c r="I289" s="2">
        <f>VLOOKUP(A289,Table3[#All],9,FALSE)</f>
        <v>39</v>
      </c>
      <c r="J289" s="2">
        <f>VLOOKUP(A289,Table3[#All],10,FALSE)</f>
        <v>5</v>
      </c>
      <c r="K289" s="2">
        <f>VLOOKUP(A289,Table3[#All],11,FALSE)</f>
        <v>96</v>
      </c>
      <c r="L289" s="2" t="str">
        <f>VLOOKUP(A289,Table3[#All],12,FALSE)</f>
        <v>Bangalore</v>
      </c>
      <c r="M289" s="2" t="str">
        <f t="shared" si="4"/>
        <v>Eligible</v>
      </c>
    </row>
    <row r="290" spans="1:13" hidden="1" x14ac:dyDescent="0.25">
      <c r="A290" s="5" t="s">
        <v>390</v>
      </c>
      <c r="B290" s="2" t="str">
        <f>VLOOKUP(A290,Table3[#All],2,FALSE)</f>
        <v>Karthik</v>
      </c>
      <c r="C290" s="2" t="str">
        <f>VLOOKUP(A290,Table3[#All],3,FALSE)</f>
        <v>Sales</v>
      </c>
      <c r="D290" s="2">
        <f>VLOOKUP(A290,Table3[#All],4,FALSE)</f>
        <v>28</v>
      </c>
      <c r="E290" s="2" t="str">
        <f>VLOOKUP(A290,Table3[#All],5,FALSE)</f>
        <v>Male</v>
      </c>
      <c r="F290" s="2">
        <f>VLOOKUP(A290,Table3[#All],6,FALSE)</f>
        <v>6</v>
      </c>
      <c r="G290" s="2">
        <f>VLOOKUP(A290,Table3[#All],7,FALSE)</f>
        <v>40744</v>
      </c>
      <c r="H290" s="2">
        <f>VLOOKUP(A290,Table3[#All],8,FALSE)</f>
        <v>8</v>
      </c>
      <c r="I290" s="2">
        <f>VLOOKUP(A290,Table3[#All],9,FALSE)</f>
        <v>43</v>
      </c>
      <c r="J290" s="2">
        <f>VLOOKUP(A290,Table3[#All],10,FALSE)</f>
        <v>4</v>
      </c>
      <c r="K290" s="2">
        <f>VLOOKUP(A290,Table3[#All],11,FALSE)</f>
        <v>87</v>
      </c>
      <c r="L290" s="2" t="str">
        <f>VLOOKUP(A290,Table3[#All],12,FALSE)</f>
        <v>Pune</v>
      </c>
      <c r="M290" s="2" t="str">
        <f t="shared" si="4"/>
        <v>Not Eligible</v>
      </c>
    </row>
    <row r="291" spans="1:13" hidden="1" x14ac:dyDescent="0.25">
      <c r="A291" s="6" t="s">
        <v>333</v>
      </c>
      <c r="B291" s="2" t="str">
        <f>VLOOKUP(A291,Table3[#All],2,FALSE)</f>
        <v>Divya</v>
      </c>
      <c r="C291" s="2" t="str">
        <f>VLOOKUP(A291,Table3[#All],3,FALSE)</f>
        <v>HR</v>
      </c>
      <c r="D291" s="2">
        <f>VLOOKUP(A291,Table3[#All],4,FALSE)</f>
        <v>38</v>
      </c>
      <c r="E291" s="2" t="str">
        <f>VLOOKUP(A291,Table3[#All],5,FALSE)</f>
        <v>Female</v>
      </c>
      <c r="F291" s="2">
        <f>VLOOKUP(A291,Table3[#All],6,FALSE)</f>
        <v>3</v>
      </c>
      <c r="G291" s="2">
        <f>VLOOKUP(A291,Table3[#All],7,FALSE)</f>
        <v>43288</v>
      </c>
      <c r="H291" s="2">
        <f>VLOOKUP(A291,Table3[#All],8,FALSE)</f>
        <v>3</v>
      </c>
      <c r="I291" s="2">
        <f>VLOOKUP(A291,Table3[#All],9,FALSE)</f>
        <v>48</v>
      </c>
      <c r="J291" s="2">
        <f>VLOOKUP(A291,Table3[#All],10,FALSE)</f>
        <v>1</v>
      </c>
      <c r="K291" s="2">
        <f>VLOOKUP(A291,Table3[#All],11,FALSE)</f>
        <v>95</v>
      </c>
      <c r="L291" s="2" t="str">
        <f>VLOOKUP(A291,Table3[#All],12,FALSE)</f>
        <v>Bangalore</v>
      </c>
      <c r="M291" s="2" t="str">
        <f t="shared" si="4"/>
        <v>Eligible</v>
      </c>
    </row>
    <row r="292" spans="1:13" hidden="1" x14ac:dyDescent="0.25">
      <c r="A292" s="5" t="s">
        <v>622</v>
      </c>
      <c r="B292" s="2" t="str">
        <f>VLOOKUP(A292,Table3[#All],2,FALSE)</f>
        <v>Sneha</v>
      </c>
      <c r="C292" s="2" t="str">
        <f>VLOOKUP(A292,Table3[#All],3,FALSE)</f>
        <v>IT</v>
      </c>
      <c r="D292" s="2">
        <f>VLOOKUP(A292,Table3[#All],4,FALSE)</f>
        <v>26</v>
      </c>
      <c r="E292" s="2" t="str">
        <f>VLOOKUP(A292,Table3[#All],5,FALSE)</f>
        <v>Female</v>
      </c>
      <c r="F292" s="2">
        <f>VLOOKUP(A292,Table3[#All],6,FALSE)</f>
        <v>5</v>
      </c>
      <c r="G292" s="2">
        <f>VLOOKUP(A292,Table3[#All],7,FALSE)</f>
        <v>40797</v>
      </c>
      <c r="H292" s="2">
        <f>VLOOKUP(A292,Table3[#All],8,FALSE)</f>
        <v>7</v>
      </c>
      <c r="I292" s="2">
        <f>VLOOKUP(A292,Table3[#All],9,FALSE)</f>
        <v>35</v>
      </c>
      <c r="J292" s="2">
        <f>VLOOKUP(A292,Table3[#All],10,FALSE)</f>
        <v>3</v>
      </c>
      <c r="K292" s="2">
        <f>VLOOKUP(A292,Table3[#All],11,FALSE)</f>
        <v>85</v>
      </c>
      <c r="L292" s="2" t="str">
        <f>VLOOKUP(A292,Table3[#All],12,FALSE)</f>
        <v>Hyderabad</v>
      </c>
      <c r="M292" s="2" t="str">
        <f t="shared" si="4"/>
        <v>Not Eligible</v>
      </c>
    </row>
    <row r="293" spans="1:13" hidden="1" x14ac:dyDescent="0.25">
      <c r="A293" s="6" t="s">
        <v>273</v>
      </c>
      <c r="B293" s="2" t="str">
        <f>VLOOKUP(A293,Table3[#All],2,FALSE)</f>
        <v>Karthik</v>
      </c>
      <c r="C293" s="2" t="str">
        <f>VLOOKUP(A293,Table3[#All],3,FALSE)</f>
        <v>Sales</v>
      </c>
      <c r="D293" s="2">
        <f>VLOOKUP(A293,Table3[#All],4,FALSE)</f>
        <v>27</v>
      </c>
      <c r="E293" s="2" t="str">
        <f>VLOOKUP(A293,Table3[#All],5,FALSE)</f>
        <v>Male</v>
      </c>
      <c r="F293" s="2">
        <f>VLOOKUP(A293,Table3[#All],6,FALSE)</f>
        <v>7</v>
      </c>
      <c r="G293" s="2">
        <f>VLOOKUP(A293,Table3[#All],7,FALSE)</f>
        <v>41022</v>
      </c>
      <c r="H293" s="2">
        <f>VLOOKUP(A293,Table3[#All],8,FALSE)</f>
        <v>3</v>
      </c>
      <c r="I293" s="2">
        <f>VLOOKUP(A293,Table3[#All],9,FALSE)</f>
        <v>37</v>
      </c>
      <c r="J293" s="2">
        <f>VLOOKUP(A293,Table3[#All],10,FALSE)</f>
        <v>3</v>
      </c>
      <c r="K293" s="2">
        <f>VLOOKUP(A293,Table3[#All],11,FALSE)</f>
        <v>86</v>
      </c>
      <c r="L293" s="2" t="str">
        <f>VLOOKUP(A293,Table3[#All],12,FALSE)</f>
        <v>Mumbai</v>
      </c>
      <c r="M293" s="2" t="str">
        <f t="shared" si="4"/>
        <v>Not Eligible</v>
      </c>
    </row>
    <row r="294" spans="1:13" hidden="1" x14ac:dyDescent="0.25">
      <c r="A294" s="5" t="s">
        <v>316</v>
      </c>
      <c r="B294" s="2" t="str">
        <f>VLOOKUP(A294,Table3[#All],2,FALSE)</f>
        <v>Kavya</v>
      </c>
      <c r="C294" s="2" t="str">
        <f>VLOOKUP(A294,Table3[#All],3,FALSE)</f>
        <v>IT</v>
      </c>
      <c r="D294" s="2">
        <f>VLOOKUP(A294,Table3[#All],4,FALSE)</f>
        <v>37</v>
      </c>
      <c r="E294" s="2" t="str">
        <f>VLOOKUP(A294,Table3[#All],5,FALSE)</f>
        <v>Male</v>
      </c>
      <c r="F294" s="2">
        <f>VLOOKUP(A294,Table3[#All],6,FALSE)</f>
        <v>12</v>
      </c>
      <c r="G294" s="2">
        <f>VLOOKUP(A294,Table3[#All],7,FALSE)</f>
        <v>41107</v>
      </c>
      <c r="H294" s="2">
        <f>VLOOKUP(A294,Table3[#All],8,FALSE)</f>
        <v>11</v>
      </c>
      <c r="I294" s="2">
        <f>VLOOKUP(A294,Table3[#All],9,FALSE)</f>
        <v>40</v>
      </c>
      <c r="J294" s="2">
        <f>VLOOKUP(A294,Table3[#All],10,FALSE)</f>
        <v>1</v>
      </c>
      <c r="K294" s="2">
        <f>VLOOKUP(A294,Table3[#All],11,FALSE)</f>
        <v>85</v>
      </c>
      <c r="L294" s="2" t="str">
        <f>VLOOKUP(A294,Table3[#All],12,FALSE)</f>
        <v>Pune</v>
      </c>
      <c r="M294" s="2" t="str">
        <f t="shared" si="4"/>
        <v>Not Eligible</v>
      </c>
    </row>
    <row r="295" spans="1:13" x14ac:dyDescent="0.25">
      <c r="A295" s="5" t="s">
        <v>332</v>
      </c>
      <c r="B295" s="2" t="str">
        <f>VLOOKUP(A295,Table3[#All],2,FALSE)</f>
        <v>Nisha</v>
      </c>
      <c r="C295" s="2" t="str">
        <f>VLOOKUP(A295,Table3[#All],3,FALSE)</f>
        <v>Finance</v>
      </c>
      <c r="D295" s="2">
        <f>VLOOKUP(A295,Table3[#All],4,FALSE)</f>
        <v>31</v>
      </c>
      <c r="E295" s="2" t="str">
        <f>VLOOKUP(A295,Table3[#All],5,FALSE)</f>
        <v>Male</v>
      </c>
      <c r="F295" s="2">
        <f>VLOOKUP(A295,Table3[#All],6,FALSE)</f>
        <v>9</v>
      </c>
      <c r="G295" s="2">
        <f>VLOOKUP(A295,Table3[#All],7,FALSE)</f>
        <v>41282</v>
      </c>
      <c r="H295" s="2">
        <f>VLOOKUP(A295,Table3[#All],8,FALSE)</f>
        <v>15</v>
      </c>
      <c r="I295" s="2">
        <f>VLOOKUP(A295,Table3[#All],9,FALSE)</f>
        <v>41</v>
      </c>
      <c r="J295" s="2">
        <f>VLOOKUP(A295,Table3[#All],10,FALSE)</f>
        <v>4</v>
      </c>
      <c r="K295" s="2">
        <f>VLOOKUP(A295,Table3[#All],11,FALSE)</f>
        <v>99</v>
      </c>
      <c r="L295" s="2" t="str">
        <f>VLOOKUP(A295,Table3[#All],12,FALSE)</f>
        <v>Mumbai</v>
      </c>
      <c r="M295" s="2" t="str">
        <f t="shared" si="4"/>
        <v>Eligible</v>
      </c>
    </row>
    <row r="296" spans="1:13" hidden="1" x14ac:dyDescent="0.25">
      <c r="A296" s="5" t="s">
        <v>138</v>
      </c>
      <c r="B296" s="2" t="str">
        <f>VLOOKUP(A296,Table3[#All],2,FALSE)</f>
        <v>Ajay</v>
      </c>
      <c r="C296" s="2" t="str">
        <f>VLOOKUP(A296,Table3[#All],3,FALSE)</f>
        <v>IT</v>
      </c>
      <c r="D296" s="2">
        <f>VLOOKUP(A296,Table3[#All],4,FALSE)</f>
        <v>26</v>
      </c>
      <c r="E296" s="2" t="str">
        <f>VLOOKUP(A296,Table3[#All],5,FALSE)</f>
        <v>Female</v>
      </c>
      <c r="F296" s="2">
        <f>VLOOKUP(A296,Table3[#All],6,FALSE)</f>
        <v>7</v>
      </c>
      <c r="G296" s="2">
        <f>VLOOKUP(A296,Table3[#All],7,FALSE)</f>
        <v>41578</v>
      </c>
      <c r="H296" s="2">
        <f>VLOOKUP(A296,Table3[#All],8,FALSE)</f>
        <v>3</v>
      </c>
      <c r="I296" s="2">
        <f>VLOOKUP(A296,Table3[#All],9,FALSE)</f>
        <v>47</v>
      </c>
      <c r="J296" s="2">
        <f>VLOOKUP(A296,Table3[#All],10,FALSE)</f>
        <v>5</v>
      </c>
      <c r="K296" s="2">
        <f>VLOOKUP(A296,Table3[#All],11,FALSE)</f>
        <v>88</v>
      </c>
      <c r="L296" s="2" t="str">
        <f>VLOOKUP(A296,Table3[#All],12,FALSE)</f>
        <v>Delhi</v>
      </c>
      <c r="M296" s="2" t="str">
        <f t="shared" si="4"/>
        <v>Not Eligible</v>
      </c>
    </row>
    <row r="297" spans="1:13" hidden="1" x14ac:dyDescent="0.25">
      <c r="A297" s="6" t="s">
        <v>339</v>
      </c>
      <c r="B297" s="2" t="str">
        <f>VLOOKUP(A297,Table3[#All],2,FALSE)</f>
        <v>Priya</v>
      </c>
      <c r="C297" s="2" t="str">
        <f>VLOOKUP(A297,Table3[#All],3,FALSE)</f>
        <v>HR</v>
      </c>
      <c r="D297" s="2">
        <f>VLOOKUP(A297,Table3[#All],4,FALSE)</f>
        <v>36</v>
      </c>
      <c r="E297" s="2" t="str">
        <f>VLOOKUP(A297,Table3[#All],5,FALSE)</f>
        <v>Female</v>
      </c>
      <c r="F297" s="2">
        <f>VLOOKUP(A297,Table3[#All],6,FALSE)</f>
        <v>3</v>
      </c>
      <c r="G297" s="2">
        <f>VLOOKUP(A297,Table3[#All],7,FALSE)</f>
        <v>47028</v>
      </c>
      <c r="H297" s="2">
        <f>VLOOKUP(A297,Table3[#All],8,FALSE)</f>
        <v>5</v>
      </c>
      <c r="I297" s="2">
        <f>VLOOKUP(A297,Table3[#All],9,FALSE)</f>
        <v>50</v>
      </c>
      <c r="J297" s="2">
        <f>VLOOKUP(A297,Table3[#All],10,FALSE)</f>
        <v>3</v>
      </c>
      <c r="K297" s="2">
        <f>VLOOKUP(A297,Table3[#All],11,FALSE)</f>
        <v>89</v>
      </c>
      <c r="L297" s="2" t="str">
        <f>VLOOKUP(A297,Table3[#All],12,FALSE)</f>
        <v>Mumbai</v>
      </c>
      <c r="M297" s="2" t="str">
        <f t="shared" si="4"/>
        <v>Not Eligible</v>
      </c>
    </row>
    <row r="298" spans="1:13" hidden="1" x14ac:dyDescent="0.25">
      <c r="A298" s="5" t="s">
        <v>340</v>
      </c>
      <c r="B298" s="2" t="str">
        <f>VLOOKUP(A298,Table3[#All],2,FALSE)</f>
        <v>Meena</v>
      </c>
      <c r="C298" s="2" t="str">
        <f>VLOOKUP(A298,Table3[#All],3,FALSE)</f>
        <v>IT</v>
      </c>
      <c r="D298" s="2">
        <f>VLOOKUP(A298,Table3[#All],4,FALSE)</f>
        <v>31</v>
      </c>
      <c r="E298" s="2" t="str">
        <f>VLOOKUP(A298,Table3[#All],5,FALSE)</f>
        <v>Male</v>
      </c>
      <c r="F298" s="2">
        <f>VLOOKUP(A298,Table3[#All],6,FALSE)</f>
        <v>4</v>
      </c>
      <c r="G298" s="2">
        <f>VLOOKUP(A298,Table3[#All],7,FALSE)</f>
        <v>59236</v>
      </c>
      <c r="H298" s="2">
        <f>VLOOKUP(A298,Table3[#All],8,FALSE)</f>
        <v>3</v>
      </c>
      <c r="I298" s="2">
        <f>VLOOKUP(A298,Table3[#All],9,FALSE)</f>
        <v>50</v>
      </c>
      <c r="J298" s="2">
        <f>VLOOKUP(A298,Table3[#All],10,FALSE)</f>
        <v>4</v>
      </c>
      <c r="K298" s="2">
        <f>VLOOKUP(A298,Table3[#All],11,FALSE)</f>
        <v>85</v>
      </c>
      <c r="L298" s="2" t="str">
        <f>VLOOKUP(A298,Table3[#All],12,FALSE)</f>
        <v>Hyderabad</v>
      </c>
      <c r="M298" s="2" t="str">
        <f t="shared" si="4"/>
        <v>Not Eligible</v>
      </c>
    </row>
    <row r="299" spans="1:13" hidden="1" x14ac:dyDescent="0.25">
      <c r="A299" s="6" t="s">
        <v>245</v>
      </c>
      <c r="B299" s="2" t="str">
        <f>VLOOKUP(A299,Table3[#All],2,FALSE)</f>
        <v>Arun</v>
      </c>
      <c r="C299" s="2" t="str">
        <f>VLOOKUP(A299,Table3[#All],3,FALSE)</f>
        <v>HR</v>
      </c>
      <c r="D299" s="2">
        <f>VLOOKUP(A299,Table3[#All],4,FALSE)</f>
        <v>39</v>
      </c>
      <c r="E299" s="2" t="str">
        <f>VLOOKUP(A299,Table3[#All],5,FALSE)</f>
        <v>Male</v>
      </c>
      <c r="F299" s="2">
        <f>VLOOKUP(A299,Table3[#All],6,FALSE)</f>
        <v>15</v>
      </c>
      <c r="G299" s="2">
        <f>VLOOKUP(A299,Table3[#All],7,FALSE)</f>
        <v>41656</v>
      </c>
      <c r="H299" s="2">
        <f>VLOOKUP(A299,Table3[#All],8,FALSE)</f>
        <v>9</v>
      </c>
      <c r="I299" s="2">
        <f>VLOOKUP(A299,Table3[#All],9,FALSE)</f>
        <v>49</v>
      </c>
      <c r="J299" s="2">
        <f>VLOOKUP(A299,Table3[#All],10,FALSE)</f>
        <v>4</v>
      </c>
      <c r="K299" s="2">
        <f>VLOOKUP(A299,Table3[#All],11,FALSE)</f>
        <v>96</v>
      </c>
      <c r="L299" s="2" t="str">
        <f>VLOOKUP(A299,Table3[#All],12,FALSE)</f>
        <v>Hyderabad</v>
      </c>
      <c r="M299" s="2" t="str">
        <f t="shared" si="4"/>
        <v>Eligible</v>
      </c>
    </row>
    <row r="300" spans="1:13" hidden="1" x14ac:dyDescent="0.25">
      <c r="A300" s="6" t="s">
        <v>753</v>
      </c>
      <c r="B300" s="2" t="str">
        <f>VLOOKUP(A300,Table3[#All],2,FALSE)</f>
        <v>Sneha</v>
      </c>
      <c r="C300" s="2" t="str">
        <f>VLOOKUP(A300,Table3[#All],3,FALSE)</f>
        <v>IT</v>
      </c>
      <c r="D300" s="2">
        <f>VLOOKUP(A300,Table3[#All],4,FALSE)</f>
        <v>40</v>
      </c>
      <c r="E300" s="2" t="str">
        <f>VLOOKUP(A300,Table3[#All],5,FALSE)</f>
        <v>Female</v>
      </c>
      <c r="F300" s="2">
        <f>VLOOKUP(A300,Table3[#All],6,FALSE)</f>
        <v>15</v>
      </c>
      <c r="G300" s="2">
        <f>VLOOKUP(A300,Table3[#All],7,FALSE)</f>
        <v>41699</v>
      </c>
      <c r="H300" s="2">
        <f>VLOOKUP(A300,Table3[#All],8,FALSE)</f>
        <v>7</v>
      </c>
      <c r="I300" s="2">
        <f>VLOOKUP(A300,Table3[#All],9,FALSE)</f>
        <v>35</v>
      </c>
      <c r="J300" s="2">
        <f>VLOOKUP(A300,Table3[#All],10,FALSE)</f>
        <v>4</v>
      </c>
      <c r="K300" s="2">
        <f>VLOOKUP(A300,Table3[#All],11,FALSE)</f>
        <v>87</v>
      </c>
      <c r="L300" s="2" t="str">
        <f>VLOOKUP(A300,Table3[#All],12,FALSE)</f>
        <v>Bangalore</v>
      </c>
      <c r="M300" s="2" t="str">
        <f t="shared" si="4"/>
        <v>Not Eligible</v>
      </c>
    </row>
    <row r="301" spans="1:13" hidden="1" x14ac:dyDescent="0.25">
      <c r="A301" s="5" t="s">
        <v>1000</v>
      </c>
      <c r="B301" s="2" t="str">
        <f>VLOOKUP(A301,Table3[#All],2,FALSE)</f>
        <v>Sanjay</v>
      </c>
      <c r="C301" s="2" t="str">
        <f>VLOOKUP(A301,Table3[#All],3,FALSE)</f>
        <v>Sales</v>
      </c>
      <c r="D301" s="2">
        <f>VLOOKUP(A301,Table3[#All],4,FALSE)</f>
        <v>29</v>
      </c>
      <c r="E301" s="2" t="str">
        <f>VLOOKUP(A301,Table3[#All],5,FALSE)</f>
        <v>Male</v>
      </c>
      <c r="F301" s="2">
        <f>VLOOKUP(A301,Table3[#All],6,FALSE)</f>
        <v>7</v>
      </c>
      <c r="G301" s="2">
        <f>VLOOKUP(A301,Table3[#All],7,FALSE)</f>
        <v>42006</v>
      </c>
      <c r="H301" s="2">
        <f>VLOOKUP(A301,Table3[#All],8,FALSE)</f>
        <v>10</v>
      </c>
      <c r="I301" s="2">
        <f>VLOOKUP(A301,Table3[#All],9,FALSE)</f>
        <v>39</v>
      </c>
      <c r="J301" s="2">
        <f>VLOOKUP(A301,Table3[#All],10,FALSE)</f>
        <v>4</v>
      </c>
      <c r="K301" s="2">
        <f>VLOOKUP(A301,Table3[#All],11,FALSE)</f>
        <v>86</v>
      </c>
      <c r="L301" s="2" t="str">
        <f>VLOOKUP(A301,Table3[#All],12,FALSE)</f>
        <v>Chennai</v>
      </c>
      <c r="M301" s="2" t="str">
        <f t="shared" si="4"/>
        <v>Not Eligible</v>
      </c>
    </row>
    <row r="302" spans="1:13" hidden="1" x14ac:dyDescent="0.25">
      <c r="A302" s="5" t="s">
        <v>69</v>
      </c>
      <c r="B302" s="2" t="str">
        <f>VLOOKUP(A302,Table3[#All],2,FALSE)</f>
        <v>Ajay</v>
      </c>
      <c r="C302" s="2" t="str">
        <f>VLOOKUP(A302,Table3[#All],3,FALSE)</f>
        <v>Sales</v>
      </c>
      <c r="D302" s="2">
        <f>VLOOKUP(A302,Table3[#All],4,FALSE)</f>
        <v>36</v>
      </c>
      <c r="E302" s="2" t="str">
        <f>VLOOKUP(A302,Table3[#All],5,FALSE)</f>
        <v>Female</v>
      </c>
      <c r="F302" s="2">
        <f>VLOOKUP(A302,Table3[#All],6,FALSE)</f>
        <v>6</v>
      </c>
      <c r="G302" s="2">
        <f>VLOOKUP(A302,Table3[#All],7,FALSE)</f>
        <v>42013</v>
      </c>
      <c r="H302" s="2">
        <f>VLOOKUP(A302,Table3[#All],8,FALSE)</f>
        <v>12</v>
      </c>
      <c r="I302" s="2">
        <f>VLOOKUP(A302,Table3[#All],9,FALSE)</f>
        <v>40</v>
      </c>
      <c r="J302" s="2">
        <f>VLOOKUP(A302,Table3[#All],10,FALSE)</f>
        <v>1</v>
      </c>
      <c r="K302" s="2">
        <f>VLOOKUP(A302,Table3[#All],11,FALSE)</f>
        <v>85</v>
      </c>
      <c r="L302" s="2" t="str">
        <f>VLOOKUP(A302,Table3[#All],12,FALSE)</f>
        <v>Bangalore</v>
      </c>
      <c r="M302" s="2" t="str">
        <f t="shared" si="4"/>
        <v>Not Eligible</v>
      </c>
    </row>
    <row r="303" spans="1:13" x14ac:dyDescent="0.25">
      <c r="A303" s="5" t="s">
        <v>528</v>
      </c>
      <c r="B303" s="2" t="str">
        <f>VLOOKUP(A303,Table3[#All],2,FALSE)</f>
        <v>Vijay</v>
      </c>
      <c r="C303" s="2" t="str">
        <f>VLOOKUP(A303,Table3[#All],3,FALSE)</f>
        <v>Finance</v>
      </c>
      <c r="D303" s="2">
        <f>VLOOKUP(A303,Table3[#All],4,FALSE)</f>
        <v>36</v>
      </c>
      <c r="E303" s="2" t="str">
        <f>VLOOKUP(A303,Table3[#All],5,FALSE)</f>
        <v>Male</v>
      </c>
      <c r="F303" s="2">
        <f>VLOOKUP(A303,Table3[#All],6,FALSE)</f>
        <v>11</v>
      </c>
      <c r="G303" s="2">
        <f>VLOOKUP(A303,Table3[#All],7,FALSE)</f>
        <v>42023</v>
      </c>
      <c r="H303" s="2">
        <f>VLOOKUP(A303,Table3[#All],8,FALSE)</f>
        <v>12</v>
      </c>
      <c r="I303" s="2">
        <f>VLOOKUP(A303,Table3[#All],9,FALSE)</f>
        <v>40</v>
      </c>
      <c r="J303" s="2">
        <f>VLOOKUP(A303,Table3[#All],10,FALSE)</f>
        <v>2</v>
      </c>
      <c r="K303" s="2">
        <f>VLOOKUP(A303,Table3[#All],11,FALSE)</f>
        <v>98</v>
      </c>
      <c r="L303" s="2" t="str">
        <f>VLOOKUP(A303,Table3[#All],12,FALSE)</f>
        <v>Mumbai</v>
      </c>
      <c r="M303" s="2" t="str">
        <f t="shared" si="4"/>
        <v>Eligible</v>
      </c>
    </row>
    <row r="304" spans="1:13" hidden="1" x14ac:dyDescent="0.25">
      <c r="A304" s="6" t="s">
        <v>427</v>
      </c>
      <c r="B304" s="2" t="str">
        <f>VLOOKUP(A304,Table3[#All],2,FALSE)</f>
        <v>Arun</v>
      </c>
      <c r="C304" s="2" t="str">
        <f>VLOOKUP(A304,Table3[#All],3,FALSE)</f>
        <v>HR</v>
      </c>
      <c r="D304" s="2">
        <f>VLOOKUP(A304,Table3[#All],4,FALSE)</f>
        <v>32</v>
      </c>
      <c r="E304" s="2" t="str">
        <f>VLOOKUP(A304,Table3[#All],5,FALSE)</f>
        <v>Female</v>
      </c>
      <c r="F304" s="2">
        <f>VLOOKUP(A304,Table3[#All],6,FALSE)</f>
        <v>9</v>
      </c>
      <c r="G304" s="2">
        <f>VLOOKUP(A304,Table3[#All],7,FALSE)</f>
        <v>42136</v>
      </c>
      <c r="H304" s="2">
        <f>VLOOKUP(A304,Table3[#All],8,FALSE)</f>
        <v>5</v>
      </c>
      <c r="I304" s="2">
        <f>VLOOKUP(A304,Table3[#All],9,FALSE)</f>
        <v>38</v>
      </c>
      <c r="J304" s="2">
        <f>VLOOKUP(A304,Table3[#All],10,FALSE)</f>
        <v>3</v>
      </c>
      <c r="K304" s="2">
        <f>VLOOKUP(A304,Table3[#All],11,FALSE)</f>
        <v>95</v>
      </c>
      <c r="L304" s="2" t="str">
        <f>VLOOKUP(A304,Table3[#All],12,FALSE)</f>
        <v>Pune</v>
      </c>
      <c r="M304" s="2" t="str">
        <f t="shared" si="4"/>
        <v>Eligible</v>
      </c>
    </row>
    <row r="305" spans="1:13" hidden="1" x14ac:dyDescent="0.25">
      <c r="A305" s="5" t="s">
        <v>930</v>
      </c>
      <c r="B305" s="2" t="str">
        <f>VLOOKUP(A305,Table3[#All],2,FALSE)</f>
        <v>Sneha</v>
      </c>
      <c r="C305" s="2" t="str">
        <f>VLOOKUP(A305,Table3[#All],3,FALSE)</f>
        <v>Finance</v>
      </c>
      <c r="D305" s="2">
        <f>VLOOKUP(A305,Table3[#All],4,FALSE)</f>
        <v>33</v>
      </c>
      <c r="E305" s="2" t="str">
        <f>VLOOKUP(A305,Table3[#All],5,FALSE)</f>
        <v>Female</v>
      </c>
      <c r="F305" s="2">
        <f>VLOOKUP(A305,Table3[#All],6,FALSE)</f>
        <v>11</v>
      </c>
      <c r="G305" s="2">
        <f>VLOOKUP(A305,Table3[#All],7,FALSE)</f>
        <v>42144</v>
      </c>
      <c r="H305" s="2">
        <f>VLOOKUP(A305,Table3[#All],8,FALSE)</f>
        <v>6</v>
      </c>
      <c r="I305" s="2">
        <f>VLOOKUP(A305,Table3[#All],9,FALSE)</f>
        <v>41</v>
      </c>
      <c r="J305" s="2">
        <f>VLOOKUP(A305,Table3[#All],10,FALSE)</f>
        <v>5</v>
      </c>
      <c r="K305" s="2">
        <f>VLOOKUP(A305,Table3[#All],11,FALSE)</f>
        <v>94</v>
      </c>
      <c r="L305" s="2" t="str">
        <f>VLOOKUP(A305,Table3[#All],12,FALSE)</f>
        <v>Pune</v>
      </c>
      <c r="M305" s="2" t="str">
        <f t="shared" si="4"/>
        <v>Not Eligible</v>
      </c>
    </row>
    <row r="306" spans="1:13" hidden="1" x14ac:dyDescent="0.25">
      <c r="A306" s="5" t="s">
        <v>348</v>
      </c>
      <c r="B306" s="2" t="str">
        <f>VLOOKUP(A306,Table3[#All],2,FALSE)</f>
        <v>Sanjay</v>
      </c>
      <c r="C306" s="2" t="str">
        <f>VLOOKUP(A306,Table3[#All],3,FALSE)</f>
        <v>IT</v>
      </c>
      <c r="D306" s="2">
        <f>VLOOKUP(A306,Table3[#All],4,FALSE)</f>
        <v>40</v>
      </c>
      <c r="E306" s="2" t="str">
        <f>VLOOKUP(A306,Table3[#All],5,FALSE)</f>
        <v>Female</v>
      </c>
      <c r="F306" s="2">
        <f>VLOOKUP(A306,Table3[#All],6,FALSE)</f>
        <v>4</v>
      </c>
      <c r="G306" s="2">
        <f>VLOOKUP(A306,Table3[#All],7,FALSE)</f>
        <v>34140</v>
      </c>
      <c r="H306" s="2">
        <f>VLOOKUP(A306,Table3[#All],8,FALSE)</f>
        <v>9</v>
      </c>
      <c r="I306" s="2">
        <f>VLOOKUP(A306,Table3[#All],9,FALSE)</f>
        <v>47</v>
      </c>
      <c r="J306" s="2">
        <f>VLOOKUP(A306,Table3[#All],10,FALSE)</f>
        <v>4</v>
      </c>
      <c r="K306" s="2">
        <f>VLOOKUP(A306,Table3[#All],11,FALSE)</f>
        <v>92</v>
      </c>
      <c r="L306" s="2" t="str">
        <f>VLOOKUP(A306,Table3[#All],12,FALSE)</f>
        <v>Bangalore</v>
      </c>
      <c r="M306" s="2" t="str">
        <f t="shared" si="4"/>
        <v>Not Eligible</v>
      </c>
    </row>
    <row r="307" spans="1:13" hidden="1" x14ac:dyDescent="0.25">
      <c r="A307" s="5" t="s">
        <v>124</v>
      </c>
      <c r="B307" s="2" t="str">
        <f>VLOOKUP(A307,Table3[#All],2,FALSE)</f>
        <v>Priya</v>
      </c>
      <c r="C307" s="2" t="str">
        <f>VLOOKUP(A307,Table3[#All],3,FALSE)</f>
        <v>Finance</v>
      </c>
      <c r="D307" s="2">
        <f>VLOOKUP(A307,Table3[#All],4,FALSE)</f>
        <v>33</v>
      </c>
      <c r="E307" s="2" t="str">
        <f>VLOOKUP(A307,Table3[#All],5,FALSE)</f>
        <v>Male</v>
      </c>
      <c r="F307" s="2">
        <f>VLOOKUP(A307,Table3[#All],6,FALSE)</f>
        <v>11</v>
      </c>
      <c r="G307" s="2">
        <f>VLOOKUP(A307,Table3[#All],7,FALSE)</f>
        <v>42168</v>
      </c>
      <c r="H307" s="2">
        <f>VLOOKUP(A307,Table3[#All],8,FALSE)</f>
        <v>5</v>
      </c>
      <c r="I307" s="2">
        <f>VLOOKUP(A307,Table3[#All],9,FALSE)</f>
        <v>50</v>
      </c>
      <c r="J307" s="2">
        <f>VLOOKUP(A307,Table3[#All],10,FALSE)</f>
        <v>1</v>
      </c>
      <c r="K307" s="2">
        <f>VLOOKUP(A307,Table3[#All],11,FALSE)</f>
        <v>97</v>
      </c>
      <c r="L307" s="2" t="str">
        <f>VLOOKUP(A307,Table3[#All],12,FALSE)</f>
        <v>Bangalore</v>
      </c>
      <c r="M307" s="2" t="str">
        <f t="shared" si="4"/>
        <v>Eligible</v>
      </c>
    </row>
    <row r="308" spans="1:13" hidden="1" x14ac:dyDescent="0.25">
      <c r="A308" s="5" t="s">
        <v>350</v>
      </c>
      <c r="B308" s="2" t="str">
        <f>VLOOKUP(A308,Table3[#All],2,FALSE)</f>
        <v>Sanjay</v>
      </c>
      <c r="C308" s="2" t="str">
        <f>VLOOKUP(A308,Table3[#All],3,FALSE)</f>
        <v>Sales</v>
      </c>
      <c r="D308" s="2">
        <f>VLOOKUP(A308,Table3[#All],4,FALSE)</f>
        <v>26</v>
      </c>
      <c r="E308" s="2" t="str">
        <f>VLOOKUP(A308,Table3[#All],5,FALSE)</f>
        <v>Female</v>
      </c>
      <c r="F308" s="2">
        <f>VLOOKUP(A308,Table3[#All],6,FALSE)</f>
        <v>4</v>
      </c>
      <c r="G308" s="2">
        <f>VLOOKUP(A308,Table3[#All],7,FALSE)</f>
        <v>65485</v>
      </c>
      <c r="H308" s="2">
        <f>VLOOKUP(A308,Table3[#All],8,FALSE)</f>
        <v>13</v>
      </c>
      <c r="I308" s="2">
        <f>VLOOKUP(A308,Table3[#All],9,FALSE)</f>
        <v>44</v>
      </c>
      <c r="J308" s="2">
        <f>VLOOKUP(A308,Table3[#All],10,FALSE)</f>
        <v>5</v>
      </c>
      <c r="K308" s="2">
        <f>VLOOKUP(A308,Table3[#All],11,FALSE)</f>
        <v>93</v>
      </c>
      <c r="L308" s="2" t="str">
        <f>VLOOKUP(A308,Table3[#All],12,FALSE)</f>
        <v>Pune</v>
      </c>
      <c r="M308" s="2" t="str">
        <f t="shared" si="4"/>
        <v>Not Eligible</v>
      </c>
    </row>
    <row r="309" spans="1:13" hidden="1" x14ac:dyDescent="0.25">
      <c r="A309" s="6" t="s">
        <v>351</v>
      </c>
      <c r="B309" s="2" t="str">
        <f>VLOOKUP(A309,Table3[#All],2,FALSE)</f>
        <v>Deepa</v>
      </c>
      <c r="C309" s="2" t="str">
        <f>VLOOKUP(A309,Table3[#All],3,FALSE)</f>
        <v>HR</v>
      </c>
      <c r="D309" s="2">
        <f>VLOOKUP(A309,Table3[#All],4,FALSE)</f>
        <v>29</v>
      </c>
      <c r="E309" s="2" t="str">
        <f>VLOOKUP(A309,Table3[#All],5,FALSE)</f>
        <v>Male</v>
      </c>
      <c r="F309" s="2">
        <f>VLOOKUP(A309,Table3[#All],6,FALSE)</f>
        <v>3</v>
      </c>
      <c r="G309" s="2">
        <f>VLOOKUP(A309,Table3[#All],7,FALSE)</f>
        <v>52732</v>
      </c>
      <c r="H309" s="2">
        <f>VLOOKUP(A309,Table3[#All],8,FALSE)</f>
        <v>5</v>
      </c>
      <c r="I309" s="2">
        <f>VLOOKUP(A309,Table3[#All],9,FALSE)</f>
        <v>43</v>
      </c>
      <c r="J309" s="2">
        <f>VLOOKUP(A309,Table3[#All],10,FALSE)</f>
        <v>4</v>
      </c>
      <c r="K309" s="2">
        <f>VLOOKUP(A309,Table3[#All],11,FALSE)</f>
        <v>91</v>
      </c>
      <c r="L309" s="2" t="str">
        <f>VLOOKUP(A309,Table3[#All],12,FALSE)</f>
        <v>Bangalore</v>
      </c>
      <c r="M309" s="2" t="str">
        <f t="shared" si="4"/>
        <v>Not Eligible</v>
      </c>
    </row>
    <row r="310" spans="1:13" hidden="1" x14ac:dyDescent="0.25">
      <c r="A310" s="6" t="s">
        <v>747</v>
      </c>
      <c r="B310" s="2" t="str">
        <f>VLOOKUP(A310,Table3[#All],2,FALSE)</f>
        <v>Meena</v>
      </c>
      <c r="C310" s="2" t="str">
        <f>VLOOKUP(A310,Table3[#All],3,FALSE)</f>
        <v>IT</v>
      </c>
      <c r="D310" s="2">
        <f>VLOOKUP(A310,Table3[#All],4,FALSE)</f>
        <v>27</v>
      </c>
      <c r="E310" s="2" t="str">
        <f>VLOOKUP(A310,Table3[#All],5,FALSE)</f>
        <v>Female</v>
      </c>
      <c r="F310" s="2">
        <f>VLOOKUP(A310,Table3[#All],6,FALSE)</f>
        <v>13</v>
      </c>
      <c r="G310" s="2">
        <f>VLOOKUP(A310,Table3[#All],7,FALSE)</f>
        <v>42168</v>
      </c>
      <c r="H310" s="2">
        <f>VLOOKUP(A310,Table3[#All],8,FALSE)</f>
        <v>5</v>
      </c>
      <c r="I310" s="2">
        <f>VLOOKUP(A310,Table3[#All],9,FALSE)</f>
        <v>44</v>
      </c>
      <c r="J310" s="2">
        <f>VLOOKUP(A310,Table3[#All],10,FALSE)</f>
        <v>3</v>
      </c>
      <c r="K310" s="2">
        <f>VLOOKUP(A310,Table3[#All],11,FALSE)</f>
        <v>99</v>
      </c>
      <c r="L310" s="2" t="str">
        <f>VLOOKUP(A310,Table3[#All],12,FALSE)</f>
        <v>Delhi</v>
      </c>
      <c r="M310" s="2" t="str">
        <f t="shared" si="4"/>
        <v>Eligible</v>
      </c>
    </row>
    <row r="311" spans="1:13" hidden="1" x14ac:dyDescent="0.25">
      <c r="A311" s="6" t="s">
        <v>353</v>
      </c>
      <c r="B311" s="2" t="str">
        <f>VLOOKUP(A311,Table3[#All],2,FALSE)</f>
        <v>Hari</v>
      </c>
      <c r="C311" s="2" t="str">
        <f>VLOOKUP(A311,Table3[#All],3,FALSE)</f>
        <v>Finance</v>
      </c>
      <c r="D311" s="2">
        <f>VLOOKUP(A311,Table3[#All],4,FALSE)</f>
        <v>35</v>
      </c>
      <c r="E311" s="2" t="str">
        <f>VLOOKUP(A311,Table3[#All],5,FALSE)</f>
        <v>Female</v>
      </c>
      <c r="F311" s="2">
        <f>VLOOKUP(A311,Table3[#All],6,FALSE)</f>
        <v>3</v>
      </c>
      <c r="G311" s="2">
        <f>VLOOKUP(A311,Table3[#All],7,FALSE)</f>
        <v>77950</v>
      </c>
      <c r="H311" s="2">
        <f>VLOOKUP(A311,Table3[#All],8,FALSE)</f>
        <v>10</v>
      </c>
      <c r="I311" s="2">
        <f>VLOOKUP(A311,Table3[#All],9,FALSE)</f>
        <v>46</v>
      </c>
      <c r="J311" s="2">
        <f>VLOOKUP(A311,Table3[#All],10,FALSE)</f>
        <v>4</v>
      </c>
      <c r="K311" s="2">
        <f>VLOOKUP(A311,Table3[#All],11,FALSE)</f>
        <v>92</v>
      </c>
      <c r="L311" s="2" t="str">
        <f>VLOOKUP(A311,Table3[#All],12,FALSE)</f>
        <v>Delhi</v>
      </c>
      <c r="M311" s="2" t="str">
        <f t="shared" si="4"/>
        <v>Not Eligible</v>
      </c>
    </row>
    <row r="312" spans="1:13" hidden="1" x14ac:dyDescent="0.25">
      <c r="A312" s="5" t="s">
        <v>722</v>
      </c>
      <c r="B312" s="2" t="str">
        <f>VLOOKUP(A312,Table3[#All],2,FALSE)</f>
        <v>Priya</v>
      </c>
      <c r="C312" s="2" t="str">
        <f>VLOOKUP(A312,Table3[#All],3,FALSE)</f>
        <v>Sales</v>
      </c>
      <c r="D312" s="2">
        <f>VLOOKUP(A312,Table3[#All],4,FALSE)</f>
        <v>33</v>
      </c>
      <c r="E312" s="2" t="str">
        <f>VLOOKUP(A312,Table3[#All],5,FALSE)</f>
        <v>Female</v>
      </c>
      <c r="F312" s="2">
        <f>VLOOKUP(A312,Table3[#All],6,FALSE)</f>
        <v>9</v>
      </c>
      <c r="G312" s="2">
        <f>VLOOKUP(A312,Table3[#All],7,FALSE)</f>
        <v>42180</v>
      </c>
      <c r="H312" s="2">
        <f>VLOOKUP(A312,Table3[#All],8,FALSE)</f>
        <v>13</v>
      </c>
      <c r="I312" s="2">
        <f>VLOOKUP(A312,Table3[#All],9,FALSE)</f>
        <v>35</v>
      </c>
      <c r="J312" s="2">
        <f>VLOOKUP(A312,Table3[#All],10,FALSE)</f>
        <v>4</v>
      </c>
      <c r="K312" s="2">
        <f>VLOOKUP(A312,Table3[#All],11,FALSE)</f>
        <v>90</v>
      </c>
      <c r="L312" s="2" t="str">
        <f>VLOOKUP(A312,Table3[#All],12,FALSE)</f>
        <v>Delhi</v>
      </c>
      <c r="M312" s="2" t="str">
        <f t="shared" si="4"/>
        <v>Not Eligible</v>
      </c>
    </row>
    <row r="313" spans="1:13" hidden="1" x14ac:dyDescent="0.25">
      <c r="A313" s="6" t="s">
        <v>355</v>
      </c>
      <c r="B313" s="2" t="str">
        <f>VLOOKUP(A313,Table3[#All],2,FALSE)</f>
        <v>Vijay</v>
      </c>
      <c r="C313" s="2" t="str">
        <f>VLOOKUP(A313,Table3[#All],3,FALSE)</f>
        <v>Finance</v>
      </c>
      <c r="D313" s="2">
        <f>VLOOKUP(A313,Table3[#All],4,FALSE)</f>
        <v>37</v>
      </c>
      <c r="E313" s="2" t="str">
        <f>VLOOKUP(A313,Table3[#All],5,FALSE)</f>
        <v>Female</v>
      </c>
      <c r="F313" s="2">
        <f>VLOOKUP(A313,Table3[#All],6,FALSE)</f>
        <v>4</v>
      </c>
      <c r="G313" s="2">
        <f>VLOOKUP(A313,Table3[#All],7,FALSE)</f>
        <v>79602</v>
      </c>
      <c r="H313" s="2">
        <f>VLOOKUP(A313,Table3[#All],8,FALSE)</f>
        <v>10</v>
      </c>
      <c r="I313" s="2">
        <f>VLOOKUP(A313,Table3[#All],9,FALSE)</f>
        <v>47</v>
      </c>
      <c r="J313" s="2">
        <f>VLOOKUP(A313,Table3[#All],10,FALSE)</f>
        <v>1</v>
      </c>
      <c r="K313" s="2">
        <f>VLOOKUP(A313,Table3[#All],11,FALSE)</f>
        <v>85</v>
      </c>
      <c r="L313" s="2" t="str">
        <f>VLOOKUP(A313,Table3[#All],12,FALSE)</f>
        <v>Mumbai</v>
      </c>
      <c r="M313" s="2" t="str">
        <f t="shared" si="4"/>
        <v>Not Eligible</v>
      </c>
    </row>
    <row r="314" spans="1:13" hidden="1" x14ac:dyDescent="0.25">
      <c r="A314" s="5" t="s">
        <v>356</v>
      </c>
      <c r="B314" s="2" t="str">
        <f>VLOOKUP(A314,Table3[#All],2,FALSE)</f>
        <v>Divya</v>
      </c>
      <c r="C314" s="2" t="str">
        <f>VLOOKUP(A314,Table3[#All],3,FALSE)</f>
        <v>HR</v>
      </c>
      <c r="D314" s="2">
        <f>VLOOKUP(A314,Table3[#All],4,FALSE)</f>
        <v>37</v>
      </c>
      <c r="E314" s="2" t="str">
        <f>VLOOKUP(A314,Table3[#All],5,FALSE)</f>
        <v>Male</v>
      </c>
      <c r="F314" s="2">
        <f>VLOOKUP(A314,Table3[#All],6,FALSE)</f>
        <v>1</v>
      </c>
      <c r="G314" s="2">
        <f>VLOOKUP(A314,Table3[#All],7,FALSE)</f>
        <v>71074</v>
      </c>
      <c r="H314" s="2">
        <f>VLOOKUP(A314,Table3[#All],8,FALSE)</f>
        <v>11</v>
      </c>
      <c r="I314" s="2">
        <f>VLOOKUP(A314,Table3[#All],9,FALSE)</f>
        <v>50</v>
      </c>
      <c r="J314" s="2">
        <f>VLOOKUP(A314,Table3[#All],10,FALSE)</f>
        <v>4</v>
      </c>
      <c r="K314" s="2">
        <f>VLOOKUP(A314,Table3[#All],11,FALSE)</f>
        <v>97</v>
      </c>
      <c r="L314" s="2" t="str">
        <f>VLOOKUP(A314,Table3[#All],12,FALSE)</f>
        <v>Hyderabad</v>
      </c>
      <c r="M314" s="2" t="str">
        <f t="shared" si="4"/>
        <v>Eligible</v>
      </c>
    </row>
    <row r="315" spans="1:13" hidden="1" x14ac:dyDescent="0.25">
      <c r="A315" s="6" t="s">
        <v>205</v>
      </c>
      <c r="B315" s="2" t="str">
        <f>VLOOKUP(A315,Table3[#All],2,FALSE)</f>
        <v>Divya</v>
      </c>
      <c r="C315" s="2" t="str">
        <f>VLOOKUP(A315,Table3[#All],3,FALSE)</f>
        <v>HR</v>
      </c>
      <c r="D315" s="2">
        <f>VLOOKUP(A315,Table3[#All],4,FALSE)</f>
        <v>36</v>
      </c>
      <c r="E315" s="2" t="str">
        <f>VLOOKUP(A315,Table3[#All],5,FALSE)</f>
        <v>Male</v>
      </c>
      <c r="F315" s="2">
        <f>VLOOKUP(A315,Table3[#All],6,FALSE)</f>
        <v>13</v>
      </c>
      <c r="G315" s="2">
        <f>VLOOKUP(A315,Table3[#All],7,FALSE)</f>
        <v>42201</v>
      </c>
      <c r="H315" s="2">
        <f>VLOOKUP(A315,Table3[#All],8,FALSE)</f>
        <v>4</v>
      </c>
      <c r="I315" s="2">
        <f>VLOOKUP(A315,Table3[#All],9,FALSE)</f>
        <v>48</v>
      </c>
      <c r="J315" s="2">
        <f>VLOOKUP(A315,Table3[#All],10,FALSE)</f>
        <v>5</v>
      </c>
      <c r="K315" s="2">
        <f>VLOOKUP(A315,Table3[#All],11,FALSE)</f>
        <v>93</v>
      </c>
      <c r="L315" s="2" t="str">
        <f>VLOOKUP(A315,Table3[#All],12,FALSE)</f>
        <v>Mumbai</v>
      </c>
      <c r="M315" s="2" t="str">
        <f t="shared" si="4"/>
        <v>Not Eligible</v>
      </c>
    </row>
    <row r="316" spans="1:13" hidden="1" x14ac:dyDescent="0.25">
      <c r="A316" s="5" t="s">
        <v>358</v>
      </c>
      <c r="B316" s="2" t="str">
        <f>VLOOKUP(A316,Table3[#All],2,FALSE)</f>
        <v>Kavya</v>
      </c>
      <c r="C316" s="2" t="str">
        <f>VLOOKUP(A316,Table3[#All],3,FALSE)</f>
        <v>HR</v>
      </c>
      <c r="D316" s="2">
        <f>VLOOKUP(A316,Table3[#All],4,FALSE)</f>
        <v>26</v>
      </c>
      <c r="E316" s="2" t="str">
        <f>VLOOKUP(A316,Table3[#All],5,FALSE)</f>
        <v>Female</v>
      </c>
      <c r="F316" s="2">
        <f>VLOOKUP(A316,Table3[#All],6,FALSE)</f>
        <v>4</v>
      </c>
      <c r="G316" s="2">
        <f>VLOOKUP(A316,Table3[#All],7,FALSE)</f>
        <v>75412</v>
      </c>
      <c r="H316" s="2">
        <f>VLOOKUP(A316,Table3[#All],8,FALSE)</f>
        <v>6</v>
      </c>
      <c r="I316" s="2">
        <f>VLOOKUP(A316,Table3[#All],9,FALSE)</f>
        <v>42</v>
      </c>
      <c r="J316" s="2">
        <f>VLOOKUP(A316,Table3[#All],10,FALSE)</f>
        <v>2</v>
      </c>
      <c r="K316" s="2">
        <f>VLOOKUP(A316,Table3[#All],11,FALSE)</f>
        <v>92</v>
      </c>
      <c r="L316" s="2" t="str">
        <f>VLOOKUP(A316,Table3[#All],12,FALSE)</f>
        <v>Pune</v>
      </c>
      <c r="M316" s="2" t="str">
        <f t="shared" si="4"/>
        <v>Not Eligible</v>
      </c>
    </row>
    <row r="317" spans="1:13" hidden="1" x14ac:dyDescent="0.25">
      <c r="A317" s="6" t="s">
        <v>359</v>
      </c>
      <c r="B317" s="2" t="str">
        <f>VLOOKUP(A317,Table3[#All],2,FALSE)</f>
        <v>Divya</v>
      </c>
      <c r="C317" s="2" t="str">
        <f>VLOOKUP(A317,Table3[#All],3,FALSE)</f>
        <v>Sales</v>
      </c>
      <c r="D317" s="2">
        <f>VLOOKUP(A317,Table3[#All],4,FALSE)</f>
        <v>26</v>
      </c>
      <c r="E317" s="2" t="str">
        <f>VLOOKUP(A317,Table3[#All],5,FALSE)</f>
        <v>Male</v>
      </c>
      <c r="F317" s="2">
        <f>VLOOKUP(A317,Table3[#All],6,FALSE)</f>
        <v>3</v>
      </c>
      <c r="G317" s="2">
        <f>VLOOKUP(A317,Table3[#All],7,FALSE)</f>
        <v>38375</v>
      </c>
      <c r="H317" s="2">
        <f>VLOOKUP(A317,Table3[#All],8,FALSE)</f>
        <v>9</v>
      </c>
      <c r="I317" s="2">
        <f>VLOOKUP(A317,Table3[#All],9,FALSE)</f>
        <v>41</v>
      </c>
      <c r="J317" s="2">
        <f>VLOOKUP(A317,Table3[#All],10,FALSE)</f>
        <v>2</v>
      </c>
      <c r="K317" s="2">
        <f>VLOOKUP(A317,Table3[#All],11,FALSE)</f>
        <v>91</v>
      </c>
      <c r="L317" s="2" t="str">
        <f>VLOOKUP(A317,Table3[#All],12,FALSE)</f>
        <v>Delhi</v>
      </c>
      <c r="M317" s="2" t="str">
        <f t="shared" si="4"/>
        <v>Not Eligible</v>
      </c>
    </row>
    <row r="318" spans="1:13" hidden="1" x14ac:dyDescent="0.25">
      <c r="A318" s="5" t="s">
        <v>360</v>
      </c>
      <c r="B318" s="2" t="str">
        <f>VLOOKUP(A318,Table3[#All],2,FALSE)</f>
        <v>Hari</v>
      </c>
      <c r="C318" s="2" t="str">
        <f>VLOOKUP(A318,Table3[#All],3,FALSE)</f>
        <v>IT</v>
      </c>
      <c r="D318" s="2">
        <f>VLOOKUP(A318,Table3[#All],4,FALSE)</f>
        <v>24</v>
      </c>
      <c r="E318" s="2" t="str">
        <f>VLOOKUP(A318,Table3[#All],5,FALSE)</f>
        <v>Female</v>
      </c>
      <c r="F318" s="2">
        <f>VLOOKUP(A318,Table3[#All],6,FALSE)</f>
        <v>1</v>
      </c>
      <c r="G318" s="2">
        <f>VLOOKUP(A318,Table3[#All],7,FALSE)</f>
        <v>44230</v>
      </c>
      <c r="H318" s="2">
        <f>VLOOKUP(A318,Table3[#All],8,FALSE)</f>
        <v>10</v>
      </c>
      <c r="I318" s="2">
        <f>VLOOKUP(A318,Table3[#All],9,FALSE)</f>
        <v>35</v>
      </c>
      <c r="J318" s="2">
        <f>VLOOKUP(A318,Table3[#All],10,FALSE)</f>
        <v>3</v>
      </c>
      <c r="K318" s="2">
        <f>VLOOKUP(A318,Table3[#All],11,FALSE)</f>
        <v>96</v>
      </c>
      <c r="L318" s="2" t="str">
        <f>VLOOKUP(A318,Table3[#All],12,FALSE)</f>
        <v>Pune</v>
      </c>
      <c r="M318" s="2" t="str">
        <f t="shared" si="4"/>
        <v>Eligible</v>
      </c>
    </row>
    <row r="319" spans="1:13" hidden="1" x14ac:dyDescent="0.25">
      <c r="A319" s="6" t="s">
        <v>869</v>
      </c>
      <c r="B319" s="2" t="str">
        <f>VLOOKUP(A319,Table3[#All],2,FALSE)</f>
        <v>Rekha</v>
      </c>
      <c r="C319" s="2" t="str">
        <f>VLOOKUP(A319,Table3[#All],3,FALSE)</f>
        <v>IT</v>
      </c>
      <c r="D319" s="2">
        <f>VLOOKUP(A319,Table3[#All],4,FALSE)</f>
        <v>36</v>
      </c>
      <c r="E319" s="2" t="str">
        <f>VLOOKUP(A319,Table3[#All],5,FALSE)</f>
        <v>Male</v>
      </c>
      <c r="F319" s="2">
        <f>VLOOKUP(A319,Table3[#All],6,FALSE)</f>
        <v>15</v>
      </c>
      <c r="G319" s="2">
        <f>VLOOKUP(A319,Table3[#All],7,FALSE)</f>
        <v>42203</v>
      </c>
      <c r="H319" s="2">
        <f>VLOOKUP(A319,Table3[#All],8,FALSE)</f>
        <v>8</v>
      </c>
      <c r="I319" s="2">
        <f>VLOOKUP(A319,Table3[#All],9,FALSE)</f>
        <v>50</v>
      </c>
      <c r="J319" s="2">
        <f>VLOOKUP(A319,Table3[#All],10,FALSE)</f>
        <v>3</v>
      </c>
      <c r="K319" s="2">
        <f>VLOOKUP(A319,Table3[#All],11,FALSE)</f>
        <v>90</v>
      </c>
      <c r="L319" s="2" t="str">
        <f>VLOOKUP(A319,Table3[#All],12,FALSE)</f>
        <v>Delhi</v>
      </c>
      <c r="M319" s="2" t="str">
        <f t="shared" si="4"/>
        <v>Not Eligible</v>
      </c>
    </row>
    <row r="320" spans="1:13" hidden="1" x14ac:dyDescent="0.25">
      <c r="A320" s="5" t="s">
        <v>362</v>
      </c>
      <c r="B320" s="2" t="str">
        <f>VLOOKUP(A320,Table3[#All],2,FALSE)</f>
        <v>Kavya</v>
      </c>
      <c r="C320" s="2" t="str">
        <f>VLOOKUP(A320,Table3[#All],3,FALSE)</f>
        <v>HR</v>
      </c>
      <c r="D320" s="2">
        <f>VLOOKUP(A320,Table3[#All],4,FALSE)</f>
        <v>26</v>
      </c>
      <c r="E320" s="2" t="str">
        <f>VLOOKUP(A320,Table3[#All],5,FALSE)</f>
        <v>Female</v>
      </c>
      <c r="F320" s="2">
        <f>VLOOKUP(A320,Table3[#All],6,FALSE)</f>
        <v>1</v>
      </c>
      <c r="G320" s="2">
        <f>VLOOKUP(A320,Table3[#All],7,FALSE)</f>
        <v>37330</v>
      </c>
      <c r="H320" s="2">
        <f>VLOOKUP(A320,Table3[#All],8,FALSE)</f>
        <v>5</v>
      </c>
      <c r="I320" s="2">
        <f>VLOOKUP(A320,Table3[#All],9,FALSE)</f>
        <v>35</v>
      </c>
      <c r="J320" s="2">
        <f>VLOOKUP(A320,Table3[#All],10,FALSE)</f>
        <v>2</v>
      </c>
      <c r="K320" s="2">
        <f>VLOOKUP(A320,Table3[#All],11,FALSE)</f>
        <v>93</v>
      </c>
      <c r="L320" s="2" t="str">
        <f>VLOOKUP(A320,Table3[#All],12,FALSE)</f>
        <v>Delhi</v>
      </c>
      <c r="M320" s="2" t="str">
        <f t="shared" si="4"/>
        <v>Not Eligible</v>
      </c>
    </row>
    <row r="321" spans="1:13" hidden="1" x14ac:dyDescent="0.25">
      <c r="A321" s="5" t="s">
        <v>936</v>
      </c>
      <c r="B321" s="2" t="str">
        <f>VLOOKUP(A321,Table3[#All],2,FALSE)</f>
        <v>Arun</v>
      </c>
      <c r="C321" s="2" t="str">
        <f>VLOOKUP(A321,Table3[#All],3,FALSE)</f>
        <v>Sales</v>
      </c>
      <c r="D321" s="2">
        <f>VLOOKUP(A321,Table3[#All],4,FALSE)</f>
        <v>25</v>
      </c>
      <c r="E321" s="2" t="str">
        <f>VLOOKUP(A321,Table3[#All],5,FALSE)</f>
        <v>Female</v>
      </c>
      <c r="F321" s="2">
        <f>VLOOKUP(A321,Table3[#All],6,FALSE)</f>
        <v>9</v>
      </c>
      <c r="G321" s="2">
        <f>VLOOKUP(A321,Table3[#All],7,FALSE)</f>
        <v>42299</v>
      </c>
      <c r="H321" s="2">
        <f>VLOOKUP(A321,Table3[#All],8,FALSE)</f>
        <v>4</v>
      </c>
      <c r="I321" s="2">
        <f>VLOOKUP(A321,Table3[#All],9,FALSE)</f>
        <v>45</v>
      </c>
      <c r="J321" s="2">
        <f>VLOOKUP(A321,Table3[#All],10,FALSE)</f>
        <v>4</v>
      </c>
      <c r="K321" s="2">
        <f>VLOOKUP(A321,Table3[#All],11,FALSE)</f>
        <v>96</v>
      </c>
      <c r="L321" s="2" t="str">
        <f>VLOOKUP(A321,Table3[#All],12,FALSE)</f>
        <v>Delhi</v>
      </c>
      <c r="M321" s="2" t="str">
        <f t="shared" si="4"/>
        <v>Eligible</v>
      </c>
    </row>
    <row r="322" spans="1:13" hidden="1" x14ac:dyDescent="0.25">
      <c r="A322" s="6" t="s">
        <v>511</v>
      </c>
      <c r="B322" s="2" t="str">
        <f>VLOOKUP(A322,Table3[#All],2,FALSE)</f>
        <v>Meena</v>
      </c>
      <c r="C322" s="2" t="str">
        <f>VLOOKUP(A322,Table3[#All],3,FALSE)</f>
        <v>Finance</v>
      </c>
      <c r="D322" s="2">
        <f>VLOOKUP(A322,Table3[#All],4,FALSE)</f>
        <v>38</v>
      </c>
      <c r="E322" s="2" t="str">
        <f>VLOOKUP(A322,Table3[#All],5,FALSE)</f>
        <v>Female</v>
      </c>
      <c r="F322" s="2">
        <f>VLOOKUP(A322,Table3[#All],6,FALSE)</f>
        <v>6</v>
      </c>
      <c r="G322" s="2">
        <f>VLOOKUP(A322,Table3[#All],7,FALSE)</f>
        <v>42305</v>
      </c>
      <c r="H322" s="2">
        <f>VLOOKUP(A322,Table3[#All],8,FALSE)</f>
        <v>5</v>
      </c>
      <c r="I322" s="2">
        <f>VLOOKUP(A322,Table3[#All],9,FALSE)</f>
        <v>42</v>
      </c>
      <c r="J322" s="2">
        <f>VLOOKUP(A322,Table3[#All],10,FALSE)</f>
        <v>1</v>
      </c>
      <c r="K322" s="2">
        <f>VLOOKUP(A322,Table3[#All],11,FALSE)</f>
        <v>96</v>
      </c>
      <c r="L322" s="2" t="str">
        <f>VLOOKUP(A322,Table3[#All],12,FALSE)</f>
        <v>Hyderabad</v>
      </c>
      <c r="M322" s="2" t="str">
        <f t="shared" ref="M322:M385" si="5">IF(K322&gt;=95,"Eligible","Not Eligible")</f>
        <v>Eligible</v>
      </c>
    </row>
    <row r="323" spans="1:13" hidden="1" x14ac:dyDescent="0.25">
      <c r="A323" s="6" t="s">
        <v>361</v>
      </c>
      <c r="B323" s="2" t="str">
        <f>VLOOKUP(A323,Table3[#All],2,FALSE)</f>
        <v>Vijay</v>
      </c>
      <c r="C323" s="2" t="str">
        <f>VLOOKUP(A323,Table3[#All],3,FALSE)</f>
        <v>IT</v>
      </c>
      <c r="D323" s="2">
        <f>VLOOKUP(A323,Table3[#All],4,FALSE)</f>
        <v>27</v>
      </c>
      <c r="E323" s="2" t="str">
        <f>VLOOKUP(A323,Table3[#All],5,FALSE)</f>
        <v>Female</v>
      </c>
      <c r="F323" s="2">
        <f>VLOOKUP(A323,Table3[#All],6,FALSE)</f>
        <v>13</v>
      </c>
      <c r="G323" s="2">
        <f>VLOOKUP(A323,Table3[#All],7,FALSE)</f>
        <v>42308</v>
      </c>
      <c r="H323" s="2">
        <f>VLOOKUP(A323,Table3[#All],8,FALSE)</f>
        <v>3</v>
      </c>
      <c r="I323" s="2">
        <f>VLOOKUP(A323,Table3[#All],9,FALSE)</f>
        <v>48</v>
      </c>
      <c r="J323" s="2">
        <f>VLOOKUP(A323,Table3[#All],10,FALSE)</f>
        <v>5</v>
      </c>
      <c r="K323" s="2">
        <f>VLOOKUP(A323,Table3[#All],11,FALSE)</f>
        <v>92</v>
      </c>
      <c r="L323" s="2" t="str">
        <f>VLOOKUP(A323,Table3[#All],12,FALSE)</f>
        <v>Delhi</v>
      </c>
      <c r="M323" s="2" t="str">
        <f t="shared" si="5"/>
        <v>Not Eligible</v>
      </c>
    </row>
    <row r="324" spans="1:13" hidden="1" x14ac:dyDescent="0.25">
      <c r="A324" s="5" t="s">
        <v>366</v>
      </c>
      <c r="B324" s="2" t="str">
        <f>VLOOKUP(A324,Table3[#All],2,FALSE)</f>
        <v>Sneha</v>
      </c>
      <c r="C324" s="2" t="str">
        <f>VLOOKUP(A324,Table3[#All],3,FALSE)</f>
        <v>IT</v>
      </c>
      <c r="D324" s="2">
        <f>VLOOKUP(A324,Table3[#All],4,FALSE)</f>
        <v>35</v>
      </c>
      <c r="E324" s="2" t="str">
        <f>VLOOKUP(A324,Table3[#All],5,FALSE)</f>
        <v>Male</v>
      </c>
      <c r="F324" s="2">
        <f>VLOOKUP(A324,Table3[#All],6,FALSE)</f>
        <v>1</v>
      </c>
      <c r="G324" s="2">
        <f>VLOOKUP(A324,Table3[#All],7,FALSE)</f>
        <v>60357</v>
      </c>
      <c r="H324" s="2">
        <f>VLOOKUP(A324,Table3[#All],8,FALSE)</f>
        <v>14</v>
      </c>
      <c r="I324" s="2">
        <f>VLOOKUP(A324,Table3[#All],9,FALSE)</f>
        <v>39</v>
      </c>
      <c r="J324" s="2">
        <f>VLOOKUP(A324,Table3[#All],10,FALSE)</f>
        <v>5</v>
      </c>
      <c r="K324" s="2">
        <f>VLOOKUP(A324,Table3[#All],11,FALSE)</f>
        <v>100</v>
      </c>
      <c r="L324" s="2" t="str">
        <f>VLOOKUP(A324,Table3[#All],12,FALSE)</f>
        <v>Mumbai</v>
      </c>
      <c r="M324" s="2" t="str">
        <f t="shared" si="5"/>
        <v>Eligible</v>
      </c>
    </row>
    <row r="325" spans="1:13" x14ac:dyDescent="0.25">
      <c r="A325" s="6" t="s">
        <v>329</v>
      </c>
      <c r="B325" s="2" t="str">
        <f>VLOOKUP(A325,Table3[#All],2,FALSE)</f>
        <v>Karthik</v>
      </c>
      <c r="C325" s="2" t="str">
        <f>VLOOKUP(A325,Table3[#All],3,FALSE)</f>
        <v>HR</v>
      </c>
      <c r="D325" s="2">
        <f>VLOOKUP(A325,Table3[#All],4,FALSE)</f>
        <v>29</v>
      </c>
      <c r="E325" s="2" t="str">
        <f>VLOOKUP(A325,Table3[#All],5,FALSE)</f>
        <v>Male</v>
      </c>
      <c r="F325" s="2">
        <f>VLOOKUP(A325,Table3[#All],6,FALSE)</f>
        <v>13</v>
      </c>
      <c r="G325" s="2">
        <f>VLOOKUP(A325,Table3[#All],7,FALSE)</f>
        <v>42399</v>
      </c>
      <c r="H325" s="2">
        <f>VLOOKUP(A325,Table3[#All],8,FALSE)</f>
        <v>11</v>
      </c>
      <c r="I325" s="2">
        <f>VLOOKUP(A325,Table3[#All],9,FALSE)</f>
        <v>42</v>
      </c>
      <c r="J325" s="2">
        <f>VLOOKUP(A325,Table3[#All],10,FALSE)</f>
        <v>3</v>
      </c>
      <c r="K325" s="2">
        <f>VLOOKUP(A325,Table3[#All],11,FALSE)</f>
        <v>100</v>
      </c>
      <c r="L325" s="2" t="str">
        <f>VLOOKUP(A325,Table3[#All],12,FALSE)</f>
        <v>Chennai</v>
      </c>
      <c r="M325" s="2" t="str">
        <f t="shared" si="5"/>
        <v>Eligible</v>
      </c>
    </row>
    <row r="326" spans="1:13" hidden="1" x14ac:dyDescent="0.25">
      <c r="A326" s="6" t="s">
        <v>593</v>
      </c>
      <c r="B326" s="2" t="str">
        <f>VLOOKUP(A326,Table3[#All],2,FALSE)</f>
        <v>Sanjay</v>
      </c>
      <c r="C326" s="2" t="str">
        <f>VLOOKUP(A326,Table3[#All],3,FALSE)</f>
        <v>Finance</v>
      </c>
      <c r="D326" s="2">
        <f>VLOOKUP(A326,Table3[#All],4,FALSE)</f>
        <v>39</v>
      </c>
      <c r="E326" s="2" t="str">
        <f>VLOOKUP(A326,Table3[#All],5,FALSE)</f>
        <v>Female</v>
      </c>
      <c r="F326" s="2">
        <f>VLOOKUP(A326,Table3[#All],6,FALSE)</f>
        <v>9</v>
      </c>
      <c r="G326" s="2">
        <f>VLOOKUP(A326,Table3[#All],7,FALSE)</f>
        <v>42560</v>
      </c>
      <c r="H326" s="2">
        <f>VLOOKUP(A326,Table3[#All],8,FALSE)</f>
        <v>3</v>
      </c>
      <c r="I326" s="2">
        <f>VLOOKUP(A326,Table3[#All],9,FALSE)</f>
        <v>44</v>
      </c>
      <c r="J326" s="2">
        <f>VLOOKUP(A326,Table3[#All],10,FALSE)</f>
        <v>5</v>
      </c>
      <c r="K326" s="2">
        <f>VLOOKUP(A326,Table3[#All],11,FALSE)</f>
        <v>94</v>
      </c>
      <c r="L326" s="2" t="str">
        <f>VLOOKUP(A326,Table3[#All],12,FALSE)</f>
        <v>Delhi</v>
      </c>
      <c r="M326" s="2" t="str">
        <f t="shared" si="5"/>
        <v>Not Eligible</v>
      </c>
    </row>
    <row r="327" spans="1:13" hidden="1" x14ac:dyDescent="0.25">
      <c r="A327" s="6" t="s">
        <v>369</v>
      </c>
      <c r="B327" s="2" t="str">
        <f>VLOOKUP(A327,Table3[#All],2,FALSE)</f>
        <v>Sanjay</v>
      </c>
      <c r="C327" s="2" t="str">
        <f>VLOOKUP(A327,Table3[#All],3,FALSE)</f>
        <v>Sales</v>
      </c>
      <c r="D327" s="2">
        <f>VLOOKUP(A327,Table3[#All],4,FALSE)</f>
        <v>32</v>
      </c>
      <c r="E327" s="2" t="str">
        <f>VLOOKUP(A327,Table3[#All],5,FALSE)</f>
        <v>Female</v>
      </c>
      <c r="F327" s="2">
        <f>VLOOKUP(A327,Table3[#All],6,FALSE)</f>
        <v>4</v>
      </c>
      <c r="G327" s="2">
        <f>VLOOKUP(A327,Table3[#All],7,FALSE)</f>
        <v>65350</v>
      </c>
      <c r="H327" s="2">
        <f>VLOOKUP(A327,Table3[#All],8,FALSE)</f>
        <v>11</v>
      </c>
      <c r="I327" s="2">
        <f>VLOOKUP(A327,Table3[#All],9,FALSE)</f>
        <v>40</v>
      </c>
      <c r="J327" s="2">
        <f>VLOOKUP(A327,Table3[#All],10,FALSE)</f>
        <v>5</v>
      </c>
      <c r="K327" s="2">
        <f>VLOOKUP(A327,Table3[#All],11,FALSE)</f>
        <v>96</v>
      </c>
      <c r="L327" s="2" t="str">
        <f>VLOOKUP(A327,Table3[#All],12,FALSE)</f>
        <v>Delhi</v>
      </c>
      <c r="M327" s="2" t="str">
        <f t="shared" si="5"/>
        <v>Eligible</v>
      </c>
    </row>
    <row r="328" spans="1:13" hidden="1" x14ac:dyDescent="0.25">
      <c r="A328" s="5" t="s">
        <v>288</v>
      </c>
      <c r="B328" s="2" t="str">
        <f>VLOOKUP(A328,Table3[#All],2,FALSE)</f>
        <v>Karthik</v>
      </c>
      <c r="C328" s="2" t="str">
        <f>VLOOKUP(A328,Table3[#All],3,FALSE)</f>
        <v>IT</v>
      </c>
      <c r="D328" s="2">
        <f>VLOOKUP(A328,Table3[#All],4,FALSE)</f>
        <v>28</v>
      </c>
      <c r="E328" s="2" t="str">
        <f>VLOOKUP(A328,Table3[#All],5,FALSE)</f>
        <v>Female</v>
      </c>
      <c r="F328" s="2">
        <f>VLOOKUP(A328,Table3[#All],6,FALSE)</f>
        <v>6</v>
      </c>
      <c r="G328" s="2">
        <f>VLOOKUP(A328,Table3[#All],7,FALSE)</f>
        <v>42669</v>
      </c>
      <c r="H328" s="2">
        <f>VLOOKUP(A328,Table3[#All],8,FALSE)</f>
        <v>8</v>
      </c>
      <c r="I328" s="2">
        <f>VLOOKUP(A328,Table3[#All],9,FALSE)</f>
        <v>48</v>
      </c>
      <c r="J328" s="2">
        <f>VLOOKUP(A328,Table3[#All],10,FALSE)</f>
        <v>4</v>
      </c>
      <c r="K328" s="2">
        <f>VLOOKUP(A328,Table3[#All],11,FALSE)</f>
        <v>88</v>
      </c>
      <c r="L328" s="2" t="str">
        <f>VLOOKUP(A328,Table3[#All],12,FALSE)</f>
        <v>Hyderabad</v>
      </c>
      <c r="M328" s="2" t="str">
        <f t="shared" si="5"/>
        <v>Not Eligible</v>
      </c>
    </row>
    <row r="329" spans="1:13" hidden="1" x14ac:dyDescent="0.25">
      <c r="A329" s="5" t="s">
        <v>318</v>
      </c>
      <c r="B329" s="2" t="str">
        <f>VLOOKUP(A329,Table3[#All],2,FALSE)</f>
        <v>Suresh</v>
      </c>
      <c r="C329" s="2" t="str">
        <f>VLOOKUP(A329,Table3[#All],3,FALSE)</f>
        <v>IT</v>
      </c>
      <c r="D329" s="2">
        <f>VLOOKUP(A329,Table3[#All],4,FALSE)</f>
        <v>33</v>
      </c>
      <c r="E329" s="2" t="str">
        <f>VLOOKUP(A329,Table3[#All],5,FALSE)</f>
        <v>Male</v>
      </c>
      <c r="F329" s="2">
        <f>VLOOKUP(A329,Table3[#All],6,FALSE)</f>
        <v>7</v>
      </c>
      <c r="G329" s="2">
        <f>VLOOKUP(A329,Table3[#All],7,FALSE)</f>
        <v>42725</v>
      </c>
      <c r="H329" s="2">
        <f>VLOOKUP(A329,Table3[#All],8,FALSE)</f>
        <v>3</v>
      </c>
      <c r="I329" s="2">
        <f>VLOOKUP(A329,Table3[#All],9,FALSE)</f>
        <v>48</v>
      </c>
      <c r="J329" s="2">
        <f>VLOOKUP(A329,Table3[#All],10,FALSE)</f>
        <v>3</v>
      </c>
      <c r="K329" s="2">
        <f>VLOOKUP(A329,Table3[#All],11,FALSE)</f>
        <v>85</v>
      </c>
      <c r="L329" s="2" t="str">
        <f>VLOOKUP(A329,Table3[#All],12,FALSE)</f>
        <v>Chennai</v>
      </c>
      <c r="M329" s="2" t="str">
        <f t="shared" si="5"/>
        <v>Not Eligible</v>
      </c>
    </row>
    <row r="330" spans="1:13" x14ac:dyDescent="0.25">
      <c r="A330" s="5" t="s">
        <v>708</v>
      </c>
      <c r="B330" s="2" t="str">
        <f>VLOOKUP(A330,Table3[#All],2,FALSE)</f>
        <v>Ravi</v>
      </c>
      <c r="C330" s="2" t="str">
        <f>VLOOKUP(A330,Table3[#All],3,FALSE)</f>
        <v>Sales</v>
      </c>
      <c r="D330" s="2">
        <f>VLOOKUP(A330,Table3[#All],4,FALSE)</f>
        <v>23</v>
      </c>
      <c r="E330" s="2" t="str">
        <f>VLOOKUP(A330,Table3[#All],5,FALSE)</f>
        <v>Male</v>
      </c>
      <c r="F330" s="2">
        <f>VLOOKUP(A330,Table3[#All],6,FALSE)</f>
        <v>13</v>
      </c>
      <c r="G330" s="2">
        <f>VLOOKUP(A330,Table3[#All],7,FALSE)</f>
        <v>42728</v>
      </c>
      <c r="H330" s="2">
        <f>VLOOKUP(A330,Table3[#All],8,FALSE)</f>
        <v>13</v>
      </c>
      <c r="I330" s="2">
        <f>VLOOKUP(A330,Table3[#All],9,FALSE)</f>
        <v>36</v>
      </c>
      <c r="J330" s="2">
        <f>VLOOKUP(A330,Table3[#All],10,FALSE)</f>
        <v>2</v>
      </c>
      <c r="K330" s="2">
        <f>VLOOKUP(A330,Table3[#All],11,FALSE)</f>
        <v>96</v>
      </c>
      <c r="L330" s="2" t="str">
        <f>VLOOKUP(A330,Table3[#All],12,FALSE)</f>
        <v>Bangalore</v>
      </c>
      <c r="M330" s="2" t="str">
        <f t="shared" si="5"/>
        <v>Eligible</v>
      </c>
    </row>
    <row r="331" spans="1:13" x14ac:dyDescent="0.25">
      <c r="A331" s="5" t="s">
        <v>902</v>
      </c>
      <c r="B331" s="2" t="str">
        <f>VLOOKUP(A331,Table3[#All],2,FALSE)</f>
        <v>Manoj</v>
      </c>
      <c r="C331" s="2" t="str">
        <f>VLOOKUP(A331,Table3[#All],3,FALSE)</f>
        <v>IT</v>
      </c>
      <c r="D331" s="2">
        <f>VLOOKUP(A331,Table3[#All],4,FALSE)</f>
        <v>36</v>
      </c>
      <c r="E331" s="2" t="str">
        <f>VLOOKUP(A331,Table3[#All],5,FALSE)</f>
        <v>Male</v>
      </c>
      <c r="F331" s="2">
        <f>VLOOKUP(A331,Table3[#All],6,FALSE)</f>
        <v>15</v>
      </c>
      <c r="G331" s="2">
        <f>VLOOKUP(A331,Table3[#All],7,FALSE)</f>
        <v>42741</v>
      </c>
      <c r="H331" s="2">
        <f>VLOOKUP(A331,Table3[#All],8,FALSE)</f>
        <v>11</v>
      </c>
      <c r="I331" s="2">
        <f>VLOOKUP(A331,Table3[#All],9,FALSE)</f>
        <v>40</v>
      </c>
      <c r="J331" s="2">
        <f>VLOOKUP(A331,Table3[#All],10,FALSE)</f>
        <v>2</v>
      </c>
      <c r="K331" s="2">
        <f>VLOOKUP(A331,Table3[#All],11,FALSE)</f>
        <v>96</v>
      </c>
      <c r="L331" s="2" t="str">
        <f>VLOOKUP(A331,Table3[#All],12,FALSE)</f>
        <v>Hyderabad</v>
      </c>
      <c r="M331" s="2" t="str">
        <f t="shared" si="5"/>
        <v>Eligible</v>
      </c>
    </row>
    <row r="332" spans="1:13" hidden="1" x14ac:dyDescent="0.25">
      <c r="A332" s="5" t="s">
        <v>374</v>
      </c>
      <c r="B332" s="2" t="str">
        <f>VLOOKUP(A332,Table3[#All],2,FALSE)</f>
        <v>Nisha</v>
      </c>
      <c r="C332" s="2" t="str">
        <f>VLOOKUP(A332,Table3[#All],3,FALSE)</f>
        <v>IT</v>
      </c>
      <c r="D332" s="2">
        <f>VLOOKUP(A332,Table3[#All],4,FALSE)</f>
        <v>30</v>
      </c>
      <c r="E332" s="2" t="str">
        <f>VLOOKUP(A332,Table3[#All],5,FALSE)</f>
        <v>Female</v>
      </c>
      <c r="F332" s="2">
        <f>VLOOKUP(A332,Table3[#All],6,FALSE)</f>
        <v>1</v>
      </c>
      <c r="G332" s="2">
        <f>VLOOKUP(A332,Table3[#All],7,FALSE)</f>
        <v>63521</v>
      </c>
      <c r="H332" s="2">
        <f>VLOOKUP(A332,Table3[#All],8,FALSE)</f>
        <v>15</v>
      </c>
      <c r="I332" s="2">
        <f>VLOOKUP(A332,Table3[#All],9,FALSE)</f>
        <v>39</v>
      </c>
      <c r="J332" s="2">
        <f>VLOOKUP(A332,Table3[#All],10,FALSE)</f>
        <v>4</v>
      </c>
      <c r="K332" s="2">
        <f>VLOOKUP(A332,Table3[#All],11,FALSE)</f>
        <v>91</v>
      </c>
      <c r="L332" s="2" t="str">
        <f>VLOOKUP(A332,Table3[#All],12,FALSE)</f>
        <v>Delhi</v>
      </c>
      <c r="M332" s="2" t="str">
        <f t="shared" si="5"/>
        <v>Not Eligible</v>
      </c>
    </row>
    <row r="333" spans="1:13" hidden="1" x14ac:dyDescent="0.25">
      <c r="A333" s="6" t="s">
        <v>375</v>
      </c>
      <c r="B333" s="2" t="str">
        <f>VLOOKUP(A333,Table3[#All],2,FALSE)</f>
        <v>Meena</v>
      </c>
      <c r="C333" s="2" t="str">
        <f>VLOOKUP(A333,Table3[#All],3,FALSE)</f>
        <v>Sales</v>
      </c>
      <c r="D333" s="2">
        <f>VLOOKUP(A333,Table3[#All],4,FALSE)</f>
        <v>36</v>
      </c>
      <c r="E333" s="2" t="str">
        <f>VLOOKUP(A333,Table3[#All],5,FALSE)</f>
        <v>Female</v>
      </c>
      <c r="F333" s="2">
        <f>VLOOKUP(A333,Table3[#All],6,FALSE)</f>
        <v>4</v>
      </c>
      <c r="G333" s="2">
        <f>VLOOKUP(A333,Table3[#All],7,FALSE)</f>
        <v>78873</v>
      </c>
      <c r="H333" s="2">
        <f>VLOOKUP(A333,Table3[#All],8,FALSE)</f>
        <v>13</v>
      </c>
      <c r="I333" s="2">
        <f>VLOOKUP(A333,Table3[#All],9,FALSE)</f>
        <v>35</v>
      </c>
      <c r="J333" s="2">
        <f>VLOOKUP(A333,Table3[#All],10,FALSE)</f>
        <v>4</v>
      </c>
      <c r="K333" s="2">
        <f>VLOOKUP(A333,Table3[#All],11,FALSE)</f>
        <v>99</v>
      </c>
      <c r="L333" s="2" t="str">
        <f>VLOOKUP(A333,Table3[#All],12,FALSE)</f>
        <v>Mumbai</v>
      </c>
      <c r="M333" s="2" t="str">
        <f t="shared" si="5"/>
        <v>Eligible</v>
      </c>
    </row>
    <row r="334" spans="1:13" hidden="1" x14ac:dyDescent="0.25">
      <c r="A334" s="5" t="s">
        <v>376</v>
      </c>
      <c r="B334" s="2" t="str">
        <f>VLOOKUP(A334,Table3[#All],2,FALSE)</f>
        <v>Sneha</v>
      </c>
      <c r="C334" s="2" t="str">
        <f>VLOOKUP(A334,Table3[#All],3,FALSE)</f>
        <v>HR</v>
      </c>
      <c r="D334" s="2">
        <f>VLOOKUP(A334,Table3[#All],4,FALSE)</f>
        <v>30</v>
      </c>
      <c r="E334" s="2" t="str">
        <f>VLOOKUP(A334,Table3[#All],5,FALSE)</f>
        <v>Male</v>
      </c>
      <c r="F334" s="2">
        <f>VLOOKUP(A334,Table3[#All],6,FALSE)</f>
        <v>1</v>
      </c>
      <c r="G334" s="2">
        <f>VLOOKUP(A334,Table3[#All],7,FALSE)</f>
        <v>66651</v>
      </c>
      <c r="H334" s="2">
        <f>VLOOKUP(A334,Table3[#All],8,FALSE)</f>
        <v>14</v>
      </c>
      <c r="I334" s="2">
        <f>VLOOKUP(A334,Table3[#All],9,FALSE)</f>
        <v>35</v>
      </c>
      <c r="J334" s="2">
        <f>VLOOKUP(A334,Table3[#All],10,FALSE)</f>
        <v>2</v>
      </c>
      <c r="K334" s="2">
        <f>VLOOKUP(A334,Table3[#All],11,FALSE)</f>
        <v>89</v>
      </c>
      <c r="L334" s="2" t="str">
        <f>VLOOKUP(A334,Table3[#All],12,FALSE)</f>
        <v>Mumbai</v>
      </c>
      <c r="M334" s="2" t="str">
        <f t="shared" si="5"/>
        <v>Not Eligible</v>
      </c>
    </row>
    <row r="335" spans="1:13" hidden="1" x14ac:dyDescent="0.25">
      <c r="A335" s="6" t="s">
        <v>377</v>
      </c>
      <c r="B335" s="2" t="str">
        <f>VLOOKUP(A335,Table3[#All],2,FALSE)</f>
        <v>Vijay</v>
      </c>
      <c r="C335" s="2" t="str">
        <f>VLOOKUP(A335,Table3[#All],3,FALSE)</f>
        <v>Sales</v>
      </c>
      <c r="D335" s="2">
        <f>VLOOKUP(A335,Table3[#All],4,FALSE)</f>
        <v>22</v>
      </c>
      <c r="E335" s="2" t="str">
        <f>VLOOKUP(A335,Table3[#All],5,FALSE)</f>
        <v>Female</v>
      </c>
      <c r="F335" s="2">
        <f>VLOOKUP(A335,Table3[#All],6,FALSE)</f>
        <v>1</v>
      </c>
      <c r="G335" s="2">
        <f>VLOOKUP(A335,Table3[#All],7,FALSE)</f>
        <v>33510</v>
      </c>
      <c r="H335" s="2">
        <f>VLOOKUP(A335,Table3[#All],8,FALSE)</f>
        <v>12</v>
      </c>
      <c r="I335" s="2">
        <f>VLOOKUP(A335,Table3[#All],9,FALSE)</f>
        <v>43</v>
      </c>
      <c r="J335" s="2">
        <f>VLOOKUP(A335,Table3[#All],10,FALSE)</f>
        <v>2</v>
      </c>
      <c r="K335" s="2">
        <f>VLOOKUP(A335,Table3[#All],11,FALSE)</f>
        <v>88</v>
      </c>
      <c r="L335" s="2" t="str">
        <f>VLOOKUP(A335,Table3[#All],12,FALSE)</f>
        <v>Pune</v>
      </c>
      <c r="M335" s="2" t="str">
        <f t="shared" si="5"/>
        <v>Not Eligible</v>
      </c>
    </row>
    <row r="336" spans="1:13" hidden="1" x14ac:dyDescent="0.25">
      <c r="A336" s="5" t="s">
        <v>1010</v>
      </c>
      <c r="B336" s="2" t="str">
        <f>VLOOKUP(A336,Table3[#All],2,FALSE)</f>
        <v>Lakshmi</v>
      </c>
      <c r="C336" s="2" t="str">
        <f>VLOOKUP(A336,Table3[#All],3,FALSE)</f>
        <v>Finance</v>
      </c>
      <c r="D336" s="2">
        <f>VLOOKUP(A336,Table3[#All],4,FALSE)</f>
        <v>22</v>
      </c>
      <c r="E336" s="2" t="str">
        <f>VLOOKUP(A336,Table3[#All],5,FALSE)</f>
        <v>Male</v>
      </c>
      <c r="F336" s="2">
        <f>VLOOKUP(A336,Table3[#All],6,FALSE)</f>
        <v>10</v>
      </c>
      <c r="G336" s="2">
        <f>VLOOKUP(A336,Table3[#All],7,FALSE)</f>
        <v>42757</v>
      </c>
      <c r="H336" s="2">
        <f>VLOOKUP(A336,Table3[#All],8,FALSE)</f>
        <v>9</v>
      </c>
      <c r="I336" s="2">
        <f>VLOOKUP(A336,Table3[#All],9,FALSE)</f>
        <v>36</v>
      </c>
      <c r="J336" s="2">
        <f>VLOOKUP(A336,Table3[#All],10,FALSE)</f>
        <v>3</v>
      </c>
      <c r="K336" s="2">
        <f>VLOOKUP(A336,Table3[#All],11,FALSE)</f>
        <v>86</v>
      </c>
      <c r="L336" s="2" t="str">
        <f>VLOOKUP(A336,Table3[#All],12,FALSE)</f>
        <v>Mumbai</v>
      </c>
      <c r="M336" s="2" t="str">
        <f t="shared" si="5"/>
        <v>Not Eligible</v>
      </c>
    </row>
    <row r="337" spans="1:13" hidden="1" x14ac:dyDescent="0.25">
      <c r="A337" s="6" t="s">
        <v>379</v>
      </c>
      <c r="B337" s="2" t="str">
        <f>VLOOKUP(A337,Table3[#All],2,FALSE)</f>
        <v>Hari</v>
      </c>
      <c r="C337" s="2" t="str">
        <f>VLOOKUP(A337,Table3[#All],3,FALSE)</f>
        <v>Sales</v>
      </c>
      <c r="D337" s="2">
        <f>VLOOKUP(A337,Table3[#All],4,FALSE)</f>
        <v>26</v>
      </c>
      <c r="E337" s="2" t="str">
        <f>VLOOKUP(A337,Table3[#All],5,FALSE)</f>
        <v>Female</v>
      </c>
      <c r="F337" s="2">
        <f>VLOOKUP(A337,Table3[#All],6,FALSE)</f>
        <v>1</v>
      </c>
      <c r="G337" s="2">
        <f>VLOOKUP(A337,Table3[#All],7,FALSE)</f>
        <v>34503</v>
      </c>
      <c r="H337" s="2">
        <f>VLOOKUP(A337,Table3[#All],8,FALSE)</f>
        <v>3</v>
      </c>
      <c r="I337" s="2">
        <f>VLOOKUP(A337,Table3[#All],9,FALSE)</f>
        <v>48</v>
      </c>
      <c r="J337" s="2">
        <f>VLOOKUP(A337,Table3[#All],10,FALSE)</f>
        <v>2</v>
      </c>
      <c r="K337" s="2">
        <f>VLOOKUP(A337,Table3[#All],11,FALSE)</f>
        <v>94</v>
      </c>
      <c r="L337" s="2" t="str">
        <f>VLOOKUP(A337,Table3[#All],12,FALSE)</f>
        <v>Mumbai</v>
      </c>
      <c r="M337" s="2" t="str">
        <f t="shared" si="5"/>
        <v>Not Eligible</v>
      </c>
    </row>
    <row r="338" spans="1:13" hidden="1" x14ac:dyDescent="0.25">
      <c r="A338" s="6" t="s">
        <v>825</v>
      </c>
      <c r="B338" s="2" t="str">
        <f>VLOOKUP(A338,Table3[#All],2,FALSE)</f>
        <v>Divya</v>
      </c>
      <c r="C338" s="2" t="str">
        <f>VLOOKUP(A338,Table3[#All],3,FALSE)</f>
        <v>IT</v>
      </c>
      <c r="D338" s="2">
        <f>VLOOKUP(A338,Table3[#All],4,FALSE)</f>
        <v>34</v>
      </c>
      <c r="E338" s="2" t="str">
        <f>VLOOKUP(A338,Table3[#All],5,FALSE)</f>
        <v>Female</v>
      </c>
      <c r="F338" s="2">
        <f>VLOOKUP(A338,Table3[#All],6,FALSE)</f>
        <v>5</v>
      </c>
      <c r="G338" s="2">
        <f>VLOOKUP(A338,Table3[#All],7,FALSE)</f>
        <v>42880</v>
      </c>
      <c r="H338" s="2">
        <f>VLOOKUP(A338,Table3[#All],8,FALSE)</f>
        <v>8</v>
      </c>
      <c r="I338" s="2">
        <f>VLOOKUP(A338,Table3[#All],9,FALSE)</f>
        <v>43</v>
      </c>
      <c r="J338" s="2">
        <f>VLOOKUP(A338,Table3[#All],10,FALSE)</f>
        <v>4</v>
      </c>
      <c r="K338" s="2">
        <f>VLOOKUP(A338,Table3[#All],11,FALSE)</f>
        <v>92</v>
      </c>
      <c r="L338" s="2" t="str">
        <f>VLOOKUP(A338,Table3[#All],12,FALSE)</f>
        <v>Mumbai</v>
      </c>
      <c r="M338" s="2" t="str">
        <f t="shared" si="5"/>
        <v>Not Eligible</v>
      </c>
    </row>
    <row r="339" spans="1:13" hidden="1" x14ac:dyDescent="0.25">
      <c r="A339" s="6" t="s">
        <v>601</v>
      </c>
      <c r="B339" s="2" t="str">
        <f>VLOOKUP(A339,Table3[#All],2,FALSE)</f>
        <v>Meena</v>
      </c>
      <c r="C339" s="2" t="str">
        <f>VLOOKUP(A339,Table3[#All],3,FALSE)</f>
        <v>IT</v>
      </c>
      <c r="D339" s="2">
        <f>VLOOKUP(A339,Table3[#All],4,FALSE)</f>
        <v>28</v>
      </c>
      <c r="E339" s="2" t="str">
        <f>VLOOKUP(A339,Table3[#All],5,FALSE)</f>
        <v>Female</v>
      </c>
      <c r="F339" s="2">
        <f>VLOOKUP(A339,Table3[#All],6,FALSE)</f>
        <v>11</v>
      </c>
      <c r="G339" s="2">
        <f>VLOOKUP(A339,Table3[#All],7,FALSE)</f>
        <v>42968</v>
      </c>
      <c r="H339" s="2">
        <f>VLOOKUP(A339,Table3[#All],8,FALSE)</f>
        <v>9</v>
      </c>
      <c r="I339" s="2">
        <f>VLOOKUP(A339,Table3[#All],9,FALSE)</f>
        <v>43</v>
      </c>
      <c r="J339" s="2">
        <f>VLOOKUP(A339,Table3[#All],10,FALSE)</f>
        <v>3</v>
      </c>
      <c r="K339" s="2">
        <f>VLOOKUP(A339,Table3[#All],11,FALSE)</f>
        <v>88</v>
      </c>
      <c r="L339" s="2" t="str">
        <f>VLOOKUP(A339,Table3[#All],12,FALSE)</f>
        <v>Mumbai</v>
      </c>
      <c r="M339" s="2" t="str">
        <f t="shared" si="5"/>
        <v>Not Eligible</v>
      </c>
    </row>
    <row r="340" spans="1:13" hidden="1" x14ac:dyDescent="0.25">
      <c r="A340" s="6" t="s">
        <v>391</v>
      </c>
      <c r="B340" s="2" t="str">
        <f>VLOOKUP(A340,Table3[#All],2,FALSE)</f>
        <v>Divya</v>
      </c>
      <c r="C340" s="2" t="str">
        <f>VLOOKUP(A340,Table3[#All],3,FALSE)</f>
        <v>IT</v>
      </c>
      <c r="D340" s="2">
        <f>VLOOKUP(A340,Table3[#All],4,FALSE)</f>
        <v>27</v>
      </c>
      <c r="E340" s="2" t="str">
        <f>VLOOKUP(A340,Table3[#All],5,FALSE)</f>
        <v>Male</v>
      </c>
      <c r="F340" s="2">
        <f>VLOOKUP(A340,Table3[#All],6,FALSE)</f>
        <v>8</v>
      </c>
      <c r="G340" s="2">
        <f>VLOOKUP(A340,Table3[#All],7,FALSE)</f>
        <v>43018</v>
      </c>
      <c r="H340" s="2">
        <f>VLOOKUP(A340,Table3[#All],8,FALSE)</f>
        <v>6</v>
      </c>
      <c r="I340" s="2">
        <f>VLOOKUP(A340,Table3[#All],9,FALSE)</f>
        <v>45</v>
      </c>
      <c r="J340" s="2">
        <f>VLOOKUP(A340,Table3[#All],10,FALSE)</f>
        <v>3</v>
      </c>
      <c r="K340" s="2">
        <f>VLOOKUP(A340,Table3[#All],11,FALSE)</f>
        <v>95</v>
      </c>
      <c r="L340" s="2" t="str">
        <f>VLOOKUP(A340,Table3[#All],12,FALSE)</f>
        <v>Hyderabad</v>
      </c>
      <c r="M340" s="2" t="str">
        <f t="shared" si="5"/>
        <v>Eligible</v>
      </c>
    </row>
    <row r="341" spans="1:13" hidden="1" x14ac:dyDescent="0.25">
      <c r="A341" s="6" t="s">
        <v>383</v>
      </c>
      <c r="B341" s="2" t="str">
        <f>VLOOKUP(A341,Table3[#All],2,FALSE)</f>
        <v>Vijay</v>
      </c>
      <c r="C341" s="2" t="str">
        <f>VLOOKUP(A341,Table3[#All],3,FALSE)</f>
        <v>IT</v>
      </c>
      <c r="D341" s="2">
        <f>VLOOKUP(A341,Table3[#All],4,FALSE)</f>
        <v>22</v>
      </c>
      <c r="E341" s="2" t="str">
        <f>VLOOKUP(A341,Table3[#All],5,FALSE)</f>
        <v>Female</v>
      </c>
      <c r="F341" s="2">
        <f>VLOOKUP(A341,Table3[#All],6,FALSE)</f>
        <v>1</v>
      </c>
      <c r="G341" s="2">
        <f>VLOOKUP(A341,Table3[#All],7,FALSE)</f>
        <v>70765</v>
      </c>
      <c r="H341" s="2">
        <f>VLOOKUP(A341,Table3[#All],8,FALSE)</f>
        <v>11</v>
      </c>
      <c r="I341" s="2">
        <f>VLOOKUP(A341,Table3[#All],9,FALSE)</f>
        <v>39</v>
      </c>
      <c r="J341" s="2">
        <f>VLOOKUP(A341,Table3[#All],10,FALSE)</f>
        <v>5</v>
      </c>
      <c r="K341" s="2">
        <f>VLOOKUP(A341,Table3[#All],11,FALSE)</f>
        <v>92</v>
      </c>
      <c r="L341" s="2" t="str">
        <f>VLOOKUP(A341,Table3[#All],12,FALSE)</f>
        <v>Pune</v>
      </c>
      <c r="M341" s="2" t="str">
        <f t="shared" si="5"/>
        <v>Not Eligible</v>
      </c>
    </row>
    <row r="342" spans="1:13" hidden="1" x14ac:dyDescent="0.25">
      <c r="A342" s="6" t="s">
        <v>215</v>
      </c>
      <c r="B342" s="2" t="str">
        <f>VLOOKUP(A342,Table3[#All],2,FALSE)</f>
        <v>Arun</v>
      </c>
      <c r="C342" s="2" t="str">
        <f>VLOOKUP(A342,Table3[#All],3,FALSE)</f>
        <v>Finance</v>
      </c>
      <c r="D342" s="2">
        <f>VLOOKUP(A342,Table3[#All],4,FALSE)</f>
        <v>34</v>
      </c>
      <c r="E342" s="2" t="str">
        <f>VLOOKUP(A342,Table3[#All],5,FALSE)</f>
        <v>Male</v>
      </c>
      <c r="F342" s="2">
        <f>VLOOKUP(A342,Table3[#All],6,FALSE)</f>
        <v>6</v>
      </c>
      <c r="G342" s="2">
        <f>VLOOKUP(A342,Table3[#All],7,FALSE)</f>
        <v>43060</v>
      </c>
      <c r="H342" s="2">
        <f>VLOOKUP(A342,Table3[#All],8,FALSE)</f>
        <v>7</v>
      </c>
      <c r="I342" s="2">
        <f>VLOOKUP(A342,Table3[#All],9,FALSE)</f>
        <v>45</v>
      </c>
      <c r="J342" s="2">
        <f>VLOOKUP(A342,Table3[#All],10,FALSE)</f>
        <v>4</v>
      </c>
      <c r="K342" s="2">
        <f>VLOOKUP(A342,Table3[#All],11,FALSE)</f>
        <v>98</v>
      </c>
      <c r="L342" s="2" t="str">
        <f>VLOOKUP(A342,Table3[#All],12,FALSE)</f>
        <v>Chennai</v>
      </c>
      <c r="M342" s="2" t="str">
        <f t="shared" si="5"/>
        <v>Eligible</v>
      </c>
    </row>
    <row r="343" spans="1:13" x14ac:dyDescent="0.25">
      <c r="A343" s="6" t="s">
        <v>957</v>
      </c>
      <c r="B343" s="2" t="str">
        <f>VLOOKUP(A343,Table3[#All],2,FALSE)</f>
        <v>Sanjay</v>
      </c>
      <c r="C343" s="2" t="str">
        <f>VLOOKUP(A343,Table3[#All],3,FALSE)</f>
        <v>IT</v>
      </c>
      <c r="D343" s="2">
        <f>VLOOKUP(A343,Table3[#All],4,FALSE)</f>
        <v>28</v>
      </c>
      <c r="E343" s="2" t="str">
        <f>VLOOKUP(A343,Table3[#All],5,FALSE)</f>
        <v>Male</v>
      </c>
      <c r="F343" s="2">
        <f>VLOOKUP(A343,Table3[#All],6,FALSE)</f>
        <v>13</v>
      </c>
      <c r="G343" s="2">
        <f>VLOOKUP(A343,Table3[#All],7,FALSE)</f>
        <v>43105</v>
      </c>
      <c r="H343" s="2">
        <f>VLOOKUP(A343,Table3[#All],8,FALSE)</f>
        <v>15</v>
      </c>
      <c r="I343" s="2">
        <f>VLOOKUP(A343,Table3[#All],9,FALSE)</f>
        <v>38</v>
      </c>
      <c r="J343" s="2">
        <f>VLOOKUP(A343,Table3[#All],10,FALSE)</f>
        <v>3</v>
      </c>
      <c r="K343" s="2">
        <f>VLOOKUP(A343,Table3[#All],11,FALSE)</f>
        <v>100</v>
      </c>
      <c r="L343" s="2" t="str">
        <f>VLOOKUP(A343,Table3[#All],12,FALSE)</f>
        <v>Hyderabad</v>
      </c>
      <c r="M343" s="2" t="str">
        <f t="shared" si="5"/>
        <v>Eligible</v>
      </c>
    </row>
    <row r="344" spans="1:13" hidden="1" x14ac:dyDescent="0.25">
      <c r="A344" s="5" t="s">
        <v>828</v>
      </c>
      <c r="B344" s="2" t="str">
        <f>VLOOKUP(A344,Table3[#All],2,FALSE)</f>
        <v>Hari</v>
      </c>
      <c r="C344" s="2" t="str">
        <f>VLOOKUP(A344,Table3[#All],3,FALSE)</f>
        <v>Finance</v>
      </c>
      <c r="D344" s="2">
        <f>VLOOKUP(A344,Table3[#All],4,FALSE)</f>
        <v>33</v>
      </c>
      <c r="E344" s="2" t="str">
        <f>VLOOKUP(A344,Table3[#All],5,FALSE)</f>
        <v>Male</v>
      </c>
      <c r="F344" s="2">
        <f>VLOOKUP(A344,Table3[#All],6,FALSE)</f>
        <v>6</v>
      </c>
      <c r="G344" s="2">
        <f>VLOOKUP(A344,Table3[#All],7,FALSE)</f>
        <v>43122</v>
      </c>
      <c r="H344" s="2">
        <f>VLOOKUP(A344,Table3[#All],8,FALSE)</f>
        <v>3</v>
      </c>
      <c r="I344" s="2">
        <f>VLOOKUP(A344,Table3[#All],9,FALSE)</f>
        <v>44</v>
      </c>
      <c r="J344" s="2">
        <f>VLOOKUP(A344,Table3[#All],10,FALSE)</f>
        <v>3</v>
      </c>
      <c r="K344" s="2">
        <f>VLOOKUP(A344,Table3[#All],11,FALSE)</f>
        <v>93</v>
      </c>
      <c r="L344" s="2" t="str">
        <f>VLOOKUP(A344,Table3[#All],12,FALSE)</f>
        <v>Chennai</v>
      </c>
      <c r="M344" s="2" t="str">
        <f t="shared" si="5"/>
        <v>Not Eligible</v>
      </c>
    </row>
    <row r="345" spans="1:13" x14ac:dyDescent="0.25">
      <c r="A345" s="5" t="s">
        <v>660</v>
      </c>
      <c r="B345" s="2" t="str">
        <f>VLOOKUP(A345,Table3[#All],2,FALSE)</f>
        <v>Lakshmi</v>
      </c>
      <c r="C345" s="2" t="str">
        <f>VLOOKUP(A345,Table3[#All],3,FALSE)</f>
        <v>IT</v>
      </c>
      <c r="D345" s="2">
        <f>VLOOKUP(A345,Table3[#All],4,FALSE)</f>
        <v>37</v>
      </c>
      <c r="E345" s="2" t="str">
        <f>VLOOKUP(A345,Table3[#All],5,FALSE)</f>
        <v>Male</v>
      </c>
      <c r="F345" s="2">
        <f>VLOOKUP(A345,Table3[#All],6,FALSE)</f>
        <v>11</v>
      </c>
      <c r="G345" s="2">
        <f>VLOOKUP(A345,Table3[#All],7,FALSE)</f>
        <v>43197</v>
      </c>
      <c r="H345" s="2">
        <f>VLOOKUP(A345,Table3[#All],8,FALSE)</f>
        <v>14</v>
      </c>
      <c r="I345" s="2">
        <f>VLOOKUP(A345,Table3[#All],9,FALSE)</f>
        <v>39</v>
      </c>
      <c r="J345" s="2">
        <f>VLOOKUP(A345,Table3[#All],10,FALSE)</f>
        <v>2</v>
      </c>
      <c r="K345" s="2">
        <f>VLOOKUP(A345,Table3[#All],11,FALSE)</f>
        <v>91</v>
      </c>
      <c r="L345" s="2" t="str">
        <f>VLOOKUP(A345,Table3[#All],12,FALSE)</f>
        <v>Pune</v>
      </c>
      <c r="M345" s="2" t="str">
        <f t="shared" si="5"/>
        <v>Not Eligible</v>
      </c>
    </row>
    <row r="346" spans="1:13" x14ac:dyDescent="0.25">
      <c r="A346" s="5" t="s">
        <v>184</v>
      </c>
      <c r="B346" s="2" t="str">
        <f>VLOOKUP(A346,Table3[#All],2,FALSE)</f>
        <v>Ramesh</v>
      </c>
      <c r="C346" s="2" t="str">
        <f>VLOOKUP(A346,Table3[#All],3,FALSE)</f>
        <v>Finance</v>
      </c>
      <c r="D346" s="2">
        <f>VLOOKUP(A346,Table3[#All],4,FALSE)</f>
        <v>31</v>
      </c>
      <c r="E346" s="2" t="str">
        <f>VLOOKUP(A346,Table3[#All],5,FALSE)</f>
        <v>Female</v>
      </c>
      <c r="F346" s="2">
        <f>VLOOKUP(A346,Table3[#All],6,FALSE)</f>
        <v>15</v>
      </c>
      <c r="G346" s="2">
        <f>VLOOKUP(A346,Table3[#All],7,FALSE)</f>
        <v>43208</v>
      </c>
      <c r="H346" s="2">
        <f>VLOOKUP(A346,Table3[#All],8,FALSE)</f>
        <v>12</v>
      </c>
      <c r="I346" s="2">
        <f>VLOOKUP(A346,Table3[#All],9,FALSE)</f>
        <v>45</v>
      </c>
      <c r="J346" s="2">
        <f>VLOOKUP(A346,Table3[#All],10,FALSE)</f>
        <v>5</v>
      </c>
      <c r="K346" s="2">
        <f>VLOOKUP(A346,Table3[#All],11,FALSE)</f>
        <v>99</v>
      </c>
      <c r="L346" s="2" t="str">
        <f>VLOOKUP(A346,Table3[#All],12,FALSE)</f>
        <v>Mumbai</v>
      </c>
      <c r="M346" s="2" t="str">
        <f t="shared" si="5"/>
        <v>Eligible</v>
      </c>
    </row>
    <row r="347" spans="1:13" x14ac:dyDescent="0.25">
      <c r="A347" s="6" t="s">
        <v>211</v>
      </c>
      <c r="B347" s="2" t="str">
        <f>VLOOKUP(A347,Table3[#All],2,FALSE)</f>
        <v>Ajay</v>
      </c>
      <c r="C347" s="2" t="str">
        <f>VLOOKUP(A347,Table3[#All],3,FALSE)</f>
        <v>Sales</v>
      </c>
      <c r="D347" s="2">
        <f>VLOOKUP(A347,Table3[#All],4,FALSE)</f>
        <v>24</v>
      </c>
      <c r="E347" s="2" t="str">
        <f>VLOOKUP(A347,Table3[#All],5,FALSE)</f>
        <v>Male</v>
      </c>
      <c r="F347" s="2">
        <f>VLOOKUP(A347,Table3[#All],6,FALSE)</f>
        <v>7</v>
      </c>
      <c r="G347" s="2">
        <f>VLOOKUP(A347,Table3[#All],7,FALSE)</f>
        <v>43227</v>
      </c>
      <c r="H347" s="2">
        <f>VLOOKUP(A347,Table3[#All],8,FALSE)</f>
        <v>11</v>
      </c>
      <c r="I347" s="2">
        <f>VLOOKUP(A347,Table3[#All],9,FALSE)</f>
        <v>48</v>
      </c>
      <c r="J347" s="2">
        <f>VLOOKUP(A347,Table3[#All],10,FALSE)</f>
        <v>5</v>
      </c>
      <c r="K347" s="2">
        <f>VLOOKUP(A347,Table3[#All],11,FALSE)</f>
        <v>91</v>
      </c>
      <c r="L347" s="2" t="str">
        <f>VLOOKUP(A347,Table3[#All],12,FALSE)</f>
        <v>Pune</v>
      </c>
      <c r="M347" s="2" t="str">
        <f t="shared" si="5"/>
        <v>Not Eligible</v>
      </c>
    </row>
    <row r="348" spans="1:13" hidden="1" x14ac:dyDescent="0.25">
      <c r="A348" s="6" t="s">
        <v>605</v>
      </c>
      <c r="B348" s="2" t="str">
        <f>VLOOKUP(A348,Table3[#All],2,FALSE)</f>
        <v>Anitha</v>
      </c>
      <c r="C348" s="2" t="str">
        <f>VLOOKUP(A348,Table3[#All],3,FALSE)</f>
        <v>HR</v>
      </c>
      <c r="D348" s="2">
        <f>VLOOKUP(A348,Table3[#All],4,FALSE)</f>
        <v>31</v>
      </c>
      <c r="E348" s="2" t="str">
        <f>VLOOKUP(A348,Table3[#All],5,FALSE)</f>
        <v>Male</v>
      </c>
      <c r="F348" s="2">
        <f>VLOOKUP(A348,Table3[#All],6,FALSE)</f>
        <v>9</v>
      </c>
      <c r="G348" s="2">
        <f>VLOOKUP(A348,Table3[#All],7,FALSE)</f>
        <v>43237</v>
      </c>
      <c r="H348" s="2">
        <f>VLOOKUP(A348,Table3[#All],8,FALSE)</f>
        <v>3</v>
      </c>
      <c r="I348" s="2">
        <f>VLOOKUP(A348,Table3[#All],9,FALSE)</f>
        <v>37</v>
      </c>
      <c r="J348" s="2">
        <f>VLOOKUP(A348,Table3[#All],10,FALSE)</f>
        <v>3</v>
      </c>
      <c r="K348" s="2">
        <f>VLOOKUP(A348,Table3[#All],11,FALSE)</f>
        <v>88</v>
      </c>
      <c r="L348" s="2" t="str">
        <f>VLOOKUP(A348,Table3[#All],12,FALSE)</f>
        <v>Mumbai</v>
      </c>
      <c r="M348" s="2" t="str">
        <f t="shared" si="5"/>
        <v>Not Eligible</v>
      </c>
    </row>
    <row r="349" spans="1:13" hidden="1" x14ac:dyDescent="0.25">
      <c r="A349" s="6" t="s">
        <v>973</v>
      </c>
      <c r="B349" s="2" t="str">
        <f>VLOOKUP(A349,Table3[#All],2,FALSE)</f>
        <v>Lakshmi</v>
      </c>
      <c r="C349" s="2" t="str">
        <f>VLOOKUP(A349,Table3[#All],3,FALSE)</f>
        <v>Finance</v>
      </c>
      <c r="D349" s="2">
        <f>VLOOKUP(A349,Table3[#All],4,FALSE)</f>
        <v>28</v>
      </c>
      <c r="E349" s="2" t="str">
        <f>VLOOKUP(A349,Table3[#All],5,FALSE)</f>
        <v>Female</v>
      </c>
      <c r="F349" s="2">
        <f>VLOOKUP(A349,Table3[#All],6,FALSE)</f>
        <v>9</v>
      </c>
      <c r="G349" s="2">
        <f>VLOOKUP(A349,Table3[#All],7,FALSE)</f>
        <v>43242</v>
      </c>
      <c r="H349" s="2">
        <f>VLOOKUP(A349,Table3[#All],8,FALSE)</f>
        <v>6</v>
      </c>
      <c r="I349" s="2">
        <f>VLOOKUP(A349,Table3[#All],9,FALSE)</f>
        <v>35</v>
      </c>
      <c r="J349" s="2">
        <f>VLOOKUP(A349,Table3[#All],10,FALSE)</f>
        <v>3</v>
      </c>
      <c r="K349" s="2">
        <f>VLOOKUP(A349,Table3[#All],11,FALSE)</f>
        <v>93</v>
      </c>
      <c r="L349" s="2" t="str">
        <f>VLOOKUP(A349,Table3[#All],12,FALSE)</f>
        <v>Chennai</v>
      </c>
      <c r="M349" s="2" t="str">
        <f t="shared" si="5"/>
        <v>Not Eligible</v>
      </c>
    </row>
    <row r="350" spans="1:13" hidden="1" x14ac:dyDescent="0.25">
      <c r="A350" s="5" t="s">
        <v>392</v>
      </c>
      <c r="B350" s="2" t="str">
        <f>VLOOKUP(A350,Table3[#All],2,FALSE)</f>
        <v>Nisha</v>
      </c>
      <c r="C350" s="2" t="str">
        <f>VLOOKUP(A350,Table3[#All],3,FALSE)</f>
        <v>IT</v>
      </c>
      <c r="D350" s="2">
        <f>VLOOKUP(A350,Table3[#All],4,FALSE)</f>
        <v>34</v>
      </c>
      <c r="E350" s="2" t="str">
        <f>VLOOKUP(A350,Table3[#All],5,FALSE)</f>
        <v>Female</v>
      </c>
      <c r="F350" s="2">
        <f>VLOOKUP(A350,Table3[#All],6,FALSE)</f>
        <v>3</v>
      </c>
      <c r="G350" s="2">
        <f>VLOOKUP(A350,Table3[#All],7,FALSE)</f>
        <v>48030</v>
      </c>
      <c r="H350" s="2">
        <f>VLOOKUP(A350,Table3[#All],8,FALSE)</f>
        <v>13</v>
      </c>
      <c r="I350" s="2">
        <f>VLOOKUP(A350,Table3[#All],9,FALSE)</f>
        <v>44</v>
      </c>
      <c r="J350" s="2">
        <f>VLOOKUP(A350,Table3[#All],10,FALSE)</f>
        <v>2</v>
      </c>
      <c r="K350" s="2">
        <f>VLOOKUP(A350,Table3[#All],11,FALSE)</f>
        <v>89</v>
      </c>
      <c r="L350" s="2" t="str">
        <f>VLOOKUP(A350,Table3[#All],12,FALSE)</f>
        <v>Chennai</v>
      </c>
      <c r="M350" s="2" t="str">
        <f t="shared" si="5"/>
        <v>Not Eligible</v>
      </c>
    </row>
    <row r="351" spans="1:13" hidden="1" x14ac:dyDescent="0.25">
      <c r="A351" s="5" t="s">
        <v>1026</v>
      </c>
      <c r="B351" s="2" t="str">
        <f>VLOOKUP(A351,Table3[#All],2,FALSE)</f>
        <v>Priya</v>
      </c>
      <c r="C351" s="2" t="str">
        <f>VLOOKUP(A351,Table3[#All],3,FALSE)</f>
        <v>HR</v>
      </c>
      <c r="D351" s="2">
        <f>VLOOKUP(A351,Table3[#All],4,FALSE)</f>
        <v>28</v>
      </c>
      <c r="E351" s="2" t="str">
        <f>VLOOKUP(A351,Table3[#All],5,FALSE)</f>
        <v>Male</v>
      </c>
      <c r="F351" s="2">
        <f>VLOOKUP(A351,Table3[#All],6,FALSE)</f>
        <v>11</v>
      </c>
      <c r="G351" s="2">
        <f>VLOOKUP(A351,Table3[#All],7,FALSE)</f>
        <v>43243</v>
      </c>
      <c r="H351" s="2">
        <f>VLOOKUP(A351,Table3[#All],8,FALSE)</f>
        <v>8</v>
      </c>
      <c r="I351" s="2">
        <f>VLOOKUP(A351,Table3[#All],9,FALSE)</f>
        <v>36</v>
      </c>
      <c r="J351" s="2">
        <f>VLOOKUP(A351,Table3[#All],10,FALSE)</f>
        <v>3</v>
      </c>
      <c r="K351" s="2">
        <f>VLOOKUP(A351,Table3[#All],11,FALSE)</f>
        <v>91</v>
      </c>
      <c r="L351" s="2" t="str">
        <f>VLOOKUP(A351,Table3[#All],12,FALSE)</f>
        <v>Mumbai</v>
      </c>
      <c r="M351" s="2" t="str">
        <f t="shared" si="5"/>
        <v>Not Eligible</v>
      </c>
    </row>
    <row r="352" spans="1:13" x14ac:dyDescent="0.25">
      <c r="A352" s="6" t="s">
        <v>939</v>
      </c>
      <c r="B352" s="2" t="str">
        <f>VLOOKUP(A352,Table3[#All],2,FALSE)</f>
        <v>Kavya</v>
      </c>
      <c r="C352" s="2" t="str">
        <f>VLOOKUP(A352,Table3[#All],3,FALSE)</f>
        <v>HR</v>
      </c>
      <c r="D352" s="2">
        <f>VLOOKUP(A352,Table3[#All],4,FALSE)</f>
        <v>30</v>
      </c>
      <c r="E352" s="2" t="str">
        <f>VLOOKUP(A352,Table3[#All],5,FALSE)</f>
        <v>Female</v>
      </c>
      <c r="F352" s="2">
        <f>VLOOKUP(A352,Table3[#All],6,FALSE)</f>
        <v>13</v>
      </c>
      <c r="G352" s="2">
        <f>VLOOKUP(A352,Table3[#All],7,FALSE)</f>
        <v>43285</v>
      </c>
      <c r="H352" s="2">
        <f>VLOOKUP(A352,Table3[#All],8,FALSE)</f>
        <v>15</v>
      </c>
      <c r="I352" s="2">
        <f>VLOOKUP(A352,Table3[#All],9,FALSE)</f>
        <v>37</v>
      </c>
      <c r="J352" s="2">
        <f>VLOOKUP(A352,Table3[#All],10,FALSE)</f>
        <v>3</v>
      </c>
      <c r="K352" s="2">
        <f>VLOOKUP(A352,Table3[#All],11,FALSE)</f>
        <v>91</v>
      </c>
      <c r="L352" s="2" t="str">
        <f>VLOOKUP(A352,Table3[#All],12,FALSE)</f>
        <v>Delhi</v>
      </c>
      <c r="M352" s="2" t="str">
        <f t="shared" si="5"/>
        <v>Not Eligible</v>
      </c>
    </row>
    <row r="353" spans="1:13" x14ac:dyDescent="0.25">
      <c r="A353" s="6" t="s">
        <v>809</v>
      </c>
      <c r="B353" s="2" t="str">
        <f>VLOOKUP(A353,Table3[#All],2,FALSE)</f>
        <v>Nisha</v>
      </c>
      <c r="C353" s="2" t="str">
        <f>VLOOKUP(A353,Table3[#All],3,FALSE)</f>
        <v>Sales</v>
      </c>
      <c r="D353" s="2">
        <f>VLOOKUP(A353,Table3[#All],4,FALSE)</f>
        <v>38</v>
      </c>
      <c r="E353" s="2" t="str">
        <f>VLOOKUP(A353,Table3[#All],5,FALSE)</f>
        <v>Female</v>
      </c>
      <c r="F353" s="2">
        <f>VLOOKUP(A353,Table3[#All],6,FALSE)</f>
        <v>9</v>
      </c>
      <c r="G353" s="2">
        <f>VLOOKUP(A353,Table3[#All],7,FALSE)</f>
        <v>43320</v>
      </c>
      <c r="H353" s="2">
        <f>VLOOKUP(A353,Table3[#All],8,FALSE)</f>
        <v>10</v>
      </c>
      <c r="I353" s="2">
        <f>VLOOKUP(A353,Table3[#All],9,FALSE)</f>
        <v>39</v>
      </c>
      <c r="J353" s="2">
        <f>VLOOKUP(A353,Table3[#All],10,FALSE)</f>
        <v>3</v>
      </c>
      <c r="K353" s="2">
        <f>VLOOKUP(A353,Table3[#All],11,FALSE)</f>
        <v>99</v>
      </c>
      <c r="L353" s="2" t="str">
        <f>VLOOKUP(A353,Table3[#All],12,FALSE)</f>
        <v>Hyderabad</v>
      </c>
      <c r="M353" s="2" t="str">
        <f t="shared" si="5"/>
        <v>Eligible</v>
      </c>
    </row>
    <row r="354" spans="1:13" hidden="1" x14ac:dyDescent="0.25">
      <c r="A354" s="5" t="s">
        <v>296</v>
      </c>
      <c r="B354" s="2" t="str">
        <f>VLOOKUP(A354,Table3[#All],2,FALSE)</f>
        <v>Kavya</v>
      </c>
      <c r="C354" s="2" t="str">
        <f>VLOOKUP(A354,Table3[#All],3,FALSE)</f>
        <v>HR</v>
      </c>
      <c r="D354" s="2">
        <f>VLOOKUP(A354,Table3[#All],4,FALSE)</f>
        <v>35</v>
      </c>
      <c r="E354" s="2" t="str">
        <f>VLOOKUP(A354,Table3[#All],5,FALSE)</f>
        <v>Female</v>
      </c>
      <c r="F354" s="2">
        <f>VLOOKUP(A354,Table3[#All],6,FALSE)</f>
        <v>13</v>
      </c>
      <c r="G354" s="2">
        <f>VLOOKUP(A354,Table3[#All],7,FALSE)</f>
        <v>43333</v>
      </c>
      <c r="H354" s="2">
        <f>VLOOKUP(A354,Table3[#All],8,FALSE)</f>
        <v>9</v>
      </c>
      <c r="I354" s="2">
        <f>VLOOKUP(A354,Table3[#All],9,FALSE)</f>
        <v>36</v>
      </c>
      <c r="J354" s="2">
        <f>VLOOKUP(A354,Table3[#All],10,FALSE)</f>
        <v>5</v>
      </c>
      <c r="K354" s="2">
        <f>VLOOKUP(A354,Table3[#All],11,FALSE)</f>
        <v>90</v>
      </c>
      <c r="L354" s="2" t="str">
        <f>VLOOKUP(A354,Table3[#All],12,FALSE)</f>
        <v>Mumbai</v>
      </c>
      <c r="M354" s="2" t="str">
        <f t="shared" si="5"/>
        <v>Not Eligible</v>
      </c>
    </row>
    <row r="355" spans="1:13" hidden="1" x14ac:dyDescent="0.25">
      <c r="A355" s="6" t="s">
        <v>397</v>
      </c>
      <c r="B355" s="2" t="str">
        <f>VLOOKUP(A355,Table3[#All],2,FALSE)</f>
        <v>Lakshmi</v>
      </c>
      <c r="C355" s="2" t="str">
        <f>VLOOKUP(A355,Table3[#All],3,FALSE)</f>
        <v>IT</v>
      </c>
      <c r="D355" s="2">
        <f>VLOOKUP(A355,Table3[#All],4,FALSE)</f>
        <v>37</v>
      </c>
      <c r="E355" s="2" t="str">
        <f>VLOOKUP(A355,Table3[#All],5,FALSE)</f>
        <v>Male</v>
      </c>
      <c r="F355" s="2">
        <f>VLOOKUP(A355,Table3[#All],6,FALSE)</f>
        <v>3</v>
      </c>
      <c r="G355" s="2">
        <f>VLOOKUP(A355,Table3[#All],7,FALSE)</f>
        <v>51542</v>
      </c>
      <c r="H355" s="2">
        <f>VLOOKUP(A355,Table3[#All],8,FALSE)</f>
        <v>8</v>
      </c>
      <c r="I355" s="2">
        <f>VLOOKUP(A355,Table3[#All],9,FALSE)</f>
        <v>36</v>
      </c>
      <c r="J355" s="2">
        <f>VLOOKUP(A355,Table3[#All],10,FALSE)</f>
        <v>3</v>
      </c>
      <c r="K355" s="2">
        <f>VLOOKUP(A355,Table3[#All],11,FALSE)</f>
        <v>90</v>
      </c>
      <c r="L355" s="2" t="str">
        <f>VLOOKUP(A355,Table3[#All],12,FALSE)</f>
        <v>Bangalore</v>
      </c>
      <c r="M355" s="2" t="str">
        <f t="shared" si="5"/>
        <v>Not Eligible</v>
      </c>
    </row>
    <row r="356" spans="1:13" hidden="1" x14ac:dyDescent="0.25">
      <c r="A356" s="6" t="s">
        <v>607</v>
      </c>
      <c r="B356" s="2" t="str">
        <f>VLOOKUP(A356,Table3[#All],2,FALSE)</f>
        <v>Nisha</v>
      </c>
      <c r="C356" s="2" t="str">
        <f>VLOOKUP(A356,Table3[#All],3,FALSE)</f>
        <v>IT</v>
      </c>
      <c r="D356" s="2">
        <f>VLOOKUP(A356,Table3[#All],4,FALSE)</f>
        <v>34</v>
      </c>
      <c r="E356" s="2" t="str">
        <f>VLOOKUP(A356,Table3[#All],5,FALSE)</f>
        <v>Female</v>
      </c>
      <c r="F356" s="2">
        <f>VLOOKUP(A356,Table3[#All],6,FALSE)</f>
        <v>15</v>
      </c>
      <c r="G356" s="2">
        <f>VLOOKUP(A356,Table3[#All],7,FALSE)</f>
        <v>43500</v>
      </c>
      <c r="H356" s="2">
        <f>VLOOKUP(A356,Table3[#All],8,FALSE)</f>
        <v>8</v>
      </c>
      <c r="I356" s="2">
        <f>VLOOKUP(A356,Table3[#All],9,FALSE)</f>
        <v>49</v>
      </c>
      <c r="J356" s="2">
        <f>VLOOKUP(A356,Table3[#All],10,FALSE)</f>
        <v>1</v>
      </c>
      <c r="K356" s="2">
        <f>VLOOKUP(A356,Table3[#All],11,FALSE)</f>
        <v>87</v>
      </c>
      <c r="L356" s="2" t="str">
        <f>VLOOKUP(A356,Table3[#All],12,FALSE)</f>
        <v>Bangalore</v>
      </c>
      <c r="M356" s="2" t="str">
        <f t="shared" si="5"/>
        <v>Not Eligible</v>
      </c>
    </row>
    <row r="357" spans="1:13" hidden="1" x14ac:dyDescent="0.25">
      <c r="A357" s="6" t="s">
        <v>121</v>
      </c>
      <c r="B357" s="2" t="str">
        <f>VLOOKUP(A357,Table3[#All],2,FALSE)</f>
        <v>Suresh</v>
      </c>
      <c r="C357" s="2" t="str">
        <f>VLOOKUP(A357,Table3[#All],3,FALSE)</f>
        <v>Sales</v>
      </c>
      <c r="D357" s="2">
        <f>VLOOKUP(A357,Table3[#All],4,FALSE)</f>
        <v>22</v>
      </c>
      <c r="E357" s="2" t="str">
        <f>VLOOKUP(A357,Table3[#All],5,FALSE)</f>
        <v>Female</v>
      </c>
      <c r="F357" s="2">
        <f>VLOOKUP(A357,Table3[#All],6,FALSE)</f>
        <v>12</v>
      </c>
      <c r="G357" s="2">
        <f>VLOOKUP(A357,Table3[#All],7,FALSE)</f>
        <v>43521</v>
      </c>
      <c r="H357" s="2">
        <f>VLOOKUP(A357,Table3[#All],8,FALSE)</f>
        <v>6</v>
      </c>
      <c r="I357" s="2">
        <f>VLOOKUP(A357,Table3[#All],9,FALSE)</f>
        <v>38</v>
      </c>
      <c r="J357" s="2">
        <f>VLOOKUP(A357,Table3[#All],10,FALSE)</f>
        <v>3</v>
      </c>
      <c r="K357" s="2">
        <f>VLOOKUP(A357,Table3[#All],11,FALSE)</f>
        <v>89</v>
      </c>
      <c r="L357" s="2" t="str">
        <f>VLOOKUP(A357,Table3[#All],12,FALSE)</f>
        <v>Chennai</v>
      </c>
      <c r="M357" s="2" t="str">
        <f t="shared" si="5"/>
        <v>Not Eligible</v>
      </c>
    </row>
    <row r="358" spans="1:13" hidden="1" x14ac:dyDescent="0.25">
      <c r="A358" s="5" t="s">
        <v>400</v>
      </c>
      <c r="B358" s="2" t="str">
        <f>VLOOKUP(A358,Table3[#All],2,FALSE)</f>
        <v>Anitha</v>
      </c>
      <c r="C358" s="2" t="str">
        <f>VLOOKUP(A358,Table3[#All],3,FALSE)</f>
        <v>HR</v>
      </c>
      <c r="D358" s="2">
        <f>VLOOKUP(A358,Table3[#All],4,FALSE)</f>
        <v>39</v>
      </c>
      <c r="E358" s="2" t="str">
        <f>VLOOKUP(A358,Table3[#All],5,FALSE)</f>
        <v>Male</v>
      </c>
      <c r="F358" s="2">
        <f>VLOOKUP(A358,Table3[#All],6,FALSE)</f>
        <v>1</v>
      </c>
      <c r="G358" s="2">
        <f>VLOOKUP(A358,Table3[#All],7,FALSE)</f>
        <v>34985</v>
      </c>
      <c r="H358" s="2">
        <f>VLOOKUP(A358,Table3[#All],8,FALSE)</f>
        <v>7</v>
      </c>
      <c r="I358" s="2">
        <f>VLOOKUP(A358,Table3[#All],9,FALSE)</f>
        <v>42</v>
      </c>
      <c r="J358" s="2">
        <f>VLOOKUP(A358,Table3[#All],10,FALSE)</f>
        <v>1</v>
      </c>
      <c r="K358" s="2">
        <f>VLOOKUP(A358,Table3[#All],11,FALSE)</f>
        <v>94</v>
      </c>
      <c r="L358" s="2" t="str">
        <f>VLOOKUP(A358,Table3[#All],12,FALSE)</f>
        <v>Pune</v>
      </c>
      <c r="M358" s="2" t="str">
        <f t="shared" si="5"/>
        <v>Not Eligible</v>
      </c>
    </row>
    <row r="359" spans="1:13" hidden="1" x14ac:dyDescent="0.25">
      <c r="A359" s="5" t="s">
        <v>61</v>
      </c>
      <c r="B359" s="2" t="str">
        <f>VLOOKUP(A359,Table3[#All],2,FALSE)</f>
        <v>Karthik</v>
      </c>
      <c r="C359" s="2" t="str">
        <f>VLOOKUP(A359,Table3[#All],3,FALSE)</f>
        <v>HR</v>
      </c>
      <c r="D359" s="2">
        <f>VLOOKUP(A359,Table3[#All],4,FALSE)</f>
        <v>28</v>
      </c>
      <c r="E359" s="2" t="str">
        <f>VLOOKUP(A359,Table3[#All],5,FALSE)</f>
        <v>Female</v>
      </c>
      <c r="F359" s="2">
        <f>VLOOKUP(A359,Table3[#All],6,FALSE)</f>
        <v>5</v>
      </c>
      <c r="G359" s="2">
        <f>VLOOKUP(A359,Table3[#All],7,FALSE)</f>
        <v>43536</v>
      </c>
      <c r="H359" s="2">
        <f>VLOOKUP(A359,Table3[#All],8,FALSE)</f>
        <v>11</v>
      </c>
      <c r="I359" s="2">
        <f>VLOOKUP(A359,Table3[#All],9,FALSE)</f>
        <v>40</v>
      </c>
      <c r="J359" s="2">
        <f>VLOOKUP(A359,Table3[#All],10,FALSE)</f>
        <v>1</v>
      </c>
      <c r="K359" s="2">
        <f>VLOOKUP(A359,Table3[#All],11,FALSE)</f>
        <v>90</v>
      </c>
      <c r="L359" s="2" t="str">
        <f>VLOOKUP(A359,Table3[#All],12,FALSE)</f>
        <v>Chennai</v>
      </c>
      <c r="M359" s="2" t="str">
        <f t="shared" si="5"/>
        <v>Not Eligible</v>
      </c>
    </row>
    <row r="360" spans="1:13" hidden="1" x14ac:dyDescent="0.25">
      <c r="A360" s="5" t="s">
        <v>402</v>
      </c>
      <c r="B360" s="2" t="str">
        <f>VLOOKUP(A360,Table3[#All],2,FALSE)</f>
        <v>Rekha</v>
      </c>
      <c r="C360" s="2" t="str">
        <f>VLOOKUP(A360,Table3[#All],3,FALSE)</f>
        <v>HR</v>
      </c>
      <c r="D360" s="2">
        <f>VLOOKUP(A360,Table3[#All],4,FALSE)</f>
        <v>30</v>
      </c>
      <c r="E360" s="2" t="str">
        <f>VLOOKUP(A360,Table3[#All],5,FALSE)</f>
        <v>Female</v>
      </c>
      <c r="F360" s="2">
        <f>VLOOKUP(A360,Table3[#All],6,FALSE)</f>
        <v>3</v>
      </c>
      <c r="G360" s="2">
        <f>VLOOKUP(A360,Table3[#All],7,FALSE)</f>
        <v>58120</v>
      </c>
      <c r="H360" s="2">
        <f>VLOOKUP(A360,Table3[#All],8,FALSE)</f>
        <v>14</v>
      </c>
      <c r="I360" s="2">
        <f>VLOOKUP(A360,Table3[#All],9,FALSE)</f>
        <v>49</v>
      </c>
      <c r="J360" s="2">
        <f>VLOOKUP(A360,Table3[#All],10,FALSE)</f>
        <v>1</v>
      </c>
      <c r="K360" s="2">
        <f>VLOOKUP(A360,Table3[#All],11,FALSE)</f>
        <v>92</v>
      </c>
      <c r="L360" s="2" t="str">
        <f>VLOOKUP(A360,Table3[#All],12,FALSE)</f>
        <v>Delhi</v>
      </c>
      <c r="M360" s="2" t="str">
        <f t="shared" si="5"/>
        <v>Not Eligible</v>
      </c>
    </row>
    <row r="361" spans="1:13" hidden="1" x14ac:dyDescent="0.25">
      <c r="A361" s="6" t="s">
        <v>403</v>
      </c>
      <c r="B361" s="2" t="str">
        <f>VLOOKUP(A361,Table3[#All],2,FALSE)</f>
        <v>Arun</v>
      </c>
      <c r="C361" s="2" t="str">
        <f>VLOOKUP(A361,Table3[#All],3,FALSE)</f>
        <v>Finance</v>
      </c>
      <c r="D361" s="2">
        <f>VLOOKUP(A361,Table3[#All],4,FALSE)</f>
        <v>22</v>
      </c>
      <c r="E361" s="2" t="str">
        <f>VLOOKUP(A361,Table3[#All],5,FALSE)</f>
        <v>Female</v>
      </c>
      <c r="F361" s="2">
        <f>VLOOKUP(A361,Table3[#All],6,FALSE)</f>
        <v>3</v>
      </c>
      <c r="G361" s="2">
        <f>VLOOKUP(A361,Table3[#All],7,FALSE)</f>
        <v>70112</v>
      </c>
      <c r="H361" s="2">
        <f>VLOOKUP(A361,Table3[#All],8,FALSE)</f>
        <v>15</v>
      </c>
      <c r="I361" s="2">
        <f>VLOOKUP(A361,Table3[#All],9,FALSE)</f>
        <v>42</v>
      </c>
      <c r="J361" s="2">
        <f>VLOOKUP(A361,Table3[#All],10,FALSE)</f>
        <v>1</v>
      </c>
      <c r="K361" s="2">
        <f>VLOOKUP(A361,Table3[#All],11,FALSE)</f>
        <v>98</v>
      </c>
      <c r="L361" s="2" t="str">
        <f>VLOOKUP(A361,Table3[#All],12,FALSE)</f>
        <v>Pune</v>
      </c>
      <c r="M361" s="2" t="str">
        <f t="shared" si="5"/>
        <v>Eligible</v>
      </c>
    </row>
    <row r="362" spans="1:13" hidden="1" x14ac:dyDescent="0.25">
      <c r="A362" s="5" t="s">
        <v>38</v>
      </c>
      <c r="B362" s="2" t="str">
        <f>VLOOKUP(A362,Table3[#All],2,FALSE)</f>
        <v>Manoj</v>
      </c>
      <c r="C362" s="2" t="str">
        <f>VLOOKUP(A362,Table3[#All],3,FALSE)</f>
        <v>IT</v>
      </c>
      <c r="D362" s="2">
        <f>VLOOKUP(A362,Table3[#All],4,FALSE)</f>
        <v>30</v>
      </c>
      <c r="E362" s="2" t="str">
        <f>VLOOKUP(A362,Table3[#All],5,FALSE)</f>
        <v>Female</v>
      </c>
      <c r="F362" s="2">
        <f>VLOOKUP(A362,Table3[#All],6,FALSE)</f>
        <v>8</v>
      </c>
      <c r="G362" s="2">
        <f>VLOOKUP(A362,Table3[#All],7,FALSE)</f>
        <v>43605</v>
      </c>
      <c r="H362" s="2">
        <f>VLOOKUP(A362,Table3[#All],8,FALSE)</f>
        <v>8</v>
      </c>
      <c r="I362" s="2">
        <f>VLOOKUP(A362,Table3[#All],9,FALSE)</f>
        <v>46</v>
      </c>
      <c r="J362" s="2">
        <f>VLOOKUP(A362,Table3[#All],10,FALSE)</f>
        <v>3</v>
      </c>
      <c r="K362" s="2">
        <f>VLOOKUP(A362,Table3[#All],11,FALSE)</f>
        <v>99</v>
      </c>
      <c r="L362" s="2" t="str">
        <f>VLOOKUP(A362,Table3[#All],12,FALSE)</f>
        <v>Hyderabad</v>
      </c>
      <c r="M362" s="2" t="str">
        <f t="shared" si="5"/>
        <v>Eligible</v>
      </c>
    </row>
    <row r="363" spans="1:13" hidden="1" x14ac:dyDescent="0.25">
      <c r="A363" s="6" t="s">
        <v>405</v>
      </c>
      <c r="B363" s="2" t="str">
        <f>VLOOKUP(A363,Table3[#All],2,FALSE)</f>
        <v>Sneha</v>
      </c>
      <c r="C363" s="2" t="str">
        <f>VLOOKUP(A363,Table3[#All],3,FALSE)</f>
        <v>HR</v>
      </c>
      <c r="D363" s="2">
        <f>VLOOKUP(A363,Table3[#All],4,FALSE)</f>
        <v>37</v>
      </c>
      <c r="E363" s="2" t="str">
        <f>VLOOKUP(A363,Table3[#All],5,FALSE)</f>
        <v>Male</v>
      </c>
      <c r="F363" s="2">
        <f>VLOOKUP(A363,Table3[#All],6,FALSE)</f>
        <v>2</v>
      </c>
      <c r="G363" s="2">
        <f>VLOOKUP(A363,Table3[#All],7,FALSE)</f>
        <v>33005</v>
      </c>
      <c r="H363" s="2">
        <f>VLOOKUP(A363,Table3[#All],8,FALSE)</f>
        <v>7</v>
      </c>
      <c r="I363" s="2">
        <f>VLOOKUP(A363,Table3[#All],9,FALSE)</f>
        <v>50</v>
      </c>
      <c r="J363" s="2">
        <f>VLOOKUP(A363,Table3[#All],10,FALSE)</f>
        <v>3</v>
      </c>
      <c r="K363" s="2">
        <f>VLOOKUP(A363,Table3[#All],11,FALSE)</f>
        <v>100</v>
      </c>
      <c r="L363" s="2" t="str">
        <f>VLOOKUP(A363,Table3[#All],12,FALSE)</f>
        <v>Mumbai</v>
      </c>
      <c r="M363" s="2" t="str">
        <f t="shared" si="5"/>
        <v>Eligible</v>
      </c>
    </row>
    <row r="364" spans="1:13" x14ac:dyDescent="0.25">
      <c r="A364" s="5" t="s">
        <v>854</v>
      </c>
      <c r="B364" s="2" t="str">
        <f>VLOOKUP(A364,Table3[#All],2,FALSE)</f>
        <v>Karthik</v>
      </c>
      <c r="C364" s="2" t="str">
        <f>VLOOKUP(A364,Table3[#All],3,FALSE)</f>
        <v>Sales</v>
      </c>
      <c r="D364" s="2">
        <f>VLOOKUP(A364,Table3[#All],4,FALSE)</f>
        <v>35</v>
      </c>
      <c r="E364" s="2" t="str">
        <f>VLOOKUP(A364,Table3[#All],5,FALSE)</f>
        <v>Male</v>
      </c>
      <c r="F364" s="2">
        <f>VLOOKUP(A364,Table3[#All],6,FALSE)</f>
        <v>6</v>
      </c>
      <c r="G364" s="2">
        <f>VLOOKUP(A364,Table3[#All],7,FALSE)</f>
        <v>43715</v>
      </c>
      <c r="H364" s="2">
        <f>VLOOKUP(A364,Table3[#All],8,FALSE)</f>
        <v>14</v>
      </c>
      <c r="I364" s="2">
        <f>VLOOKUP(A364,Table3[#All],9,FALSE)</f>
        <v>49</v>
      </c>
      <c r="J364" s="2">
        <f>VLOOKUP(A364,Table3[#All],10,FALSE)</f>
        <v>1</v>
      </c>
      <c r="K364" s="2">
        <f>VLOOKUP(A364,Table3[#All],11,FALSE)</f>
        <v>92</v>
      </c>
      <c r="L364" s="2" t="str">
        <f>VLOOKUP(A364,Table3[#All],12,FALSE)</f>
        <v>Pune</v>
      </c>
      <c r="M364" s="2" t="str">
        <f t="shared" si="5"/>
        <v>Not Eligible</v>
      </c>
    </row>
    <row r="365" spans="1:13" hidden="1" x14ac:dyDescent="0.25">
      <c r="A365" s="5" t="s">
        <v>242</v>
      </c>
      <c r="B365" s="2" t="str">
        <f>VLOOKUP(A365,Table3[#All],2,FALSE)</f>
        <v>Ramesh</v>
      </c>
      <c r="C365" s="2" t="str">
        <f>VLOOKUP(A365,Table3[#All],3,FALSE)</f>
        <v>Sales</v>
      </c>
      <c r="D365" s="2">
        <f>VLOOKUP(A365,Table3[#All],4,FALSE)</f>
        <v>38</v>
      </c>
      <c r="E365" s="2" t="str">
        <f>VLOOKUP(A365,Table3[#All],5,FALSE)</f>
        <v>Female</v>
      </c>
      <c r="F365" s="2">
        <f>VLOOKUP(A365,Table3[#All],6,FALSE)</f>
        <v>11</v>
      </c>
      <c r="G365" s="2">
        <f>VLOOKUP(A365,Table3[#All],7,FALSE)</f>
        <v>43819</v>
      </c>
      <c r="H365" s="2">
        <f>VLOOKUP(A365,Table3[#All],8,FALSE)</f>
        <v>8</v>
      </c>
      <c r="I365" s="2">
        <f>VLOOKUP(A365,Table3[#All],9,FALSE)</f>
        <v>42</v>
      </c>
      <c r="J365" s="2">
        <f>VLOOKUP(A365,Table3[#All],10,FALSE)</f>
        <v>1</v>
      </c>
      <c r="K365" s="2">
        <f>VLOOKUP(A365,Table3[#All],11,FALSE)</f>
        <v>88</v>
      </c>
      <c r="L365" s="2" t="str">
        <f>VLOOKUP(A365,Table3[#All],12,FALSE)</f>
        <v>Delhi</v>
      </c>
      <c r="M365" s="2" t="str">
        <f t="shared" si="5"/>
        <v>Not Eligible</v>
      </c>
    </row>
    <row r="366" spans="1:13" hidden="1" x14ac:dyDescent="0.25">
      <c r="A366" s="5" t="s">
        <v>408</v>
      </c>
      <c r="B366" s="2" t="str">
        <f>VLOOKUP(A366,Table3[#All],2,FALSE)</f>
        <v>Suresh</v>
      </c>
      <c r="C366" s="2" t="str">
        <f>VLOOKUP(A366,Table3[#All],3,FALSE)</f>
        <v>Sales</v>
      </c>
      <c r="D366" s="2">
        <f>VLOOKUP(A366,Table3[#All],4,FALSE)</f>
        <v>27</v>
      </c>
      <c r="E366" s="2" t="str">
        <f>VLOOKUP(A366,Table3[#All],5,FALSE)</f>
        <v>Male</v>
      </c>
      <c r="F366" s="2">
        <f>VLOOKUP(A366,Table3[#All],6,FALSE)</f>
        <v>2</v>
      </c>
      <c r="G366" s="2">
        <f>VLOOKUP(A366,Table3[#All],7,FALSE)</f>
        <v>43594</v>
      </c>
      <c r="H366" s="2">
        <f>VLOOKUP(A366,Table3[#All],8,FALSE)</f>
        <v>8</v>
      </c>
      <c r="I366" s="2">
        <f>VLOOKUP(A366,Table3[#All],9,FALSE)</f>
        <v>44</v>
      </c>
      <c r="J366" s="2">
        <f>VLOOKUP(A366,Table3[#All],10,FALSE)</f>
        <v>5</v>
      </c>
      <c r="K366" s="2">
        <f>VLOOKUP(A366,Table3[#All],11,FALSE)</f>
        <v>97</v>
      </c>
      <c r="L366" s="2" t="str">
        <f>VLOOKUP(A366,Table3[#All],12,FALSE)</f>
        <v>Chennai</v>
      </c>
      <c r="M366" s="2" t="str">
        <f t="shared" si="5"/>
        <v>Eligible</v>
      </c>
    </row>
    <row r="367" spans="1:13" hidden="1" x14ac:dyDescent="0.25">
      <c r="A367" s="6" t="s">
        <v>455</v>
      </c>
      <c r="B367" s="2" t="str">
        <f>VLOOKUP(A367,Table3[#All],2,FALSE)</f>
        <v>Ramesh</v>
      </c>
      <c r="C367" s="2" t="str">
        <f>VLOOKUP(A367,Table3[#All],3,FALSE)</f>
        <v>Sales</v>
      </c>
      <c r="D367" s="2">
        <f>VLOOKUP(A367,Table3[#All],4,FALSE)</f>
        <v>31</v>
      </c>
      <c r="E367" s="2" t="str">
        <f>VLOOKUP(A367,Table3[#All],5,FALSE)</f>
        <v>Female</v>
      </c>
      <c r="F367" s="2">
        <f>VLOOKUP(A367,Table3[#All],6,FALSE)</f>
        <v>10</v>
      </c>
      <c r="G367" s="2">
        <f>VLOOKUP(A367,Table3[#All],7,FALSE)</f>
        <v>43860</v>
      </c>
      <c r="H367" s="2">
        <f>VLOOKUP(A367,Table3[#All],8,FALSE)</f>
        <v>5</v>
      </c>
      <c r="I367" s="2">
        <f>VLOOKUP(A367,Table3[#All],9,FALSE)</f>
        <v>42</v>
      </c>
      <c r="J367" s="2">
        <f>VLOOKUP(A367,Table3[#All],10,FALSE)</f>
        <v>5</v>
      </c>
      <c r="K367" s="2">
        <f>VLOOKUP(A367,Table3[#All],11,FALSE)</f>
        <v>86</v>
      </c>
      <c r="L367" s="2" t="str">
        <f>VLOOKUP(A367,Table3[#All],12,FALSE)</f>
        <v>Chennai</v>
      </c>
      <c r="M367" s="2" t="str">
        <f t="shared" si="5"/>
        <v>Not Eligible</v>
      </c>
    </row>
    <row r="368" spans="1:13" hidden="1" x14ac:dyDescent="0.25">
      <c r="A368" s="6" t="s">
        <v>655</v>
      </c>
      <c r="B368" s="2" t="str">
        <f>VLOOKUP(A368,Table3[#All],2,FALSE)</f>
        <v>Priya</v>
      </c>
      <c r="C368" s="2" t="str">
        <f>VLOOKUP(A368,Table3[#All],3,FALSE)</f>
        <v>HR</v>
      </c>
      <c r="D368" s="2">
        <f>VLOOKUP(A368,Table3[#All],4,FALSE)</f>
        <v>34</v>
      </c>
      <c r="E368" s="2" t="str">
        <f>VLOOKUP(A368,Table3[#All],5,FALSE)</f>
        <v>Female</v>
      </c>
      <c r="F368" s="2">
        <f>VLOOKUP(A368,Table3[#All],6,FALSE)</f>
        <v>15</v>
      </c>
      <c r="G368" s="2">
        <f>VLOOKUP(A368,Table3[#All],7,FALSE)</f>
        <v>43880</v>
      </c>
      <c r="H368" s="2">
        <f>VLOOKUP(A368,Table3[#All],8,FALSE)</f>
        <v>3</v>
      </c>
      <c r="I368" s="2">
        <f>VLOOKUP(A368,Table3[#All],9,FALSE)</f>
        <v>43</v>
      </c>
      <c r="J368" s="2">
        <f>VLOOKUP(A368,Table3[#All],10,FALSE)</f>
        <v>4</v>
      </c>
      <c r="K368" s="2">
        <f>VLOOKUP(A368,Table3[#All],11,FALSE)</f>
        <v>97</v>
      </c>
      <c r="L368" s="2" t="str">
        <f>VLOOKUP(A368,Table3[#All],12,FALSE)</f>
        <v>Pune</v>
      </c>
      <c r="M368" s="2" t="str">
        <f t="shared" si="5"/>
        <v>Eligible</v>
      </c>
    </row>
    <row r="369" spans="1:13" x14ac:dyDescent="0.25">
      <c r="A369" s="6" t="s">
        <v>701</v>
      </c>
      <c r="B369" s="2" t="str">
        <f>VLOOKUP(A369,Table3[#All],2,FALSE)</f>
        <v>Karthik</v>
      </c>
      <c r="C369" s="2" t="str">
        <f>VLOOKUP(A369,Table3[#All],3,FALSE)</f>
        <v>HR</v>
      </c>
      <c r="D369" s="2">
        <f>VLOOKUP(A369,Table3[#All],4,FALSE)</f>
        <v>31</v>
      </c>
      <c r="E369" s="2" t="str">
        <f>VLOOKUP(A369,Table3[#All],5,FALSE)</f>
        <v>Male</v>
      </c>
      <c r="F369" s="2">
        <f>VLOOKUP(A369,Table3[#All],6,FALSE)</f>
        <v>15</v>
      </c>
      <c r="G369" s="2">
        <f>VLOOKUP(A369,Table3[#All],7,FALSE)</f>
        <v>43892</v>
      </c>
      <c r="H369" s="2">
        <f>VLOOKUP(A369,Table3[#All],8,FALSE)</f>
        <v>12</v>
      </c>
      <c r="I369" s="2">
        <f>VLOOKUP(A369,Table3[#All],9,FALSE)</f>
        <v>48</v>
      </c>
      <c r="J369" s="2">
        <f>VLOOKUP(A369,Table3[#All],10,FALSE)</f>
        <v>1</v>
      </c>
      <c r="K369" s="2">
        <f>VLOOKUP(A369,Table3[#All],11,FALSE)</f>
        <v>98</v>
      </c>
      <c r="L369" s="2" t="str">
        <f>VLOOKUP(A369,Table3[#All],12,FALSE)</f>
        <v>Chennai</v>
      </c>
      <c r="M369" s="2" t="str">
        <f t="shared" si="5"/>
        <v>Eligible</v>
      </c>
    </row>
    <row r="370" spans="1:13" hidden="1" x14ac:dyDescent="0.25">
      <c r="A370" s="5" t="s">
        <v>412</v>
      </c>
      <c r="B370" s="2" t="str">
        <f>VLOOKUP(A370,Table3[#All],2,FALSE)</f>
        <v>Kavya</v>
      </c>
      <c r="C370" s="2" t="str">
        <f>VLOOKUP(A370,Table3[#All],3,FALSE)</f>
        <v>HR</v>
      </c>
      <c r="D370" s="2">
        <f>VLOOKUP(A370,Table3[#All],4,FALSE)</f>
        <v>30</v>
      </c>
      <c r="E370" s="2" t="str">
        <f>VLOOKUP(A370,Table3[#All],5,FALSE)</f>
        <v>Male</v>
      </c>
      <c r="F370" s="2">
        <f>VLOOKUP(A370,Table3[#All],6,FALSE)</f>
        <v>2</v>
      </c>
      <c r="G370" s="2">
        <f>VLOOKUP(A370,Table3[#All],7,FALSE)</f>
        <v>65525</v>
      </c>
      <c r="H370" s="2">
        <f>VLOOKUP(A370,Table3[#All],8,FALSE)</f>
        <v>5</v>
      </c>
      <c r="I370" s="2">
        <f>VLOOKUP(A370,Table3[#All],9,FALSE)</f>
        <v>46</v>
      </c>
      <c r="J370" s="2">
        <f>VLOOKUP(A370,Table3[#All],10,FALSE)</f>
        <v>1</v>
      </c>
      <c r="K370" s="2">
        <f>VLOOKUP(A370,Table3[#All],11,FALSE)</f>
        <v>92</v>
      </c>
      <c r="L370" s="2" t="str">
        <f>VLOOKUP(A370,Table3[#All],12,FALSE)</f>
        <v>Hyderabad</v>
      </c>
      <c r="M370" s="2" t="str">
        <f t="shared" si="5"/>
        <v>Not Eligible</v>
      </c>
    </row>
    <row r="371" spans="1:13" hidden="1" x14ac:dyDescent="0.25">
      <c r="A371" s="6" t="s">
        <v>413</v>
      </c>
      <c r="B371" s="2" t="str">
        <f>VLOOKUP(A371,Table3[#All],2,FALSE)</f>
        <v>Karthik</v>
      </c>
      <c r="C371" s="2" t="str">
        <f>VLOOKUP(A371,Table3[#All],3,FALSE)</f>
        <v>Sales</v>
      </c>
      <c r="D371" s="2">
        <f>VLOOKUP(A371,Table3[#All],4,FALSE)</f>
        <v>38</v>
      </c>
      <c r="E371" s="2" t="str">
        <f>VLOOKUP(A371,Table3[#All],5,FALSE)</f>
        <v>Male</v>
      </c>
      <c r="F371" s="2">
        <f>VLOOKUP(A371,Table3[#All],6,FALSE)</f>
        <v>4</v>
      </c>
      <c r="G371" s="2">
        <f>VLOOKUP(A371,Table3[#All],7,FALSE)</f>
        <v>37773</v>
      </c>
      <c r="H371" s="2">
        <f>VLOOKUP(A371,Table3[#All],8,FALSE)</f>
        <v>10</v>
      </c>
      <c r="I371" s="2">
        <f>VLOOKUP(A371,Table3[#All],9,FALSE)</f>
        <v>43</v>
      </c>
      <c r="J371" s="2">
        <f>VLOOKUP(A371,Table3[#All],10,FALSE)</f>
        <v>1</v>
      </c>
      <c r="K371" s="2">
        <f>VLOOKUP(A371,Table3[#All],11,FALSE)</f>
        <v>92</v>
      </c>
      <c r="L371" s="2" t="str">
        <f>VLOOKUP(A371,Table3[#All],12,FALSE)</f>
        <v>Delhi</v>
      </c>
      <c r="M371" s="2" t="str">
        <f t="shared" si="5"/>
        <v>Not Eligible</v>
      </c>
    </row>
    <row r="372" spans="1:13" hidden="1" x14ac:dyDescent="0.25">
      <c r="A372" s="6" t="s">
        <v>349</v>
      </c>
      <c r="B372" s="2" t="str">
        <f>VLOOKUP(A372,Table3[#All],2,FALSE)</f>
        <v>Lakshmi</v>
      </c>
      <c r="C372" s="2" t="str">
        <f>VLOOKUP(A372,Table3[#All],3,FALSE)</f>
        <v>Finance</v>
      </c>
      <c r="D372" s="2">
        <f>VLOOKUP(A372,Table3[#All],4,FALSE)</f>
        <v>25</v>
      </c>
      <c r="E372" s="2" t="str">
        <f>VLOOKUP(A372,Table3[#All],5,FALSE)</f>
        <v>Male</v>
      </c>
      <c r="F372" s="2">
        <f>VLOOKUP(A372,Table3[#All],6,FALSE)</f>
        <v>13</v>
      </c>
      <c r="G372" s="2">
        <f>VLOOKUP(A372,Table3[#All],7,FALSE)</f>
        <v>43901</v>
      </c>
      <c r="H372" s="2">
        <f>VLOOKUP(A372,Table3[#All],8,FALSE)</f>
        <v>7</v>
      </c>
      <c r="I372" s="2">
        <f>VLOOKUP(A372,Table3[#All],9,FALSE)</f>
        <v>35</v>
      </c>
      <c r="J372" s="2">
        <f>VLOOKUP(A372,Table3[#All],10,FALSE)</f>
        <v>5</v>
      </c>
      <c r="K372" s="2">
        <f>VLOOKUP(A372,Table3[#All],11,FALSE)</f>
        <v>86</v>
      </c>
      <c r="L372" s="2" t="str">
        <f>VLOOKUP(A372,Table3[#All],12,FALSE)</f>
        <v>Hyderabad</v>
      </c>
      <c r="M372" s="2" t="str">
        <f t="shared" si="5"/>
        <v>Not Eligible</v>
      </c>
    </row>
    <row r="373" spans="1:13" x14ac:dyDescent="0.25">
      <c r="A373" s="6" t="s">
        <v>697</v>
      </c>
      <c r="B373" s="2" t="str">
        <f>VLOOKUP(A373,Table3[#All],2,FALSE)</f>
        <v>Suresh</v>
      </c>
      <c r="C373" s="2" t="str">
        <f>VLOOKUP(A373,Table3[#All],3,FALSE)</f>
        <v>Sales</v>
      </c>
      <c r="D373" s="2">
        <f>VLOOKUP(A373,Table3[#All],4,FALSE)</f>
        <v>38</v>
      </c>
      <c r="E373" s="2" t="str">
        <f>VLOOKUP(A373,Table3[#All],5,FALSE)</f>
        <v>Female</v>
      </c>
      <c r="F373" s="2">
        <f>VLOOKUP(A373,Table3[#All],6,FALSE)</f>
        <v>8</v>
      </c>
      <c r="G373" s="2">
        <f>VLOOKUP(A373,Table3[#All],7,FALSE)</f>
        <v>43905</v>
      </c>
      <c r="H373" s="2">
        <f>VLOOKUP(A373,Table3[#All],8,FALSE)</f>
        <v>12</v>
      </c>
      <c r="I373" s="2">
        <f>VLOOKUP(A373,Table3[#All],9,FALSE)</f>
        <v>50</v>
      </c>
      <c r="J373" s="2">
        <f>VLOOKUP(A373,Table3[#All],10,FALSE)</f>
        <v>3</v>
      </c>
      <c r="K373" s="2">
        <f>VLOOKUP(A373,Table3[#All],11,FALSE)</f>
        <v>99</v>
      </c>
      <c r="L373" s="2" t="str">
        <f>VLOOKUP(A373,Table3[#All],12,FALSE)</f>
        <v>Bangalore</v>
      </c>
      <c r="M373" s="2" t="str">
        <f t="shared" si="5"/>
        <v>Eligible</v>
      </c>
    </row>
    <row r="374" spans="1:13" hidden="1" x14ac:dyDescent="0.25">
      <c r="A374" s="5" t="s">
        <v>978</v>
      </c>
      <c r="B374" s="2" t="str">
        <f>VLOOKUP(A374,Table3[#All],2,FALSE)</f>
        <v>Suresh</v>
      </c>
      <c r="C374" s="2" t="str">
        <f>VLOOKUP(A374,Table3[#All],3,FALSE)</f>
        <v>Finance</v>
      </c>
      <c r="D374" s="2">
        <f>VLOOKUP(A374,Table3[#All],4,FALSE)</f>
        <v>34</v>
      </c>
      <c r="E374" s="2" t="str">
        <f>VLOOKUP(A374,Table3[#All],5,FALSE)</f>
        <v>Male</v>
      </c>
      <c r="F374" s="2">
        <f>VLOOKUP(A374,Table3[#All],6,FALSE)</f>
        <v>6</v>
      </c>
      <c r="G374" s="2">
        <f>VLOOKUP(A374,Table3[#All],7,FALSE)</f>
        <v>43906</v>
      </c>
      <c r="H374" s="2">
        <f>VLOOKUP(A374,Table3[#All],8,FALSE)</f>
        <v>13</v>
      </c>
      <c r="I374" s="2">
        <f>VLOOKUP(A374,Table3[#All],9,FALSE)</f>
        <v>41</v>
      </c>
      <c r="J374" s="2">
        <f>VLOOKUP(A374,Table3[#All],10,FALSE)</f>
        <v>4</v>
      </c>
      <c r="K374" s="2">
        <f>VLOOKUP(A374,Table3[#All],11,FALSE)</f>
        <v>88</v>
      </c>
      <c r="L374" s="2" t="str">
        <f>VLOOKUP(A374,Table3[#All],12,FALSE)</f>
        <v>Mumbai</v>
      </c>
      <c r="M374" s="2" t="str">
        <f t="shared" si="5"/>
        <v>Not Eligible</v>
      </c>
    </row>
    <row r="375" spans="1:13" hidden="1" x14ac:dyDescent="0.25">
      <c r="A375" s="6" t="s">
        <v>755</v>
      </c>
      <c r="B375" s="2" t="str">
        <f>VLOOKUP(A375,Table3[#All],2,FALSE)</f>
        <v>Ajay</v>
      </c>
      <c r="C375" s="2" t="str">
        <f>VLOOKUP(A375,Table3[#All],3,FALSE)</f>
        <v>IT</v>
      </c>
      <c r="D375" s="2">
        <f>VLOOKUP(A375,Table3[#All],4,FALSE)</f>
        <v>27</v>
      </c>
      <c r="E375" s="2" t="str">
        <f>VLOOKUP(A375,Table3[#All],5,FALSE)</f>
        <v>Female</v>
      </c>
      <c r="F375" s="2">
        <f>VLOOKUP(A375,Table3[#All],6,FALSE)</f>
        <v>13</v>
      </c>
      <c r="G375" s="2">
        <f>VLOOKUP(A375,Table3[#All],7,FALSE)</f>
        <v>43918</v>
      </c>
      <c r="H375" s="2">
        <f>VLOOKUP(A375,Table3[#All],8,FALSE)</f>
        <v>12</v>
      </c>
      <c r="I375" s="2">
        <f>VLOOKUP(A375,Table3[#All],9,FALSE)</f>
        <v>35</v>
      </c>
      <c r="J375" s="2">
        <f>VLOOKUP(A375,Table3[#All],10,FALSE)</f>
        <v>1</v>
      </c>
      <c r="K375" s="2">
        <f>VLOOKUP(A375,Table3[#All],11,FALSE)</f>
        <v>88</v>
      </c>
      <c r="L375" s="2" t="str">
        <f>VLOOKUP(A375,Table3[#All],12,FALSE)</f>
        <v>Bangalore</v>
      </c>
      <c r="M375" s="2" t="str">
        <f t="shared" si="5"/>
        <v>Not Eligible</v>
      </c>
    </row>
    <row r="376" spans="1:13" hidden="1" x14ac:dyDescent="0.25">
      <c r="A376" s="6" t="s">
        <v>997</v>
      </c>
      <c r="B376" s="2" t="str">
        <f>VLOOKUP(A376,Table3[#All],2,FALSE)</f>
        <v>Hari</v>
      </c>
      <c r="C376" s="2" t="str">
        <f>VLOOKUP(A376,Table3[#All],3,FALSE)</f>
        <v>Sales</v>
      </c>
      <c r="D376" s="2">
        <f>VLOOKUP(A376,Table3[#All],4,FALSE)</f>
        <v>31</v>
      </c>
      <c r="E376" s="2" t="str">
        <f>VLOOKUP(A376,Table3[#All],5,FALSE)</f>
        <v>Male</v>
      </c>
      <c r="F376" s="2">
        <f>VLOOKUP(A376,Table3[#All],6,FALSE)</f>
        <v>8</v>
      </c>
      <c r="G376" s="2">
        <f>VLOOKUP(A376,Table3[#All],7,FALSE)</f>
        <v>44255</v>
      </c>
      <c r="H376" s="2">
        <f>VLOOKUP(A376,Table3[#All],8,FALSE)</f>
        <v>7</v>
      </c>
      <c r="I376" s="2">
        <f>VLOOKUP(A376,Table3[#All],9,FALSE)</f>
        <v>40</v>
      </c>
      <c r="J376" s="2">
        <f>VLOOKUP(A376,Table3[#All],10,FALSE)</f>
        <v>2</v>
      </c>
      <c r="K376" s="2">
        <f>VLOOKUP(A376,Table3[#All],11,FALSE)</f>
        <v>91</v>
      </c>
      <c r="L376" s="2" t="str">
        <f>VLOOKUP(A376,Table3[#All],12,FALSE)</f>
        <v>Bangalore</v>
      </c>
      <c r="M376" s="2" t="str">
        <f t="shared" si="5"/>
        <v>Not Eligible</v>
      </c>
    </row>
    <row r="377" spans="1:13" x14ac:dyDescent="0.25">
      <c r="A377" s="5" t="s">
        <v>80</v>
      </c>
      <c r="B377" s="2" t="str">
        <f>VLOOKUP(A377,Table3[#All],2,FALSE)</f>
        <v>Hari</v>
      </c>
      <c r="C377" s="2" t="str">
        <f>VLOOKUP(A377,Table3[#All],3,FALSE)</f>
        <v>Finance</v>
      </c>
      <c r="D377" s="2">
        <f>VLOOKUP(A377,Table3[#All],4,FALSE)</f>
        <v>29</v>
      </c>
      <c r="E377" s="2" t="str">
        <f>VLOOKUP(A377,Table3[#All],5,FALSE)</f>
        <v>Female</v>
      </c>
      <c r="F377" s="2">
        <f>VLOOKUP(A377,Table3[#All],6,FALSE)</f>
        <v>6</v>
      </c>
      <c r="G377" s="2">
        <f>VLOOKUP(A377,Table3[#All],7,FALSE)</f>
        <v>44595</v>
      </c>
      <c r="H377" s="2">
        <f>VLOOKUP(A377,Table3[#All],8,FALSE)</f>
        <v>15</v>
      </c>
      <c r="I377" s="2">
        <f>VLOOKUP(A377,Table3[#All],9,FALSE)</f>
        <v>48</v>
      </c>
      <c r="J377" s="2">
        <f>VLOOKUP(A377,Table3[#All],10,FALSE)</f>
        <v>1</v>
      </c>
      <c r="K377" s="2">
        <f>VLOOKUP(A377,Table3[#All],11,FALSE)</f>
        <v>94</v>
      </c>
      <c r="L377" s="2" t="str">
        <f>VLOOKUP(A377,Table3[#All],12,FALSE)</f>
        <v>Delhi</v>
      </c>
      <c r="M377" s="2" t="str">
        <f t="shared" si="5"/>
        <v>Not Eligible</v>
      </c>
    </row>
    <row r="378" spans="1:13" hidden="1" x14ac:dyDescent="0.25">
      <c r="A378" s="6" t="s">
        <v>489</v>
      </c>
      <c r="B378" s="2" t="str">
        <f>VLOOKUP(A378,Table3[#All],2,FALSE)</f>
        <v>Deepa</v>
      </c>
      <c r="C378" s="2" t="str">
        <f>VLOOKUP(A378,Table3[#All],3,FALSE)</f>
        <v>IT</v>
      </c>
      <c r="D378" s="2">
        <f>VLOOKUP(A378,Table3[#All],4,FALSE)</f>
        <v>36</v>
      </c>
      <c r="E378" s="2" t="str">
        <f>VLOOKUP(A378,Table3[#All],5,FALSE)</f>
        <v>Male</v>
      </c>
      <c r="F378" s="2">
        <f>VLOOKUP(A378,Table3[#All],6,FALSE)</f>
        <v>14</v>
      </c>
      <c r="G378" s="2">
        <f>VLOOKUP(A378,Table3[#All],7,FALSE)</f>
        <v>44631</v>
      </c>
      <c r="H378" s="2">
        <f>VLOOKUP(A378,Table3[#All],8,FALSE)</f>
        <v>8</v>
      </c>
      <c r="I378" s="2">
        <f>VLOOKUP(A378,Table3[#All],9,FALSE)</f>
        <v>35</v>
      </c>
      <c r="J378" s="2">
        <f>VLOOKUP(A378,Table3[#All],10,FALSE)</f>
        <v>2</v>
      </c>
      <c r="K378" s="2">
        <f>VLOOKUP(A378,Table3[#All],11,FALSE)</f>
        <v>87</v>
      </c>
      <c r="L378" s="2" t="str">
        <f>VLOOKUP(A378,Table3[#All],12,FALSE)</f>
        <v>Pune</v>
      </c>
      <c r="M378" s="2" t="str">
        <f t="shared" si="5"/>
        <v>Not Eligible</v>
      </c>
    </row>
    <row r="379" spans="1:13" x14ac:dyDescent="0.25">
      <c r="A379" s="5" t="s">
        <v>260</v>
      </c>
      <c r="B379" s="2" t="str">
        <f>VLOOKUP(A379,Table3[#All],2,FALSE)</f>
        <v>Rekha</v>
      </c>
      <c r="C379" s="2" t="str">
        <f>VLOOKUP(A379,Table3[#All],3,FALSE)</f>
        <v>HR</v>
      </c>
      <c r="D379" s="2">
        <f>VLOOKUP(A379,Table3[#All],4,FALSE)</f>
        <v>33</v>
      </c>
      <c r="E379" s="2" t="str">
        <f>VLOOKUP(A379,Table3[#All],5,FALSE)</f>
        <v>Female</v>
      </c>
      <c r="F379" s="2">
        <f>VLOOKUP(A379,Table3[#All],6,FALSE)</f>
        <v>6</v>
      </c>
      <c r="G379" s="2">
        <f>VLOOKUP(A379,Table3[#All],7,FALSE)</f>
        <v>44763</v>
      </c>
      <c r="H379" s="2">
        <f>VLOOKUP(A379,Table3[#All],8,FALSE)</f>
        <v>15</v>
      </c>
      <c r="I379" s="2">
        <f>VLOOKUP(A379,Table3[#All],9,FALSE)</f>
        <v>37</v>
      </c>
      <c r="J379" s="2">
        <f>VLOOKUP(A379,Table3[#All],10,FALSE)</f>
        <v>5</v>
      </c>
      <c r="K379" s="2">
        <f>VLOOKUP(A379,Table3[#All],11,FALSE)</f>
        <v>97</v>
      </c>
      <c r="L379" s="2" t="str">
        <f>VLOOKUP(A379,Table3[#All],12,FALSE)</f>
        <v>Mumbai</v>
      </c>
      <c r="M379" s="2" t="str">
        <f t="shared" si="5"/>
        <v>Eligible</v>
      </c>
    </row>
    <row r="380" spans="1:13" hidden="1" x14ac:dyDescent="0.25">
      <c r="A380" s="5" t="s">
        <v>422</v>
      </c>
      <c r="B380" s="2" t="str">
        <f>VLOOKUP(A380,Table3[#All],2,FALSE)</f>
        <v>Manoj</v>
      </c>
      <c r="C380" s="2" t="str">
        <f>VLOOKUP(A380,Table3[#All],3,FALSE)</f>
        <v>Finance</v>
      </c>
      <c r="D380" s="2">
        <f>VLOOKUP(A380,Table3[#All],4,FALSE)</f>
        <v>37</v>
      </c>
      <c r="E380" s="2" t="str">
        <f>VLOOKUP(A380,Table3[#All],5,FALSE)</f>
        <v>Male</v>
      </c>
      <c r="F380" s="2">
        <f>VLOOKUP(A380,Table3[#All],6,FALSE)</f>
        <v>2</v>
      </c>
      <c r="G380" s="2">
        <f>VLOOKUP(A380,Table3[#All],7,FALSE)</f>
        <v>69879</v>
      </c>
      <c r="H380" s="2">
        <f>VLOOKUP(A380,Table3[#All],8,FALSE)</f>
        <v>4</v>
      </c>
      <c r="I380" s="2">
        <f>VLOOKUP(A380,Table3[#All],9,FALSE)</f>
        <v>36</v>
      </c>
      <c r="J380" s="2">
        <f>VLOOKUP(A380,Table3[#All],10,FALSE)</f>
        <v>1</v>
      </c>
      <c r="K380" s="2">
        <f>VLOOKUP(A380,Table3[#All],11,FALSE)</f>
        <v>96</v>
      </c>
      <c r="L380" s="2" t="str">
        <f>VLOOKUP(A380,Table3[#All],12,FALSE)</f>
        <v>Hyderabad</v>
      </c>
      <c r="M380" s="2" t="str">
        <f t="shared" si="5"/>
        <v>Eligible</v>
      </c>
    </row>
    <row r="381" spans="1:13" hidden="1" x14ac:dyDescent="0.25">
      <c r="A381" s="6" t="s">
        <v>423</v>
      </c>
      <c r="B381" s="2" t="str">
        <f>VLOOKUP(A381,Table3[#All],2,FALSE)</f>
        <v>Sneha</v>
      </c>
      <c r="C381" s="2" t="str">
        <f>VLOOKUP(A381,Table3[#All],3,FALSE)</f>
        <v>Sales</v>
      </c>
      <c r="D381" s="2">
        <f>VLOOKUP(A381,Table3[#All],4,FALSE)</f>
        <v>37</v>
      </c>
      <c r="E381" s="2" t="str">
        <f>VLOOKUP(A381,Table3[#All],5,FALSE)</f>
        <v>Female</v>
      </c>
      <c r="F381" s="2">
        <f>VLOOKUP(A381,Table3[#All],6,FALSE)</f>
        <v>3</v>
      </c>
      <c r="G381" s="2">
        <f>VLOOKUP(A381,Table3[#All],7,FALSE)</f>
        <v>39087</v>
      </c>
      <c r="H381" s="2">
        <f>VLOOKUP(A381,Table3[#All],8,FALSE)</f>
        <v>10</v>
      </c>
      <c r="I381" s="2">
        <f>VLOOKUP(A381,Table3[#All],9,FALSE)</f>
        <v>44</v>
      </c>
      <c r="J381" s="2">
        <f>VLOOKUP(A381,Table3[#All],10,FALSE)</f>
        <v>5</v>
      </c>
      <c r="K381" s="2">
        <f>VLOOKUP(A381,Table3[#All],11,FALSE)</f>
        <v>89</v>
      </c>
      <c r="L381" s="2" t="str">
        <f>VLOOKUP(A381,Table3[#All],12,FALSE)</f>
        <v>Mumbai</v>
      </c>
      <c r="M381" s="2" t="str">
        <f t="shared" si="5"/>
        <v>Not Eligible</v>
      </c>
    </row>
    <row r="382" spans="1:13" hidden="1" x14ac:dyDescent="0.25">
      <c r="A382" s="5" t="s">
        <v>264</v>
      </c>
      <c r="B382" s="2" t="str">
        <f>VLOOKUP(A382,Table3[#All],2,FALSE)</f>
        <v>Divya</v>
      </c>
      <c r="C382" s="2" t="str">
        <f>VLOOKUP(A382,Table3[#All],3,FALSE)</f>
        <v>HR</v>
      </c>
      <c r="D382" s="2">
        <f>VLOOKUP(A382,Table3[#All],4,FALSE)</f>
        <v>29</v>
      </c>
      <c r="E382" s="2" t="str">
        <f>VLOOKUP(A382,Table3[#All],5,FALSE)</f>
        <v>Male</v>
      </c>
      <c r="F382" s="2">
        <f>VLOOKUP(A382,Table3[#All],6,FALSE)</f>
        <v>10</v>
      </c>
      <c r="G382" s="2">
        <f>VLOOKUP(A382,Table3[#All],7,FALSE)</f>
        <v>44774</v>
      </c>
      <c r="H382" s="2">
        <f>VLOOKUP(A382,Table3[#All],8,FALSE)</f>
        <v>10</v>
      </c>
      <c r="I382" s="2">
        <f>VLOOKUP(A382,Table3[#All],9,FALSE)</f>
        <v>43</v>
      </c>
      <c r="J382" s="2">
        <f>VLOOKUP(A382,Table3[#All],10,FALSE)</f>
        <v>1</v>
      </c>
      <c r="K382" s="2">
        <f>VLOOKUP(A382,Table3[#All],11,FALSE)</f>
        <v>86</v>
      </c>
      <c r="L382" s="2" t="str">
        <f>VLOOKUP(A382,Table3[#All],12,FALSE)</f>
        <v>Mumbai</v>
      </c>
      <c r="M382" s="2" t="str">
        <f t="shared" si="5"/>
        <v>Not Eligible</v>
      </c>
    </row>
    <row r="383" spans="1:13" hidden="1" x14ac:dyDescent="0.25">
      <c r="A383" s="6" t="s">
        <v>625</v>
      </c>
      <c r="B383" s="2" t="str">
        <f>VLOOKUP(A383,Table3[#All],2,FALSE)</f>
        <v>Lakshmi</v>
      </c>
      <c r="C383" s="2" t="str">
        <f>VLOOKUP(A383,Table3[#All],3,FALSE)</f>
        <v>IT</v>
      </c>
      <c r="D383" s="2">
        <f>VLOOKUP(A383,Table3[#All],4,FALSE)</f>
        <v>24</v>
      </c>
      <c r="E383" s="2" t="str">
        <f>VLOOKUP(A383,Table3[#All],5,FALSE)</f>
        <v>Male</v>
      </c>
      <c r="F383" s="2">
        <f>VLOOKUP(A383,Table3[#All],6,FALSE)</f>
        <v>14</v>
      </c>
      <c r="G383" s="2">
        <f>VLOOKUP(A383,Table3[#All],7,FALSE)</f>
        <v>44890</v>
      </c>
      <c r="H383" s="2">
        <f>VLOOKUP(A383,Table3[#All],8,FALSE)</f>
        <v>8</v>
      </c>
      <c r="I383" s="2">
        <f>VLOOKUP(A383,Table3[#All],9,FALSE)</f>
        <v>47</v>
      </c>
      <c r="J383" s="2">
        <f>VLOOKUP(A383,Table3[#All],10,FALSE)</f>
        <v>3</v>
      </c>
      <c r="K383" s="2">
        <f>VLOOKUP(A383,Table3[#All],11,FALSE)</f>
        <v>93</v>
      </c>
      <c r="L383" s="2" t="str">
        <f>VLOOKUP(A383,Table3[#All],12,FALSE)</f>
        <v>Hyderabad</v>
      </c>
      <c r="M383" s="2" t="str">
        <f t="shared" si="5"/>
        <v>Not Eligible</v>
      </c>
    </row>
    <row r="384" spans="1:13" hidden="1" x14ac:dyDescent="0.25">
      <c r="A384" s="6" t="s">
        <v>971</v>
      </c>
      <c r="B384" s="2" t="str">
        <f>VLOOKUP(A384,Table3[#All],2,FALSE)</f>
        <v>Meena</v>
      </c>
      <c r="C384" s="2" t="str">
        <f>VLOOKUP(A384,Table3[#All],3,FALSE)</f>
        <v>IT</v>
      </c>
      <c r="D384" s="2">
        <f>VLOOKUP(A384,Table3[#All],4,FALSE)</f>
        <v>33</v>
      </c>
      <c r="E384" s="2" t="str">
        <f>VLOOKUP(A384,Table3[#All],5,FALSE)</f>
        <v>Male</v>
      </c>
      <c r="F384" s="2">
        <f>VLOOKUP(A384,Table3[#All],6,FALSE)</f>
        <v>9</v>
      </c>
      <c r="G384" s="2">
        <f>VLOOKUP(A384,Table3[#All],7,FALSE)</f>
        <v>44916</v>
      </c>
      <c r="H384" s="2">
        <f>VLOOKUP(A384,Table3[#All],8,FALSE)</f>
        <v>6</v>
      </c>
      <c r="I384" s="2">
        <f>VLOOKUP(A384,Table3[#All],9,FALSE)</f>
        <v>39</v>
      </c>
      <c r="J384" s="2">
        <f>VLOOKUP(A384,Table3[#All],10,FALSE)</f>
        <v>5</v>
      </c>
      <c r="K384" s="2">
        <f>VLOOKUP(A384,Table3[#All],11,FALSE)</f>
        <v>94</v>
      </c>
      <c r="L384" s="2" t="str">
        <f>VLOOKUP(A384,Table3[#All],12,FALSE)</f>
        <v>Chennai</v>
      </c>
      <c r="M384" s="2" t="str">
        <f t="shared" si="5"/>
        <v>Not Eligible</v>
      </c>
    </row>
    <row r="385" spans="1:13" hidden="1" x14ac:dyDescent="0.25">
      <c r="A385" s="6" t="s">
        <v>765</v>
      </c>
      <c r="B385" s="2" t="str">
        <f>VLOOKUP(A385,Table3[#All],2,FALSE)</f>
        <v>Karthik</v>
      </c>
      <c r="C385" s="2" t="str">
        <f>VLOOKUP(A385,Table3[#All],3,FALSE)</f>
        <v>IT</v>
      </c>
      <c r="D385" s="2">
        <f>VLOOKUP(A385,Table3[#All],4,FALSE)</f>
        <v>35</v>
      </c>
      <c r="E385" s="2" t="str">
        <f>VLOOKUP(A385,Table3[#All],5,FALSE)</f>
        <v>Male</v>
      </c>
      <c r="F385" s="2">
        <f>VLOOKUP(A385,Table3[#All],6,FALSE)</f>
        <v>7</v>
      </c>
      <c r="G385" s="2">
        <f>VLOOKUP(A385,Table3[#All],7,FALSE)</f>
        <v>45134</v>
      </c>
      <c r="H385" s="2">
        <f>VLOOKUP(A385,Table3[#All],8,FALSE)</f>
        <v>10</v>
      </c>
      <c r="I385" s="2">
        <f>VLOOKUP(A385,Table3[#All],9,FALSE)</f>
        <v>42</v>
      </c>
      <c r="J385" s="2">
        <f>VLOOKUP(A385,Table3[#All],10,FALSE)</f>
        <v>4</v>
      </c>
      <c r="K385" s="2">
        <f>VLOOKUP(A385,Table3[#All],11,FALSE)</f>
        <v>86</v>
      </c>
      <c r="L385" s="2" t="str">
        <f>VLOOKUP(A385,Table3[#All],12,FALSE)</f>
        <v>Chennai</v>
      </c>
      <c r="M385" s="2" t="str">
        <f t="shared" si="5"/>
        <v>Not Eligible</v>
      </c>
    </row>
    <row r="386" spans="1:13" hidden="1" x14ac:dyDescent="0.25">
      <c r="A386" s="6" t="s">
        <v>651</v>
      </c>
      <c r="B386" s="2" t="str">
        <f>VLOOKUP(A386,Table3[#All],2,FALSE)</f>
        <v>Sanjay</v>
      </c>
      <c r="C386" s="2" t="str">
        <f>VLOOKUP(A386,Table3[#All],3,FALSE)</f>
        <v>HR</v>
      </c>
      <c r="D386" s="2">
        <f>VLOOKUP(A386,Table3[#All],4,FALSE)</f>
        <v>26</v>
      </c>
      <c r="E386" s="2" t="str">
        <f>VLOOKUP(A386,Table3[#All],5,FALSE)</f>
        <v>Female</v>
      </c>
      <c r="F386" s="2">
        <f>VLOOKUP(A386,Table3[#All],6,FALSE)</f>
        <v>8</v>
      </c>
      <c r="G386" s="2">
        <f>VLOOKUP(A386,Table3[#All],7,FALSE)</f>
        <v>45247</v>
      </c>
      <c r="H386" s="2">
        <f>VLOOKUP(A386,Table3[#All],8,FALSE)</f>
        <v>15</v>
      </c>
      <c r="I386" s="2">
        <f>VLOOKUP(A386,Table3[#All],9,FALSE)</f>
        <v>35</v>
      </c>
      <c r="J386" s="2">
        <f>VLOOKUP(A386,Table3[#All],10,FALSE)</f>
        <v>1</v>
      </c>
      <c r="K386" s="2">
        <f>VLOOKUP(A386,Table3[#All],11,FALSE)</f>
        <v>90</v>
      </c>
      <c r="L386" s="2" t="str">
        <f>VLOOKUP(A386,Table3[#All],12,FALSE)</f>
        <v>Delhi</v>
      </c>
      <c r="M386" s="2" t="str">
        <f t="shared" ref="M386:M449" si="6">IF(K386&gt;=95,"Eligible","Not Eligible")</f>
        <v>Not Eligible</v>
      </c>
    </row>
    <row r="387" spans="1:13" hidden="1" x14ac:dyDescent="0.25">
      <c r="A387" s="5" t="s">
        <v>824</v>
      </c>
      <c r="B387" s="2" t="str">
        <f>VLOOKUP(A387,Table3[#All],2,FALSE)</f>
        <v>Karthik</v>
      </c>
      <c r="C387" s="2" t="str">
        <f>VLOOKUP(A387,Table3[#All],3,FALSE)</f>
        <v>Finance</v>
      </c>
      <c r="D387" s="2">
        <f>VLOOKUP(A387,Table3[#All],4,FALSE)</f>
        <v>36</v>
      </c>
      <c r="E387" s="2" t="str">
        <f>VLOOKUP(A387,Table3[#All],5,FALSE)</f>
        <v>Male</v>
      </c>
      <c r="F387" s="2">
        <f>VLOOKUP(A387,Table3[#All],6,FALSE)</f>
        <v>10</v>
      </c>
      <c r="G387" s="2">
        <f>VLOOKUP(A387,Table3[#All],7,FALSE)</f>
        <v>45329</v>
      </c>
      <c r="H387" s="2">
        <f>VLOOKUP(A387,Table3[#All],8,FALSE)</f>
        <v>10</v>
      </c>
      <c r="I387" s="2">
        <f>VLOOKUP(A387,Table3[#All],9,FALSE)</f>
        <v>45</v>
      </c>
      <c r="J387" s="2">
        <f>VLOOKUP(A387,Table3[#All],10,FALSE)</f>
        <v>5</v>
      </c>
      <c r="K387" s="2">
        <f>VLOOKUP(A387,Table3[#All],11,FALSE)</f>
        <v>88</v>
      </c>
      <c r="L387" s="2" t="str">
        <f>VLOOKUP(A387,Table3[#All],12,FALSE)</f>
        <v>Delhi</v>
      </c>
      <c r="M387" s="2" t="str">
        <f t="shared" si="6"/>
        <v>Not Eligible</v>
      </c>
    </row>
    <row r="388" spans="1:13" x14ac:dyDescent="0.25">
      <c r="A388" s="5" t="s">
        <v>958</v>
      </c>
      <c r="B388" s="2" t="str">
        <f>VLOOKUP(A388,Table3[#All],2,FALSE)</f>
        <v>Manoj</v>
      </c>
      <c r="C388" s="2" t="str">
        <f>VLOOKUP(A388,Table3[#All],3,FALSE)</f>
        <v>Finance</v>
      </c>
      <c r="D388" s="2">
        <f>VLOOKUP(A388,Table3[#All],4,FALSE)</f>
        <v>26</v>
      </c>
      <c r="E388" s="2" t="str">
        <f>VLOOKUP(A388,Table3[#All],5,FALSE)</f>
        <v>Female</v>
      </c>
      <c r="F388" s="2">
        <f>VLOOKUP(A388,Table3[#All],6,FALSE)</f>
        <v>10</v>
      </c>
      <c r="G388" s="2">
        <f>VLOOKUP(A388,Table3[#All],7,FALSE)</f>
        <v>45333</v>
      </c>
      <c r="H388" s="2">
        <f>VLOOKUP(A388,Table3[#All],8,FALSE)</f>
        <v>12</v>
      </c>
      <c r="I388" s="2">
        <f>VLOOKUP(A388,Table3[#All],9,FALSE)</f>
        <v>43</v>
      </c>
      <c r="J388" s="2">
        <f>VLOOKUP(A388,Table3[#All],10,FALSE)</f>
        <v>3</v>
      </c>
      <c r="K388" s="2">
        <f>VLOOKUP(A388,Table3[#All],11,FALSE)</f>
        <v>93</v>
      </c>
      <c r="L388" s="2" t="str">
        <f>VLOOKUP(A388,Table3[#All],12,FALSE)</f>
        <v>Bangalore</v>
      </c>
      <c r="M388" s="2" t="str">
        <f t="shared" si="6"/>
        <v>Not Eligible</v>
      </c>
    </row>
    <row r="389" spans="1:13" x14ac:dyDescent="0.25">
      <c r="A389" s="5" t="s">
        <v>932</v>
      </c>
      <c r="B389" s="2" t="str">
        <f>VLOOKUP(A389,Table3[#All],2,FALSE)</f>
        <v>Vijay</v>
      </c>
      <c r="C389" s="2" t="str">
        <f>VLOOKUP(A389,Table3[#All],3,FALSE)</f>
        <v>Finance</v>
      </c>
      <c r="D389" s="2">
        <f>VLOOKUP(A389,Table3[#All],4,FALSE)</f>
        <v>36</v>
      </c>
      <c r="E389" s="2" t="str">
        <f>VLOOKUP(A389,Table3[#All],5,FALSE)</f>
        <v>Male</v>
      </c>
      <c r="F389" s="2">
        <f>VLOOKUP(A389,Table3[#All],6,FALSE)</f>
        <v>14</v>
      </c>
      <c r="G389" s="2">
        <f>VLOOKUP(A389,Table3[#All],7,FALSE)</f>
        <v>45459</v>
      </c>
      <c r="H389" s="2">
        <f>VLOOKUP(A389,Table3[#All],8,FALSE)</f>
        <v>11</v>
      </c>
      <c r="I389" s="2">
        <f>VLOOKUP(A389,Table3[#All],9,FALSE)</f>
        <v>41</v>
      </c>
      <c r="J389" s="2">
        <f>VLOOKUP(A389,Table3[#All],10,FALSE)</f>
        <v>5</v>
      </c>
      <c r="K389" s="2">
        <f>VLOOKUP(A389,Table3[#All],11,FALSE)</f>
        <v>98</v>
      </c>
      <c r="L389" s="2" t="str">
        <f>VLOOKUP(A389,Table3[#All],12,FALSE)</f>
        <v>Hyderabad</v>
      </c>
      <c r="M389" s="2" t="str">
        <f t="shared" si="6"/>
        <v>Eligible</v>
      </c>
    </row>
    <row r="390" spans="1:13" hidden="1" x14ac:dyDescent="0.25">
      <c r="A390" s="5" t="s">
        <v>292</v>
      </c>
      <c r="B390" s="2" t="str">
        <f>VLOOKUP(A390,Table3[#All],2,FALSE)</f>
        <v>Meena</v>
      </c>
      <c r="C390" s="2" t="str">
        <f>VLOOKUP(A390,Table3[#All],3,FALSE)</f>
        <v>Finance</v>
      </c>
      <c r="D390" s="2">
        <f>VLOOKUP(A390,Table3[#All],4,FALSE)</f>
        <v>27</v>
      </c>
      <c r="E390" s="2" t="str">
        <f>VLOOKUP(A390,Table3[#All],5,FALSE)</f>
        <v>Male</v>
      </c>
      <c r="F390" s="2">
        <f>VLOOKUP(A390,Table3[#All],6,FALSE)</f>
        <v>5</v>
      </c>
      <c r="G390" s="2">
        <f>VLOOKUP(A390,Table3[#All],7,FALSE)</f>
        <v>45508</v>
      </c>
      <c r="H390" s="2">
        <f>VLOOKUP(A390,Table3[#All],8,FALSE)</f>
        <v>9</v>
      </c>
      <c r="I390" s="2">
        <f>VLOOKUP(A390,Table3[#All],9,FALSE)</f>
        <v>41</v>
      </c>
      <c r="J390" s="2">
        <f>VLOOKUP(A390,Table3[#All],10,FALSE)</f>
        <v>1</v>
      </c>
      <c r="K390" s="2">
        <f>VLOOKUP(A390,Table3[#All],11,FALSE)</f>
        <v>91</v>
      </c>
      <c r="L390" s="2" t="str">
        <f>VLOOKUP(A390,Table3[#All],12,FALSE)</f>
        <v>Delhi</v>
      </c>
      <c r="M390" s="2" t="str">
        <f t="shared" si="6"/>
        <v>Not Eligible</v>
      </c>
    </row>
    <row r="391" spans="1:13" hidden="1" x14ac:dyDescent="0.25">
      <c r="A391" s="5" t="s">
        <v>388</v>
      </c>
      <c r="B391" s="2" t="str">
        <f>VLOOKUP(A391,Table3[#All],2,FALSE)</f>
        <v>Hari</v>
      </c>
      <c r="C391" s="2" t="str">
        <f>VLOOKUP(A391,Table3[#All],3,FALSE)</f>
        <v>Finance</v>
      </c>
      <c r="D391" s="2">
        <f>VLOOKUP(A391,Table3[#All],4,FALSE)</f>
        <v>27</v>
      </c>
      <c r="E391" s="2" t="str">
        <f>VLOOKUP(A391,Table3[#All],5,FALSE)</f>
        <v>Female</v>
      </c>
      <c r="F391" s="2">
        <f>VLOOKUP(A391,Table3[#All],6,FALSE)</f>
        <v>9</v>
      </c>
      <c r="G391" s="2">
        <f>VLOOKUP(A391,Table3[#All],7,FALSE)</f>
        <v>45524</v>
      </c>
      <c r="H391" s="2">
        <f>VLOOKUP(A391,Table3[#All],8,FALSE)</f>
        <v>9</v>
      </c>
      <c r="I391" s="2">
        <f>VLOOKUP(A391,Table3[#All],9,FALSE)</f>
        <v>36</v>
      </c>
      <c r="J391" s="2">
        <f>VLOOKUP(A391,Table3[#All],10,FALSE)</f>
        <v>2</v>
      </c>
      <c r="K391" s="2">
        <f>VLOOKUP(A391,Table3[#All],11,FALSE)</f>
        <v>89</v>
      </c>
      <c r="L391" s="2" t="str">
        <f>VLOOKUP(A391,Table3[#All],12,FALSE)</f>
        <v>Chennai</v>
      </c>
      <c r="M391" s="2" t="str">
        <f t="shared" si="6"/>
        <v>Not Eligible</v>
      </c>
    </row>
    <row r="392" spans="1:13" hidden="1" x14ac:dyDescent="0.25">
      <c r="A392" s="5" t="s">
        <v>434</v>
      </c>
      <c r="B392" s="2" t="str">
        <f>VLOOKUP(A392,Table3[#All],2,FALSE)</f>
        <v>Kavya</v>
      </c>
      <c r="C392" s="2" t="str">
        <f>VLOOKUP(A392,Table3[#All],3,FALSE)</f>
        <v>Finance</v>
      </c>
      <c r="D392" s="2">
        <f>VLOOKUP(A392,Table3[#All],4,FALSE)</f>
        <v>39</v>
      </c>
      <c r="E392" s="2" t="str">
        <f>VLOOKUP(A392,Table3[#All],5,FALSE)</f>
        <v>Male</v>
      </c>
      <c r="F392" s="2">
        <f>VLOOKUP(A392,Table3[#All],6,FALSE)</f>
        <v>2</v>
      </c>
      <c r="G392" s="2">
        <f>VLOOKUP(A392,Table3[#All],7,FALSE)</f>
        <v>72928</v>
      </c>
      <c r="H392" s="2">
        <f>VLOOKUP(A392,Table3[#All],8,FALSE)</f>
        <v>9</v>
      </c>
      <c r="I392" s="2">
        <f>VLOOKUP(A392,Table3[#All],9,FALSE)</f>
        <v>44</v>
      </c>
      <c r="J392" s="2">
        <f>VLOOKUP(A392,Table3[#All],10,FALSE)</f>
        <v>5</v>
      </c>
      <c r="K392" s="2">
        <f>VLOOKUP(A392,Table3[#All],11,FALSE)</f>
        <v>99</v>
      </c>
      <c r="L392" s="2" t="str">
        <f>VLOOKUP(A392,Table3[#All],12,FALSE)</f>
        <v>Pune</v>
      </c>
      <c r="M392" s="2" t="str">
        <f t="shared" si="6"/>
        <v>Eligible</v>
      </c>
    </row>
    <row r="393" spans="1:13" hidden="1" x14ac:dyDescent="0.25">
      <c r="A393" s="6" t="s">
        <v>435</v>
      </c>
      <c r="B393" s="2" t="str">
        <f>VLOOKUP(A393,Table3[#All],2,FALSE)</f>
        <v>Divya</v>
      </c>
      <c r="C393" s="2" t="str">
        <f>VLOOKUP(A393,Table3[#All],3,FALSE)</f>
        <v>Finance</v>
      </c>
      <c r="D393" s="2">
        <f>VLOOKUP(A393,Table3[#All],4,FALSE)</f>
        <v>39</v>
      </c>
      <c r="E393" s="2" t="str">
        <f>VLOOKUP(A393,Table3[#All],5,FALSE)</f>
        <v>Male</v>
      </c>
      <c r="F393" s="2">
        <f>VLOOKUP(A393,Table3[#All],6,FALSE)</f>
        <v>2</v>
      </c>
      <c r="G393" s="2">
        <f>VLOOKUP(A393,Table3[#All],7,FALSE)</f>
        <v>66607</v>
      </c>
      <c r="H393" s="2">
        <f>VLOOKUP(A393,Table3[#All],8,FALSE)</f>
        <v>11</v>
      </c>
      <c r="I393" s="2">
        <f>VLOOKUP(A393,Table3[#All],9,FALSE)</f>
        <v>48</v>
      </c>
      <c r="J393" s="2">
        <f>VLOOKUP(A393,Table3[#All],10,FALSE)</f>
        <v>1</v>
      </c>
      <c r="K393" s="2">
        <f>VLOOKUP(A393,Table3[#All],11,FALSE)</f>
        <v>96</v>
      </c>
      <c r="L393" s="2" t="str">
        <f>VLOOKUP(A393,Table3[#All],12,FALSE)</f>
        <v>Bangalore</v>
      </c>
      <c r="M393" s="2" t="str">
        <f t="shared" si="6"/>
        <v>Eligible</v>
      </c>
    </row>
    <row r="394" spans="1:13" hidden="1" x14ac:dyDescent="0.25">
      <c r="A394" s="6" t="s">
        <v>259</v>
      </c>
      <c r="B394" s="2" t="str">
        <f>VLOOKUP(A394,Table3[#All],2,FALSE)</f>
        <v>Nisha</v>
      </c>
      <c r="C394" s="2" t="str">
        <f>VLOOKUP(A394,Table3[#All],3,FALSE)</f>
        <v>IT</v>
      </c>
      <c r="D394" s="2">
        <f>VLOOKUP(A394,Table3[#All],4,FALSE)</f>
        <v>28</v>
      </c>
      <c r="E394" s="2" t="str">
        <f>VLOOKUP(A394,Table3[#All],5,FALSE)</f>
        <v>Female</v>
      </c>
      <c r="F394" s="2">
        <f>VLOOKUP(A394,Table3[#All],6,FALSE)</f>
        <v>8</v>
      </c>
      <c r="G394" s="2">
        <f>VLOOKUP(A394,Table3[#All],7,FALSE)</f>
        <v>45589</v>
      </c>
      <c r="H394" s="2">
        <f>VLOOKUP(A394,Table3[#All],8,FALSE)</f>
        <v>8</v>
      </c>
      <c r="I394" s="2">
        <f>VLOOKUP(A394,Table3[#All],9,FALSE)</f>
        <v>43</v>
      </c>
      <c r="J394" s="2">
        <f>VLOOKUP(A394,Table3[#All],10,FALSE)</f>
        <v>4</v>
      </c>
      <c r="K394" s="2">
        <f>VLOOKUP(A394,Table3[#All],11,FALSE)</f>
        <v>94</v>
      </c>
      <c r="L394" s="2" t="str">
        <f>VLOOKUP(A394,Table3[#All],12,FALSE)</f>
        <v>Delhi</v>
      </c>
      <c r="M394" s="2" t="str">
        <f t="shared" si="6"/>
        <v>Not Eligible</v>
      </c>
    </row>
    <row r="395" spans="1:13" hidden="1" x14ac:dyDescent="0.25">
      <c r="A395" s="6" t="s">
        <v>437</v>
      </c>
      <c r="B395" s="2" t="str">
        <f>VLOOKUP(A395,Table3[#All],2,FALSE)</f>
        <v>Ravi</v>
      </c>
      <c r="C395" s="2" t="str">
        <f>VLOOKUP(A395,Table3[#All],3,FALSE)</f>
        <v>Sales</v>
      </c>
      <c r="D395" s="2">
        <f>VLOOKUP(A395,Table3[#All],4,FALSE)</f>
        <v>26</v>
      </c>
      <c r="E395" s="2" t="str">
        <f>VLOOKUP(A395,Table3[#All],5,FALSE)</f>
        <v>Male</v>
      </c>
      <c r="F395" s="2">
        <f>VLOOKUP(A395,Table3[#All],6,FALSE)</f>
        <v>4</v>
      </c>
      <c r="G395" s="2">
        <f>VLOOKUP(A395,Table3[#All],7,FALSE)</f>
        <v>76658</v>
      </c>
      <c r="H395" s="2">
        <f>VLOOKUP(A395,Table3[#All],8,FALSE)</f>
        <v>8</v>
      </c>
      <c r="I395" s="2">
        <f>VLOOKUP(A395,Table3[#All],9,FALSE)</f>
        <v>47</v>
      </c>
      <c r="J395" s="2">
        <f>VLOOKUP(A395,Table3[#All],10,FALSE)</f>
        <v>4</v>
      </c>
      <c r="K395" s="2">
        <f>VLOOKUP(A395,Table3[#All],11,FALSE)</f>
        <v>93</v>
      </c>
      <c r="L395" s="2" t="str">
        <f>VLOOKUP(A395,Table3[#All],12,FALSE)</f>
        <v>Delhi</v>
      </c>
      <c r="M395" s="2" t="str">
        <f t="shared" si="6"/>
        <v>Not Eligible</v>
      </c>
    </row>
    <row r="396" spans="1:13" hidden="1" x14ac:dyDescent="0.25">
      <c r="A396" s="5" t="s">
        <v>438</v>
      </c>
      <c r="B396" s="2" t="str">
        <f>VLOOKUP(A396,Table3[#All],2,FALSE)</f>
        <v>Ajay</v>
      </c>
      <c r="C396" s="2" t="str">
        <f>VLOOKUP(A396,Table3[#All],3,FALSE)</f>
        <v>Sales</v>
      </c>
      <c r="D396" s="2">
        <f>VLOOKUP(A396,Table3[#All],4,FALSE)</f>
        <v>22</v>
      </c>
      <c r="E396" s="2" t="str">
        <f>VLOOKUP(A396,Table3[#All],5,FALSE)</f>
        <v>Male</v>
      </c>
      <c r="F396" s="2">
        <f>VLOOKUP(A396,Table3[#All],6,FALSE)</f>
        <v>2</v>
      </c>
      <c r="G396" s="2">
        <f>VLOOKUP(A396,Table3[#All],7,FALSE)</f>
        <v>31673</v>
      </c>
      <c r="H396" s="2">
        <f>VLOOKUP(A396,Table3[#All],8,FALSE)</f>
        <v>8</v>
      </c>
      <c r="I396" s="2">
        <f>VLOOKUP(A396,Table3[#All],9,FALSE)</f>
        <v>35</v>
      </c>
      <c r="J396" s="2">
        <f>VLOOKUP(A396,Table3[#All],10,FALSE)</f>
        <v>3</v>
      </c>
      <c r="K396" s="2">
        <f>VLOOKUP(A396,Table3[#All],11,FALSE)</f>
        <v>94</v>
      </c>
      <c r="L396" s="2" t="str">
        <f>VLOOKUP(A396,Table3[#All],12,FALSE)</f>
        <v>Chennai</v>
      </c>
      <c r="M396" s="2" t="str">
        <f t="shared" si="6"/>
        <v>Not Eligible</v>
      </c>
    </row>
    <row r="397" spans="1:13" x14ac:dyDescent="0.25">
      <c r="A397" s="6" t="s">
        <v>247</v>
      </c>
      <c r="B397" s="2" t="str">
        <f>VLOOKUP(A397,Table3[#All],2,FALSE)</f>
        <v>Anitha</v>
      </c>
      <c r="C397" s="2" t="str">
        <f>VLOOKUP(A397,Table3[#All],3,FALSE)</f>
        <v>Finance</v>
      </c>
      <c r="D397" s="2">
        <f>VLOOKUP(A397,Table3[#All],4,FALSE)</f>
        <v>27</v>
      </c>
      <c r="E397" s="2" t="str">
        <f>VLOOKUP(A397,Table3[#All],5,FALSE)</f>
        <v>Female</v>
      </c>
      <c r="F397" s="2">
        <f>VLOOKUP(A397,Table3[#All],6,FALSE)</f>
        <v>5</v>
      </c>
      <c r="G397" s="2">
        <f>VLOOKUP(A397,Table3[#All],7,FALSE)</f>
        <v>45604</v>
      </c>
      <c r="H397" s="2">
        <f>VLOOKUP(A397,Table3[#All],8,FALSE)</f>
        <v>13</v>
      </c>
      <c r="I397" s="2">
        <f>VLOOKUP(A397,Table3[#All],9,FALSE)</f>
        <v>43</v>
      </c>
      <c r="J397" s="2">
        <f>VLOOKUP(A397,Table3[#All],10,FALSE)</f>
        <v>3</v>
      </c>
      <c r="K397" s="2">
        <f>VLOOKUP(A397,Table3[#All],11,FALSE)</f>
        <v>97</v>
      </c>
      <c r="L397" s="2" t="str">
        <f>VLOOKUP(A397,Table3[#All],12,FALSE)</f>
        <v>Pune</v>
      </c>
      <c r="M397" s="2" t="str">
        <f t="shared" si="6"/>
        <v>Eligible</v>
      </c>
    </row>
    <row r="398" spans="1:13" hidden="1" x14ac:dyDescent="0.25">
      <c r="A398" s="6" t="s">
        <v>46</v>
      </c>
      <c r="B398" s="2" t="str">
        <f>VLOOKUP(A398,Table3[#All],2,FALSE)</f>
        <v>Kavya</v>
      </c>
      <c r="C398" s="2" t="str">
        <f>VLOOKUP(A398,Table3[#All],3,FALSE)</f>
        <v>HR</v>
      </c>
      <c r="D398" s="2">
        <f>VLOOKUP(A398,Table3[#All],4,FALSE)</f>
        <v>32</v>
      </c>
      <c r="E398" s="2" t="str">
        <f>VLOOKUP(A398,Table3[#All],5,FALSE)</f>
        <v>Male</v>
      </c>
      <c r="F398" s="2">
        <f>VLOOKUP(A398,Table3[#All],6,FALSE)</f>
        <v>7</v>
      </c>
      <c r="G398" s="2">
        <f>VLOOKUP(A398,Table3[#All],7,FALSE)</f>
        <v>45630</v>
      </c>
      <c r="H398" s="2">
        <f>VLOOKUP(A398,Table3[#All],8,FALSE)</f>
        <v>13</v>
      </c>
      <c r="I398" s="2">
        <f>VLOOKUP(A398,Table3[#All],9,FALSE)</f>
        <v>49</v>
      </c>
      <c r="J398" s="2">
        <f>VLOOKUP(A398,Table3[#All],10,FALSE)</f>
        <v>5</v>
      </c>
      <c r="K398" s="2">
        <f>VLOOKUP(A398,Table3[#All],11,FALSE)</f>
        <v>90</v>
      </c>
      <c r="L398" s="2" t="str">
        <f>VLOOKUP(A398,Table3[#All],12,FALSE)</f>
        <v>Hyderabad</v>
      </c>
      <c r="M398" s="2" t="str">
        <f t="shared" si="6"/>
        <v>Not Eligible</v>
      </c>
    </row>
    <row r="399" spans="1:13" hidden="1" x14ac:dyDescent="0.25">
      <c r="A399" s="5" t="s">
        <v>414</v>
      </c>
      <c r="B399" s="2" t="str">
        <f>VLOOKUP(A399,Table3[#All],2,FALSE)</f>
        <v>Ramesh</v>
      </c>
      <c r="C399" s="2" t="str">
        <f>VLOOKUP(A399,Table3[#All],3,FALSE)</f>
        <v>HR</v>
      </c>
      <c r="D399" s="2">
        <f>VLOOKUP(A399,Table3[#All],4,FALSE)</f>
        <v>38</v>
      </c>
      <c r="E399" s="2" t="str">
        <f>VLOOKUP(A399,Table3[#All],5,FALSE)</f>
        <v>Male</v>
      </c>
      <c r="F399" s="2">
        <f>VLOOKUP(A399,Table3[#All],6,FALSE)</f>
        <v>14</v>
      </c>
      <c r="G399" s="2">
        <f>VLOOKUP(A399,Table3[#All],7,FALSE)</f>
        <v>45664</v>
      </c>
      <c r="H399" s="2">
        <f>VLOOKUP(A399,Table3[#All],8,FALSE)</f>
        <v>3</v>
      </c>
      <c r="I399" s="2">
        <f>VLOOKUP(A399,Table3[#All],9,FALSE)</f>
        <v>40</v>
      </c>
      <c r="J399" s="2">
        <f>VLOOKUP(A399,Table3[#All],10,FALSE)</f>
        <v>1</v>
      </c>
      <c r="K399" s="2">
        <f>VLOOKUP(A399,Table3[#All],11,FALSE)</f>
        <v>95</v>
      </c>
      <c r="L399" s="2" t="str">
        <f>VLOOKUP(A399,Table3[#All],12,FALSE)</f>
        <v>Pune</v>
      </c>
      <c r="M399" s="2" t="str">
        <f t="shared" si="6"/>
        <v>Eligible</v>
      </c>
    </row>
    <row r="400" spans="1:13" hidden="1" x14ac:dyDescent="0.25">
      <c r="A400" s="6" t="s">
        <v>667</v>
      </c>
      <c r="B400" s="2" t="str">
        <f>VLOOKUP(A400,Table3[#All],2,FALSE)</f>
        <v>Arun</v>
      </c>
      <c r="C400" s="2" t="str">
        <f>VLOOKUP(A400,Table3[#All],3,FALSE)</f>
        <v>IT</v>
      </c>
      <c r="D400" s="2">
        <f>VLOOKUP(A400,Table3[#All],4,FALSE)</f>
        <v>22</v>
      </c>
      <c r="E400" s="2" t="str">
        <f>VLOOKUP(A400,Table3[#All],5,FALSE)</f>
        <v>Male</v>
      </c>
      <c r="F400" s="2">
        <f>VLOOKUP(A400,Table3[#All],6,FALSE)</f>
        <v>6</v>
      </c>
      <c r="G400" s="2">
        <f>VLOOKUP(A400,Table3[#All],7,FALSE)</f>
        <v>45809</v>
      </c>
      <c r="H400" s="2">
        <f>VLOOKUP(A400,Table3[#All],8,FALSE)</f>
        <v>15</v>
      </c>
      <c r="I400" s="2">
        <f>VLOOKUP(A400,Table3[#All],9,FALSE)</f>
        <v>41</v>
      </c>
      <c r="J400" s="2">
        <f>VLOOKUP(A400,Table3[#All],10,FALSE)</f>
        <v>5</v>
      </c>
      <c r="K400" s="2">
        <f>VLOOKUP(A400,Table3[#All],11,FALSE)</f>
        <v>87</v>
      </c>
      <c r="L400" s="2" t="str">
        <f>VLOOKUP(A400,Table3[#All],12,FALSE)</f>
        <v>Delhi</v>
      </c>
      <c r="M400" s="2" t="str">
        <f t="shared" si="6"/>
        <v>Not Eligible</v>
      </c>
    </row>
    <row r="401" spans="1:13" hidden="1" x14ac:dyDescent="0.25">
      <c r="A401" s="6" t="s">
        <v>443</v>
      </c>
      <c r="B401" s="2" t="str">
        <f>VLOOKUP(A401,Table3[#All],2,FALSE)</f>
        <v>Deepa</v>
      </c>
      <c r="C401" s="2" t="str">
        <f>VLOOKUP(A401,Table3[#All],3,FALSE)</f>
        <v>IT</v>
      </c>
      <c r="D401" s="2">
        <f>VLOOKUP(A401,Table3[#All],4,FALSE)</f>
        <v>31</v>
      </c>
      <c r="E401" s="2" t="str">
        <f>VLOOKUP(A401,Table3[#All],5,FALSE)</f>
        <v>Female</v>
      </c>
      <c r="F401" s="2">
        <f>VLOOKUP(A401,Table3[#All],6,FALSE)</f>
        <v>2</v>
      </c>
      <c r="G401" s="2">
        <f>VLOOKUP(A401,Table3[#All],7,FALSE)</f>
        <v>78092</v>
      </c>
      <c r="H401" s="2">
        <f>VLOOKUP(A401,Table3[#All],8,FALSE)</f>
        <v>15</v>
      </c>
      <c r="I401" s="2">
        <f>VLOOKUP(A401,Table3[#All],9,FALSE)</f>
        <v>48</v>
      </c>
      <c r="J401" s="2">
        <f>VLOOKUP(A401,Table3[#All],10,FALSE)</f>
        <v>2</v>
      </c>
      <c r="K401" s="2">
        <f>VLOOKUP(A401,Table3[#All],11,FALSE)</f>
        <v>86</v>
      </c>
      <c r="L401" s="2" t="str">
        <f>VLOOKUP(A401,Table3[#All],12,FALSE)</f>
        <v>Mumbai</v>
      </c>
      <c r="M401" s="2" t="str">
        <f t="shared" si="6"/>
        <v>Not Eligible</v>
      </c>
    </row>
    <row r="402" spans="1:13" hidden="1" x14ac:dyDescent="0.25">
      <c r="A402" s="5" t="s">
        <v>156</v>
      </c>
      <c r="B402" s="2" t="str">
        <f>VLOOKUP(A402,Table3[#All],2,FALSE)</f>
        <v>Divya</v>
      </c>
      <c r="C402" s="2" t="str">
        <f>VLOOKUP(A402,Table3[#All],3,FALSE)</f>
        <v>Sales</v>
      </c>
      <c r="D402" s="2">
        <f>VLOOKUP(A402,Table3[#All],4,FALSE)</f>
        <v>27</v>
      </c>
      <c r="E402" s="2" t="str">
        <f>VLOOKUP(A402,Table3[#All],5,FALSE)</f>
        <v>Male</v>
      </c>
      <c r="F402" s="2">
        <f>VLOOKUP(A402,Table3[#All],6,FALSE)</f>
        <v>9</v>
      </c>
      <c r="G402" s="2">
        <f>VLOOKUP(A402,Table3[#All],7,FALSE)</f>
        <v>45828</v>
      </c>
      <c r="H402" s="2">
        <f>VLOOKUP(A402,Table3[#All],8,FALSE)</f>
        <v>9</v>
      </c>
      <c r="I402" s="2">
        <f>VLOOKUP(A402,Table3[#All],9,FALSE)</f>
        <v>47</v>
      </c>
      <c r="J402" s="2">
        <f>VLOOKUP(A402,Table3[#All],10,FALSE)</f>
        <v>4</v>
      </c>
      <c r="K402" s="2">
        <f>VLOOKUP(A402,Table3[#All],11,FALSE)</f>
        <v>89</v>
      </c>
      <c r="L402" s="2" t="str">
        <f>VLOOKUP(A402,Table3[#All],12,FALSE)</f>
        <v>Chennai</v>
      </c>
      <c r="M402" s="2" t="str">
        <f t="shared" si="6"/>
        <v>Not Eligible</v>
      </c>
    </row>
    <row r="403" spans="1:13" hidden="1" x14ac:dyDescent="0.25">
      <c r="A403" s="6" t="s">
        <v>1019</v>
      </c>
      <c r="B403" s="2" t="str">
        <f>VLOOKUP(A403,Table3[#All],2,FALSE)</f>
        <v>Manoj</v>
      </c>
      <c r="C403" s="2" t="str">
        <f>VLOOKUP(A403,Table3[#All],3,FALSE)</f>
        <v>IT</v>
      </c>
      <c r="D403" s="2">
        <f>VLOOKUP(A403,Table3[#All],4,FALSE)</f>
        <v>23</v>
      </c>
      <c r="E403" s="2" t="str">
        <f>VLOOKUP(A403,Table3[#All],5,FALSE)</f>
        <v>Male</v>
      </c>
      <c r="F403" s="2">
        <f>VLOOKUP(A403,Table3[#All],6,FALSE)</f>
        <v>8</v>
      </c>
      <c r="G403" s="2">
        <f>VLOOKUP(A403,Table3[#All],7,FALSE)</f>
        <v>45845</v>
      </c>
      <c r="H403" s="2">
        <f>VLOOKUP(A403,Table3[#All],8,FALSE)</f>
        <v>3</v>
      </c>
      <c r="I403" s="2">
        <f>VLOOKUP(A403,Table3[#All],9,FALSE)</f>
        <v>40</v>
      </c>
      <c r="J403" s="2">
        <f>VLOOKUP(A403,Table3[#All],10,FALSE)</f>
        <v>1</v>
      </c>
      <c r="K403" s="2">
        <f>VLOOKUP(A403,Table3[#All],11,FALSE)</f>
        <v>85</v>
      </c>
      <c r="L403" s="2" t="str">
        <f>VLOOKUP(A403,Table3[#All],12,FALSE)</f>
        <v>Bangalore</v>
      </c>
      <c r="M403" s="2" t="str">
        <f t="shared" si="6"/>
        <v>Not Eligible</v>
      </c>
    </row>
    <row r="404" spans="1:13" hidden="1" x14ac:dyDescent="0.25">
      <c r="A404" s="5" t="s">
        <v>446</v>
      </c>
      <c r="B404" s="2" t="str">
        <f>VLOOKUP(A404,Table3[#All],2,FALSE)</f>
        <v>Hari</v>
      </c>
      <c r="C404" s="2" t="str">
        <f>VLOOKUP(A404,Table3[#All],3,FALSE)</f>
        <v>Sales</v>
      </c>
      <c r="D404" s="2">
        <f>VLOOKUP(A404,Table3[#All],4,FALSE)</f>
        <v>25</v>
      </c>
      <c r="E404" s="2" t="str">
        <f>VLOOKUP(A404,Table3[#All],5,FALSE)</f>
        <v>Male</v>
      </c>
      <c r="F404" s="2">
        <f>VLOOKUP(A404,Table3[#All],6,FALSE)</f>
        <v>1</v>
      </c>
      <c r="G404" s="2">
        <f>VLOOKUP(A404,Table3[#All],7,FALSE)</f>
        <v>62920</v>
      </c>
      <c r="H404" s="2">
        <f>VLOOKUP(A404,Table3[#All],8,FALSE)</f>
        <v>3</v>
      </c>
      <c r="I404" s="2">
        <f>VLOOKUP(A404,Table3[#All],9,FALSE)</f>
        <v>49</v>
      </c>
      <c r="J404" s="2">
        <f>VLOOKUP(A404,Table3[#All],10,FALSE)</f>
        <v>4</v>
      </c>
      <c r="K404" s="2">
        <f>VLOOKUP(A404,Table3[#All],11,FALSE)</f>
        <v>85</v>
      </c>
      <c r="L404" s="2" t="str">
        <f>VLOOKUP(A404,Table3[#All],12,FALSE)</f>
        <v>Bangalore</v>
      </c>
      <c r="M404" s="2" t="str">
        <f t="shared" si="6"/>
        <v>Not Eligible</v>
      </c>
    </row>
    <row r="405" spans="1:13" hidden="1" x14ac:dyDescent="0.25">
      <c r="A405" s="6" t="s">
        <v>447</v>
      </c>
      <c r="B405" s="2" t="str">
        <f>VLOOKUP(A405,Table3[#All],2,FALSE)</f>
        <v>Suresh</v>
      </c>
      <c r="C405" s="2" t="str">
        <f>VLOOKUP(A405,Table3[#All],3,FALSE)</f>
        <v>Finance</v>
      </c>
      <c r="D405" s="2">
        <f>VLOOKUP(A405,Table3[#All],4,FALSE)</f>
        <v>32</v>
      </c>
      <c r="E405" s="2" t="str">
        <f>VLOOKUP(A405,Table3[#All],5,FALSE)</f>
        <v>Female</v>
      </c>
      <c r="F405" s="2">
        <f>VLOOKUP(A405,Table3[#All],6,FALSE)</f>
        <v>2</v>
      </c>
      <c r="G405" s="2">
        <f>VLOOKUP(A405,Table3[#All],7,FALSE)</f>
        <v>45317</v>
      </c>
      <c r="H405" s="2">
        <f>VLOOKUP(A405,Table3[#All],8,FALSE)</f>
        <v>6</v>
      </c>
      <c r="I405" s="2">
        <f>VLOOKUP(A405,Table3[#All],9,FALSE)</f>
        <v>37</v>
      </c>
      <c r="J405" s="2">
        <f>VLOOKUP(A405,Table3[#All],10,FALSE)</f>
        <v>1</v>
      </c>
      <c r="K405" s="2">
        <f>VLOOKUP(A405,Table3[#All],11,FALSE)</f>
        <v>96</v>
      </c>
      <c r="L405" s="2" t="str">
        <f>VLOOKUP(A405,Table3[#All],12,FALSE)</f>
        <v>Bangalore</v>
      </c>
      <c r="M405" s="2" t="str">
        <f t="shared" si="6"/>
        <v>Eligible</v>
      </c>
    </row>
    <row r="406" spans="1:13" hidden="1" x14ac:dyDescent="0.25">
      <c r="A406" s="5" t="s">
        <v>616</v>
      </c>
      <c r="B406" s="2" t="str">
        <f>VLOOKUP(A406,Table3[#All],2,FALSE)</f>
        <v>Ajay</v>
      </c>
      <c r="C406" s="2" t="str">
        <f>VLOOKUP(A406,Table3[#All],3,FALSE)</f>
        <v>Sales</v>
      </c>
      <c r="D406" s="2">
        <f>VLOOKUP(A406,Table3[#All],4,FALSE)</f>
        <v>26</v>
      </c>
      <c r="E406" s="2" t="str">
        <f>VLOOKUP(A406,Table3[#All],5,FALSE)</f>
        <v>Male</v>
      </c>
      <c r="F406" s="2">
        <f>VLOOKUP(A406,Table3[#All],6,FALSE)</f>
        <v>6</v>
      </c>
      <c r="G406" s="2">
        <f>VLOOKUP(A406,Table3[#All],7,FALSE)</f>
        <v>46183</v>
      </c>
      <c r="H406" s="2">
        <f>VLOOKUP(A406,Table3[#All],8,FALSE)</f>
        <v>9</v>
      </c>
      <c r="I406" s="2">
        <f>VLOOKUP(A406,Table3[#All],9,FALSE)</f>
        <v>35</v>
      </c>
      <c r="J406" s="2">
        <f>VLOOKUP(A406,Table3[#All],10,FALSE)</f>
        <v>3</v>
      </c>
      <c r="K406" s="2">
        <f>VLOOKUP(A406,Table3[#All],11,FALSE)</f>
        <v>85</v>
      </c>
      <c r="L406" s="2" t="str">
        <f>VLOOKUP(A406,Table3[#All],12,FALSE)</f>
        <v>Chennai</v>
      </c>
      <c r="M406" s="2" t="str">
        <f t="shared" si="6"/>
        <v>Not Eligible</v>
      </c>
    </row>
    <row r="407" spans="1:13" x14ac:dyDescent="0.25">
      <c r="A407" s="6" t="s">
        <v>885</v>
      </c>
      <c r="B407" s="2" t="str">
        <f>VLOOKUP(A407,Table3[#All],2,FALSE)</f>
        <v>Hari</v>
      </c>
      <c r="C407" s="2" t="str">
        <f>VLOOKUP(A407,Table3[#All],3,FALSE)</f>
        <v>IT</v>
      </c>
      <c r="D407" s="2">
        <f>VLOOKUP(A407,Table3[#All],4,FALSE)</f>
        <v>38</v>
      </c>
      <c r="E407" s="2" t="str">
        <f>VLOOKUP(A407,Table3[#All],5,FALSE)</f>
        <v>Female</v>
      </c>
      <c r="F407" s="2">
        <f>VLOOKUP(A407,Table3[#All],6,FALSE)</f>
        <v>14</v>
      </c>
      <c r="G407" s="2">
        <f>VLOOKUP(A407,Table3[#All],7,FALSE)</f>
        <v>46340</v>
      </c>
      <c r="H407" s="2">
        <f>VLOOKUP(A407,Table3[#All],8,FALSE)</f>
        <v>13</v>
      </c>
      <c r="I407" s="2">
        <f>VLOOKUP(A407,Table3[#All],9,FALSE)</f>
        <v>48</v>
      </c>
      <c r="J407" s="2">
        <f>VLOOKUP(A407,Table3[#All],10,FALSE)</f>
        <v>2</v>
      </c>
      <c r="K407" s="2">
        <f>VLOOKUP(A407,Table3[#All],11,FALSE)</f>
        <v>95</v>
      </c>
      <c r="L407" s="2" t="str">
        <f>VLOOKUP(A407,Table3[#All],12,FALSE)</f>
        <v>Bangalore</v>
      </c>
      <c r="M407" s="2" t="str">
        <f t="shared" si="6"/>
        <v>Eligible</v>
      </c>
    </row>
    <row r="408" spans="1:13" hidden="1" x14ac:dyDescent="0.25">
      <c r="A408" s="6" t="s">
        <v>917</v>
      </c>
      <c r="B408" s="2" t="str">
        <f>VLOOKUP(A408,Table3[#All],2,FALSE)</f>
        <v>Rekha</v>
      </c>
      <c r="C408" s="2" t="str">
        <f>VLOOKUP(A408,Table3[#All],3,FALSE)</f>
        <v>Sales</v>
      </c>
      <c r="D408" s="2">
        <f>VLOOKUP(A408,Table3[#All],4,FALSE)</f>
        <v>24</v>
      </c>
      <c r="E408" s="2" t="str">
        <f>VLOOKUP(A408,Table3[#All],5,FALSE)</f>
        <v>Female</v>
      </c>
      <c r="F408" s="2">
        <f>VLOOKUP(A408,Table3[#All],6,FALSE)</f>
        <v>14</v>
      </c>
      <c r="G408" s="2">
        <f>VLOOKUP(A408,Table3[#All],7,FALSE)</f>
        <v>46480</v>
      </c>
      <c r="H408" s="2">
        <f>VLOOKUP(A408,Table3[#All],8,FALSE)</f>
        <v>12</v>
      </c>
      <c r="I408" s="2">
        <f>VLOOKUP(A408,Table3[#All],9,FALSE)</f>
        <v>43</v>
      </c>
      <c r="J408" s="2">
        <f>VLOOKUP(A408,Table3[#All],10,FALSE)</f>
        <v>1</v>
      </c>
      <c r="K408" s="2">
        <f>VLOOKUP(A408,Table3[#All],11,FALSE)</f>
        <v>88</v>
      </c>
      <c r="L408" s="2" t="str">
        <f>VLOOKUP(A408,Table3[#All],12,FALSE)</f>
        <v>Mumbai</v>
      </c>
      <c r="M408" s="2" t="str">
        <f t="shared" si="6"/>
        <v>Not Eligible</v>
      </c>
    </row>
    <row r="409" spans="1:13" hidden="1" x14ac:dyDescent="0.25">
      <c r="A409" s="6" t="s">
        <v>633</v>
      </c>
      <c r="B409" s="2" t="str">
        <f>VLOOKUP(A409,Table3[#All],2,FALSE)</f>
        <v>Ajay</v>
      </c>
      <c r="C409" s="2" t="str">
        <f>VLOOKUP(A409,Table3[#All],3,FALSE)</f>
        <v>Finance</v>
      </c>
      <c r="D409" s="2">
        <f>VLOOKUP(A409,Table3[#All],4,FALSE)</f>
        <v>31</v>
      </c>
      <c r="E409" s="2" t="str">
        <f>VLOOKUP(A409,Table3[#All],5,FALSE)</f>
        <v>Female</v>
      </c>
      <c r="F409" s="2">
        <f>VLOOKUP(A409,Table3[#All],6,FALSE)</f>
        <v>9</v>
      </c>
      <c r="G409" s="2">
        <f>VLOOKUP(A409,Table3[#All],7,FALSE)</f>
        <v>46518</v>
      </c>
      <c r="H409" s="2">
        <f>VLOOKUP(A409,Table3[#All],8,FALSE)</f>
        <v>4</v>
      </c>
      <c r="I409" s="2">
        <f>VLOOKUP(A409,Table3[#All],9,FALSE)</f>
        <v>47</v>
      </c>
      <c r="J409" s="2">
        <f>VLOOKUP(A409,Table3[#All],10,FALSE)</f>
        <v>3</v>
      </c>
      <c r="K409" s="2">
        <f>VLOOKUP(A409,Table3[#All],11,FALSE)</f>
        <v>88</v>
      </c>
      <c r="L409" s="2" t="str">
        <f>VLOOKUP(A409,Table3[#All],12,FALSE)</f>
        <v>Mumbai</v>
      </c>
      <c r="M409" s="2" t="str">
        <f t="shared" si="6"/>
        <v>Not Eligible</v>
      </c>
    </row>
    <row r="410" spans="1:13" hidden="1" x14ac:dyDescent="0.25">
      <c r="A410" s="5" t="s">
        <v>686</v>
      </c>
      <c r="B410" s="2" t="str">
        <f>VLOOKUP(A410,Table3[#All],2,FALSE)</f>
        <v>Kavya</v>
      </c>
      <c r="C410" s="2" t="str">
        <f>VLOOKUP(A410,Table3[#All],3,FALSE)</f>
        <v>HR</v>
      </c>
      <c r="D410" s="2">
        <f>VLOOKUP(A410,Table3[#All],4,FALSE)</f>
        <v>23</v>
      </c>
      <c r="E410" s="2" t="str">
        <f>VLOOKUP(A410,Table3[#All],5,FALSE)</f>
        <v>Male</v>
      </c>
      <c r="F410" s="2">
        <f>VLOOKUP(A410,Table3[#All],6,FALSE)</f>
        <v>5</v>
      </c>
      <c r="G410" s="2">
        <f>VLOOKUP(A410,Table3[#All],7,FALSE)</f>
        <v>46526</v>
      </c>
      <c r="H410" s="2">
        <f>VLOOKUP(A410,Table3[#All],8,FALSE)</f>
        <v>4</v>
      </c>
      <c r="I410" s="2">
        <f>VLOOKUP(A410,Table3[#All],9,FALSE)</f>
        <v>43</v>
      </c>
      <c r="J410" s="2">
        <f>VLOOKUP(A410,Table3[#All],10,FALSE)</f>
        <v>1</v>
      </c>
      <c r="K410" s="2">
        <f>VLOOKUP(A410,Table3[#All],11,FALSE)</f>
        <v>98</v>
      </c>
      <c r="L410" s="2" t="str">
        <f>VLOOKUP(A410,Table3[#All],12,FALSE)</f>
        <v>Delhi</v>
      </c>
      <c r="M410" s="2" t="str">
        <f t="shared" si="6"/>
        <v>Eligible</v>
      </c>
    </row>
    <row r="411" spans="1:13" hidden="1" x14ac:dyDescent="0.25">
      <c r="A411" s="6" t="s">
        <v>453</v>
      </c>
      <c r="B411" s="2" t="str">
        <f>VLOOKUP(A411,Table3[#All],2,FALSE)</f>
        <v>Divya</v>
      </c>
      <c r="C411" s="2" t="str">
        <f>VLOOKUP(A411,Table3[#All],3,FALSE)</f>
        <v>Sales</v>
      </c>
      <c r="D411" s="2">
        <f>VLOOKUP(A411,Table3[#All],4,FALSE)</f>
        <v>23</v>
      </c>
      <c r="E411" s="2" t="str">
        <f>VLOOKUP(A411,Table3[#All],5,FALSE)</f>
        <v>Female</v>
      </c>
      <c r="F411" s="2">
        <f>VLOOKUP(A411,Table3[#All],6,FALSE)</f>
        <v>3</v>
      </c>
      <c r="G411" s="2">
        <f>VLOOKUP(A411,Table3[#All],7,FALSE)</f>
        <v>30226</v>
      </c>
      <c r="H411" s="2">
        <f>VLOOKUP(A411,Table3[#All],8,FALSE)</f>
        <v>4</v>
      </c>
      <c r="I411" s="2">
        <f>VLOOKUP(A411,Table3[#All],9,FALSE)</f>
        <v>47</v>
      </c>
      <c r="J411" s="2">
        <f>VLOOKUP(A411,Table3[#All],10,FALSE)</f>
        <v>2</v>
      </c>
      <c r="K411" s="2">
        <f>VLOOKUP(A411,Table3[#All],11,FALSE)</f>
        <v>96</v>
      </c>
      <c r="L411" s="2" t="str">
        <f>VLOOKUP(A411,Table3[#All],12,FALSE)</f>
        <v>Delhi</v>
      </c>
      <c r="M411" s="2" t="str">
        <f t="shared" si="6"/>
        <v>Eligible</v>
      </c>
    </row>
    <row r="412" spans="1:13" hidden="1" x14ac:dyDescent="0.25">
      <c r="A412" s="5" t="s">
        <v>822</v>
      </c>
      <c r="B412" s="2" t="str">
        <f>VLOOKUP(A412,Table3[#All],2,FALSE)</f>
        <v>Nisha</v>
      </c>
      <c r="C412" s="2" t="str">
        <f>VLOOKUP(A412,Table3[#All],3,FALSE)</f>
        <v>Sales</v>
      </c>
      <c r="D412" s="2">
        <f>VLOOKUP(A412,Table3[#All],4,FALSE)</f>
        <v>24</v>
      </c>
      <c r="E412" s="2" t="str">
        <f>VLOOKUP(A412,Table3[#All],5,FALSE)</f>
        <v>Male</v>
      </c>
      <c r="F412" s="2">
        <f>VLOOKUP(A412,Table3[#All],6,FALSE)</f>
        <v>13</v>
      </c>
      <c r="G412" s="2">
        <f>VLOOKUP(A412,Table3[#All],7,FALSE)</f>
        <v>46527</v>
      </c>
      <c r="H412" s="2">
        <f>VLOOKUP(A412,Table3[#All],8,FALSE)</f>
        <v>3</v>
      </c>
      <c r="I412" s="2">
        <f>VLOOKUP(A412,Table3[#All],9,FALSE)</f>
        <v>38</v>
      </c>
      <c r="J412" s="2">
        <f>VLOOKUP(A412,Table3[#All],10,FALSE)</f>
        <v>1</v>
      </c>
      <c r="K412" s="2">
        <f>VLOOKUP(A412,Table3[#All],11,FALSE)</f>
        <v>91</v>
      </c>
      <c r="L412" s="2" t="str">
        <f>VLOOKUP(A412,Table3[#All],12,FALSE)</f>
        <v>Hyderabad</v>
      </c>
      <c r="M412" s="2" t="str">
        <f t="shared" si="6"/>
        <v>Not Eligible</v>
      </c>
    </row>
    <row r="413" spans="1:13" hidden="1" x14ac:dyDescent="0.25">
      <c r="A413" s="5" t="s">
        <v>1032</v>
      </c>
      <c r="B413" s="2" t="str">
        <f>VLOOKUP(A413,Table3[#All],2,FALSE)</f>
        <v>Lakshmi</v>
      </c>
      <c r="C413" s="2" t="str">
        <f>VLOOKUP(A413,Table3[#All],3,FALSE)</f>
        <v>Sales</v>
      </c>
      <c r="D413" s="2">
        <f>VLOOKUP(A413,Table3[#All],4,FALSE)</f>
        <v>24</v>
      </c>
      <c r="E413" s="2" t="str">
        <f>VLOOKUP(A413,Table3[#All],5,FALSE)</f>
        <v>Male</v>
      </c>
      <c r="F413" s="2">
        <f>VLOOKUP(A413,Table3[#All],6,FALSE)</f>
        <v>11</v>
      </c>
      <c r="G413" s="2">
        <f>VLOOKUP(A413,Table3[#All],7,FALSE)</f>
        <v>46582</v>
      </c>
      <c r="H413" s="2">
        <f>VLOOKUP(A413,Table3[#All],8,FALSE)</f>
        <v>15</v>
      </c>
      <c r="I413" s="2">
        <f>VLOOKUP(A413,Table3[#All],9,FALSE)</f>
        <v>43</v>
      </c>
      <c r="J413" s="2">
        <f>VLOOKUP(A413,Table3[#All],10,FALSE)</f>
        <v>3</v>
      </c>
      <c r="K413" s="2">
        <f>VLOOKUP(A413,Table3[#All],11,FALSE)</f>
        <v>89</v>
      </c>
      <c r="L413" s="2" t="str">
        <f>VLOOKUP(A413,Table3[#All],12,FALSE)</f>
        <v>Hyderabad</v>
      </c>
      <c r="M413" s="2" t="str">
        <f t="shared" si="6"/>
        <v>Not Eligible</v>
      </c>
    </row>
    <row r="414" spans="1:13" x14ac:dyDescent="0.25">
      <c r="A414" s="5" t="s">
        <v>454</v>
      </c>
      <c r="B414" s="2" t="str">
        <f>VLOOKUP(A414,Table3[#All],2,FALSE)</f>
        <v>Kavya</v>
      </c>
      <c r="C414" s="2" t="str">
        <f>VLOOKUP(A414,Table3[#All],3,FALSE)</f>
        <v>HR</v>
      </c>
      <c r="D414" s="2">
        <f>VLOOKUP(A414,Table3[#All],4,FALSE)</f>
        <v>34</v>
      </c>
      <c r="E414" s="2" t="str">
        <f>VLOOKUP(A414,Table3[#All],5,FALSE)</f>
        <v>Female</v>
      </c>
      <c r="F414" s="2">
        <f>VLOOKUP(A414,Table3[#All],6,FALSE)</f>
        <v>15</v>
      </c>
      <c r="G414" s="2">
        <f>VLOOKUP(A414,Table3[#All],7,FALSE)</f>
        <v>46601</v>
      </c>
      <c r="H414" s="2">
        <f>VLOOKUP(A414,Table3[#All],8,FALSE)</f>
        <v>13</v>
      </c>
      <c r="I414" s="2">
        <f>VLOOKUP(A414,Table3[#All],9,FALSE)</f>
        <v>37</v>
      </c>
      <c r="J414" s="2">
        <f>VLOOKUP(A414,Table3[#All],10,FALSE)</f>
        <v>2</v>
      </c>
      <c r="K414" s="2">
        <f>VLOOKUP(A414,Table3[#All],11,FALSE)</f>
        <v>96</v>
      </c>
      <c r="L414" s="2" t="str">
        <f>VLOOKUP(A414,Table3[#All],12,FALSE)</f>
        <v>Hyderabad</v>
      </c>
      <c r="M414" s="2" t="str">
        <f t="shared" si="6"/>
        <v>Eligible</v>
      </c>
    </row>
    <row r="415" spans="1:13" hidden="1" x14ac:dyDescent="0.25">
      <c r="A415" s="6" t="s">
        <v>457</v>
      </c>
      <c r="B415" s="2" t="str">
        <f>VLOOKUP(A415,Table3[#All],2,FALSE)</f>
        <v>Sneha</v>
      </c>
      <c r="C415" s="2" t="str">
        <f>VLOOKUP(A415,Table3[#All],3,FALSE)</f>
        <v>HR</v>
      </c>
      <c r="D415" s="2">
        <f>VLOOKUP(A415,Table3[#All],4,FALSE)</f>
        <v>38</v>
      </c>
      <c r="E415" s="2" t="str">
        <f>VLOOKUP(A415,Table3[#All],5,FALSE)</f>
        <v>Female</v>
      </c>
      <c r="F415" s="2">
        <f>VLOOKUP(A415,Table3[#All],6,FALSE)</f>
        <v>1</v>
      </c>
      <c r="G415" s="2">
        <f>VLOOKUP(A415,Table3[#All],7,FALSE)</f>
        <v>69349</v>
      </c>
      <c r="H415" s="2">
        <f>VLOOKUP(A415,Table3[#All],8,FALSE)</f>
        <v>10</v>
      </c>
      <c r="I415" s="2">
        <f>VLOOKUP(A415,Table3[#All],9,FALSE)</f>
        <v>38</v>
      </c>
      <c r="J415" s="2">
        <f>VLOOKUP(A415,Table3[#All],10,FALSE)</f>
        <v>2</v>
      </c>
      <c r="K415" s="2">
        <f>VLOOKUP(A415,Table3[#All],11,FALSE)</f>
        <v>91</v>
      </c>
      <c r="L415" s="2" t="str">
        <f>VLOOKUP(A415,Table3[#All],12,FALSE)</f>
        <v>Chennai</v>
      </c>
      <c r="M415" s="2" t="str">
        <f t="shared" si="6"/>
        <v>Not Eligible</v>
      </c>
    </row>
    <row r="416" spans="1:13" hidden="1" x14ac:dyDescent="0.25">
      <c r="A416" s="6" t="s">
        <v>181</v>
      </c>
      <c r="B416" s="2" t="str">
        <f>VLOOKUP(A416,Table3[#All],2,FALSE)</f>
        <v>Ravi</v>
      </c>
      <c r="C416" s="2" t="str">
        <f>VLOOKUP(A416,Table3[#All],3,FALSE)</f>
        <v>IT</v>
      </c>
      <c r="D416" s="2">
        <f>VLOOKUP(A416,Table3[#All],4,FALSE)</f>
        <v>38</v>
      </c>
      <c r="E416" s="2" t="str">
        <f>VLOOKUP(A416,Table3[#All],5,FALSE)</f>
        <v>Male</v>
      </c>
      <c r="F416" s="2">
        <f>VLOOKUP(A416,Table3[#All],6,FALSE)</f>
        <v>6</v>
      </c>
      <c r="G416" s="2">
        <f>VLOOKUP(A416,Table3[#All],7,FALSE)</f>
        <v>46749</v>
      </c>
      <c r="H416" s="2">
        <f>VLOOKUP(A416,Table3[#All],8,FALSE)</f>
        <v>7</v>
      </c>
      <c r="I416" s="2">
        <f>VLOOKUP(A416,Table3[#All],9,FALSE)</f>
        <v>49</v>
      </c>
      <c r="J416" s="2">
        <f>VLOOKUP(A416,Table3[#All],10,FALSE)</f>
        <v>1</v>
      </c>
      <c r="K416" s="2">
        <f>VLOOKUP(A416,Table3[#All],11,FALSE)</f>
        <v>94</v>
      </c>
      <c r="L416" s="2" t="str">
        <f>VLOOKUP(A416,Table3[#All],12,FALSE)</f>
        <v>Hyderabad</v>
      </c>
      <c r="M416" s="2" t="str">
        <f t="shared" si="6"/>
        <v>Not Eligible</v>
      </c>
    </row>
    <row r="417" spans="1:13" hidden="1" x14ac:dyDescent="0.25">
      <c r="A417" s="6" t="s">
        <v>677</v>
      </c>
      <c r="B417" s="2" t="str">
        <f>VLOOKUP(A417,Table3[#All],2,FALSE)</f>
        <v>Priya</v>
      </c>
      <c r="C417" s="2" t="str">
        <f>VLOOKUP(A417,Table3[#All],3,FALSE)</f>
        <v>HR</v>
      </c>
      <c r="D417" s="2">
        <f>VLOOKUP(A417,Table3[#All],4,FALSE)</f>
        <v>38</v>
      </c>
      <c r="E417" s="2" t="str">
        <f>VLOOKUP(A417,Table3[#All],5,FALSE)</f>
        <v>Male</v>
      </c>
      <c r="F417" s="2">
        <f>VLOOKUP(A417,Table3[#All],6,FALSE)</f>
        <v>15</v>
      </c>
      <c r="G417" s="2">
        <f>VLOOKUP(A417,Table3[#All],7,FALSE)</f>
        <v>46842</v>
      </c>
      <c r="H417" s="2">
        <f>VLOOKUP(A417,Table3[#All],8,FALSE)</f>
        <v>13</v>
      </c>
      <c r="I417" s="2">
        <f>VLOOKUP(A417,Table3[#All],9,FALSE)</f>
        <v>50</v>
      </c>
      <c r="J417" s="2">
        <f>VLOOKUP(A417,Table3[#All],10,FALSE)</f>
        <v>1</v>
      </c>
      <c r="K417" s="2">
        <f>VLOOKUP(A417,Table3[#All],11,FALSE)</f>
        <v>90</v>
      </c>
      <c r="L417" s="2" t="str">
        <f>VLOOKUP(A417,Table3[#All],12,FALSE)</f>
        <v>Delhi</v>
      </c>
      <c r="M417" s="2" t="str">
        <f t="shared" si="6"/>
        <v>Not Eligible</v>
      </c>
    </row>
    <row r="418" spans="1:13" x14ac:dyDescent="0.25">
      <c r="A418" s="5" t="s">
        <v>592</v>
      </c>
      <c r="B418" s="2" t="str">
        <f>VLOOKUP(A418,Table3[#All],2,FALSE)</f>
        <v>Suresh</v>
      </c>
      <c r="C418" s="2" t="str">
        <f>VLOOKUP(A418,Table3[#All],3,FALSE)</f>
        <v>HR</v>
      </c>
      <c r="D418" s="2">
        <f>VLOOKUP(A418,Table3[#All],4,FALSE)</f>
        <v>22</v>
      </c>
      <c r="E418" s="2" t="str">
        <f>VLOOKUP(A418,Table3[#All],5,FALSE)</f>
        <v>Female</v>
      </c>
      <c r="F418" s="2">
        <f>VLOOKUP(A418,Table3[#All],6,FALSE)</f>
        <v>11</v>
      </c>
      <c r="G418" s="2">
        <f>VLOOKUP(A418,Table3[#All],7,FALSE)</f>
        <v>46954</v>
      </c>
      <c r="H418" s="2">
        <f>VLOOKUP(A418,Table3[#All],8,FALSE)</f>
        <v>15</v>
      </c>
      <c r="I418" s="2">
        <f>VLOOKUP(A418,Table3[#All],9,FALSE)</f>
        <v>37</v>
      </c>
      <c r="J418" s="2">
        <f>VLOOKUP(A418,Table3[#All],10,FALSE)</f>
        <v>3</v>
      </c>
      <c r="K418" s="2">
        <f>VLOOKUP(A418,Table3[#All],11,FALSE)</f>
        <v>91</v>
      </c>
      <c r="L418" s="2" t="str">
        <f>VLOOKUP(A418,Table3[#All],12,FALSE)</f>
        <v>Hyderabad</v>
      </c>
      <c r="M418" s="2" t="str">
        <f t="shared" si="6"/>
        <v>Not Eligible</v>
      </c>
    </row>
    <row r="419" spans="1:13" hidden="1" x14ac:dyDescent="0.25">
      <c r="A419" s="6" t="s">
        <v>461</v>
      </c>
      <c r="B419" s="2" t="str">
        <f>VLOOKUP(A419,Table3[#All],2,FALSE)</f>
        <v>Lakshmi</v>
      </c>
      <c r="C419" s="2" t="str">
        <f>VLOOKUP(A419,Table3[#All],3,FALSE)</f>
        <v>IT</v>
      </c>
      <c r="D419" s="2">
        <f>VLOOKUP(A419,Table3[#All],4,FALSE)</f>
        <v>40</v>
      </c>
      <c r="E419" s="2" t="str">
        <f>VLOOKUP(A419,Table3[#All],5,FALSE)</f>
        <v>Female</v>
      </c>
      <c r="F419" s="2">
        <f>VLOOKUP(A419,Table3[#All],6,FALSE)</f>
        <v>4</v>
      </c>
      <c r="G419" s="2">
        <f>VLOOKUP(A419,Table3[#All],7,FALSE)</f>
        <v>64630</v>
      </c>
      <c r="H419" s="2">
        <f>VLOOKUP(A419,Table3[#All],8,FALSE)</f>
        <v>4</v>
      </c>
      <c r="I419" s="2">
        <f>VLOOKUP(A419,Table3[#All],9,FALSE)</f>
        <v>48</v>
      </c>
      <c r="J419" s="2">
        <f>VLOOKUP(A419,Table3[#All],10,FALSE)</f>
        <v>1</v>
      </c>
      <c r="K419" s="2">
        <f>VLOOKUP(A419,Table3[#All],11,FALSE)</f>
        <v>97</v>
      </c>
      <c r="L419" s="2" t="str">
        <f>VLOOKUP(A419,Table3[#All],12,FALSE)</f>
        <v>Mumbai</v>
      </c>
      <c r="M419" s="2" t="str">
        <f t="shared" si="6"/>
        <v>Eligible</v>
      </c>
    </row>
    <row r="420" spans="1:13" hidden="1" x14ac:dyDescent="0.25">
      <c r="A420" s="6" t="s">
        <v>501</v>
      </c>
      <c r="B420" s="2" t="str">
        <f>VLOOKUP(A420,Table3[#All],2,FALSE)</f>
        <v>Rekha</v>
      </c>
      <c r="C420" s="2" t="str">
        <f>VLOOKUP(A420,Table3[#All],3,FALSE)</f>
        <v>IT</v>
      </c>
      <c r="D420" s="2">
        <f>VLOOKUP(A420,Table3[#All],4,FALSE)</f>
        <v>38</v>
      </c>
      <c r="E420" s="2" t="str">
        <f>VLOOKUP(A420,Table3[#All],5,FALSE)</f>
        <v>Male</v>
      </c>
      <c r="F420" s="2">
        <f>VLOOKUP(A420,Table3[#All],6,FALSE)</f>
        <v>13</v>
      </c>
      <c r="G420" s="2">
        <f>VLOOKUP(A420,Table3[#All],7,FALSE)</f>
        <v>47053</v>
      </c>
      <c r="H420" s="2">
        <f>VLOOKUP(A420,Table3[#All],8,FALSE)</f>
        <v>7</v>
      </c>
      <c r="I420" s="2">
        <f>VLOOKUP(A420,Table3[#All],9,FALSE)</f>
        <v>49</v>
      </c>
      <c r="J420" s="2">
        <f>VLOOKUP(A420,Table3[#All],10,FALSE)</f>
        <v>1</v>
      </c>
      <c r="K420" s="2">
        <f>VLOOKUP(A420,Table3[#All],11,FALSE)</f>
        <v>96</v>
      </c>
      <c r="L420" s="2" t="str">
        <f>VLOOKUP(A420,Table3[#All],12,FALSE)</f>
        <v>Mumbai</v>
      </c>
      <c r="M420" s="2" t="str">
        <f t="shared" si="6"/>
        <v>Eligible</v>
      </c>
    </row>
    <row r="421" spans="1:13" hidden="1" x14ac:dyDescent="0.25">
      <c r="A421" s="6" t="s">
        <v>709</v>
      </c>
      <c r="B421" s="2" t="str">
        <f>VLOOKUP(A421,Table3[#All],2,FALSE)</f>
        <v>Ramesh</v>
      </c>
      <c r="C421" s="2" t="str">
        <f>VLOOKUP(A421,Table3[#All],3,FALSE)</f>
        <v>Sales</v>
      </c>
      <c r="D421" s="2">
        <f>VLOOKUP(A421,Table3[#All],4,FALSE)</f>
        <v>22</v>
      </c>
      <c r="E421" s="2" t="str">
        <f>VLOOKUP(A421,Table3[#All],5,FALSE)</f>
        <v>Male</v>
      </c>
      <c r="F421" s="2">
        <f>VLOOKUP(A421,Table3[#All],6,FALSE)</f>
        <v>15</v>
      </c>
      <c r="G421" s="2">
        <f>VLOOKUP(A421,Table3[#All],7,FALSE)</f>
        <v>47217</v>
      </c>
      <c r="H421" s="2">
        <f>VLOOKUP(A421,Table3[#All],8,FALSE)</f>
        <v>5</v>
      </c>
      <c r="I421" s="2">
        <f>VLOOKUP(A421,Table3[#All],9,FALSE)</f>
        <v>39</v>
      </c>
      <c r="J421" s="2">
        <f>VLOOKUP(A421,Table3[#All],10,FALSE)</f>
        <v>3</v>
      </c>
      <c r="K421" s="2">
        <f>VLOOKUP(A421,Table3[#All],11,FALSE)</f>
        <v>96</v>
      </c>
      <c r="L421" s="2" t="str">
        <f>VLOOKUP(A421,Table3[#All],12,FALSE)</f>
        <v>Delhi</v>
      </c>
      <c r="M421" s="2" t="str">
        <f t="shared" si="6"/>
        <v>Eligible</v>
      </c>
    </row>
    <row r="422" spans="1:13" hidden="1" x14ac:dyDescent="0.25">
      <c r="A422" s="5" t="s">
        <v>464</v>
      </c>
      <c r="B422" s="2" t="str">
        <f>VLOOKUP(A422,Table3[#All],2,FALSE)</f>
        <v>Divya</v>
      </c>
      <c r="C422" s="2" t="str">
        <f>VLOOKUP(A422,Table3[#All],3,FALSE)</f>
        <v>HR</v>
      </c>
      <c r="D422" s="2">
        <f>VLOOKUP(A422,Table3[#All],4,FALSE)</f>
        <v>24</v>
      </c>
      <c r="E422" s="2" t="str">
        <f>VLOOKUP(A422,Table3[#All],5,FALSE)</f>
        <v>Female</v>
      </c>
      <c r="F422" s="2">
        <f>VLOOKUP(A422,Table3[#All],6,FALSE)</f>
        <v>4</v>
      </c>
      <c r="G422" s="2">
        <f>VLOOKUP(A422,Table3[#All],7,FALSE)</f>
        <v>26664</v>
      </c>
      <c r="H422" s="2">
        <f>VLOOKUP(A422,Table3[#All],8,FALSE)</f>
        <v>14</v>
      </c>
      <c r="I422" s="2">
        <f>VLOOKUP(A422,Table3[#All],9,FALSE)</f>
        <v>40</v>
      </c>
      <c r="J422" s="2">
        <f>VLOOKUP(A422,Table3[#All],10,FALSE)</f>
        <v>2</v>
      </c>
      <c r="K422" s="2">
        <f>VLOOKUP(A422,Table3[#All],11,FALSE)</f>
        <v>86</v>
      </c>
      <c r="L422" s="2" t="str">
        <f>VLOOKUP(A422,Table3[#All],12,FALSE)</f>
        <v>Bangalore</v>
      </c>
      <c r="M422" s="2" t="str">
        <f t="shared" si="6"/>
        <v>Not Eligible</v>
      </c>
    </row>
    <row r="423" spans="1:13" hidden="1" x14ac:dyDescent="0.25">
      <c r="A423" s="6" t="s">
        <v>233</v>
      </c>
      <c r="B423" s="2" t="str">
        <f>VLOOKUP(A423,Table3[#All],2,FALSE)</f>
        <v>Ramesh</v>
      </c>
      <c r="C423" s="2" t="str">
        <f>VLOOKUP(A423,Table3[#All],3,FALSE)</f>
        <v>Sales</v>
      </c>
      <c r="D423" s="2">
        <f>VLOOKUP(A423,Table3[#All],4,FALSE)</f>
        <v>29</v>
      </c>
      <c r="E423" s="2" t="str">
        <f>VLOOKUP(A423,Table3[#All],5,FALSE)</f>
        <v>Male</v>
      </c>
      <c r="F423" s="2">
        <f>VLOOKUP(A423,Table3[#All],6,FALSE)</f>
        <v>15</v>
      </c>
      <c r="G423" s="2">
        <f>VLOOKUP(A423,Table3[#All],7,FALSE)</f>
        <v>47228</v>
      </c>
      <c r="H423" s="2">
        <f>VLOOKUP(A423,Table3[#All],8,FALSE)</f>
        <v>13</v>
      </c>
      <c r="I423" s="2">
        <f>VLOOKUP(A423,Table3[#All],9,FALSE)</f>
        <v>49</v>
      </c>
      <c r="J423" s="2">
        <f>VLOOKUP(A423,Table3[#All],10,FALSE)</f>
        <v>4</v>
      </c>
      <c r="K423" s="2">
        <f>VLOOKUP(A423,Table3[#All],11,FALSE)</f>
        <v>90</v>
      </c>
      <c r="L423" s="2" t="str">
        <f>VLOOKUP(A423,Table3[#All],12,FALSE)</f>
        <v>Pune</v>
      </c>
      <c r="M423" s="2" t="str">
        <f t="shared" si="6"/>
        <v>Not Eligible</v>
      </c>
    </row>
    <row r="424" spans="1:13" hidden="1" x14ac:dyDescent="0.25">
      <c r="A424" s="5" t="s">
        <v>466</v>
      </c>
      <c r="B424" s="2" t="str">
        <f>VLOOKUP(A424,Table3[#All],2,FALSE)</f>
        <v>Rekha</v>
      </c>
      <c r="C424" s="2" t="str">
        <f>VLOOKUP(A424,Table3[#All],3,FALSE)</f>
        <v>IT</v>
      </c>
      <c r="D424" s="2">
        <f>VLOOKUP(A424,Table3[#All],4,FALSE)</f>
        <v>29</v>
      </c>
      <c r="E424" s="2" t="str">
        <f>VLOOKUP(A424,Table3[#All],5,FALSE)</f>
        <v>Female</v>
      </c>
      <c r="F424" s="2">
        <f>VLOOKUP(A424,Table3[#All],6,FALSE)</f>
        <v>3</v>
      </c>
      <c r="G424" s="2">
        <f>VLOOKUP(A424,Table3[#All],7,FALSE)</f>
        <v>57668</v>
      </c>
      <c r="H424" s="2">
        <f>VLOOKUP(A424,Table3[#All],8,FALSE)</f>
        <v>4</v>
      </c>
      <c r="I424" s="2">
        <f>VLOOKUP(A424,Table3[#All],9,FALSE)</f>
        <v>48</v>
      </c>
      <c r="J424" s="2">
        <f>VLOOKUP(A424,Table3[#All],10,FALSE)</f>
        <v>4</v>
      </c>
      <c r="K424" s="2">
        <f>VLOOKUP(A424,Table3[#All],11,FALSE)</f>
        <v>100</v>
      </c>
      <c r="L424" s="2" t="str">
        <f>VLOOKUP(A424,Table3[#All],12,FALSE)</f>
        <v>Bangalore</v>
      </c>
      <c r="M424" s="2" t="str">
        <f t="shared" si="6"/>
        <v>Eligible</v>
      </c>
    </row>
    <row r="425" spans="1:13" x14ac:dyDescent="0.25">
      <c r="A425" s="5" t="s">
        <v>598</v>
      </c>
      <c r="B425" s="2" t="str">
        <f>VLOOKUP(A425,Table3[#All],2,FALSE)</f>
        <v>Sanjay</v>
      </c>
      <c r="C425" s="2" t="str">
        <f>VLOOKUP(A425,Table3[#All],3,FALSE)</f>
        <v>IT</v>
      </c>
      <c r="D425" s="2">
        <f>VLOOKUP(A425,Table3[#All],4,FALSE)</f>
        <v>32</v>
      </c>
      <c r="E425" s="2" t="str">
        <f>VLOOKUP(A425,Table3[#All],5,FALSE)</f>
        <v>Male</v>
      </c>
      <c r="F425" s="2">
        <f>VLOOKUP(A425,Table3[#All],6,FALSE)</f>
        <v>11</v>
      </c>
      <c r="G425" s="2">
        <f>VLOOKUP(A425,Table3[#All],7,FALSE)</f>
        <v>47356</v>
      </c>
      <c r="H425" s="2">
        <f>VLOOKUP(A425,Table3[#All],8,FALSE)</f>
        <v>10</v>
      </c>
      <c r="I425" s="2">
        <f>VLOOKUP(A425,Table3[#All],9,FALSE)</f>
        <v>41</v>
      </c>
      <c r="J425" s="2">
        <f>VLOOKUP(A425,Table3[#All],10,FALSE)</f>
        <v>5</v>
      </c>
      <c r="K425" s="2">
        <f>VLOOKUP(A425,Table3[#All],11,FALSE)</f>
        <v>95</v>
      </c>
      <c r="L425" s="2" t="str">
        <f>VLOOKUP(A425,Table3[#All],12,FALSE)</f>
        <v>Bangalore</v>
      </c>
      <c r="M425" s="2" t="str">
        <f t="shared" si="6"/>
        <v>Eligible</v>
      </c>
    </row>
    <row r="426" spans="1:13" hidden="1" x14ac:dyDescent="0.25">
      <c r="A426" s="5" t="s">
        <v>658</v>
      </c>
      <c r="B426" s="2" t="str">
        <f>VLOOKUP(A426,Table3[#All],2,FALSE)</f>
        <v>Divya</v>
      </c>
      <c r="C426" s="2" t="str">
        <f>VLOOKUP(A426,Table3[#All],3,FALSE)</f>
        <v>Finance</v>
      </c>
      <c r="D426" s="2">
        <f>VLOOKUP(A426,Table3[#All],4,FALSE)</f>
        <v>34</v>
      </c>
      <c r="E426" s="2" t="str">
        <f>VLOOKUP(A426,Table3[#All],5,FALSE)</f>
        <v>Male</v>
      </c>
      <c r="F426" s="2">
        <f>VLOOKUP(A426,Table3[#All],6,FALSE)</f>
        <v>9</v>
      </c>
      <c r="G426" s="2">
        <f>VLOOKUP(A426,Table3[#All],7,FALSE)</f>
        <v>47386</v>
      </c>
      <c r="H426" s="2">
        <f>VLOOKUP(A426,Table3[#All],8,FALSE)</f>
        <v>3</v>
      </c>
      <c r="I426" s="2">
        <f>VLOOKUP(A426,Table3[#All],9,FALSE)</f>
        <v>37</v>
      </c>
      <c r="J426" s="2">
        <f>VLOOKUP(A426,Table3[#All],10,FALSE)</f>
        <v>4</v>
      </c>
      <c r="K426" s="2">
        <f>VLOOKUP(A426,Table3[#All],11,FALSE)</f>
        <v>86</v>
      </c>
      <c r="L426" s="2" t="str">
        <f>VLOOKUP(A426,Table3[#All],12,FALSE)</f>
        <v>Pune</v>
      </c>
      <c r="M426" s="2" t="str">
        <f t="shared" si="6"/>
        <v>Not Eligible</v>
      </c>
    </row>
    <row r="427" spans="1:13" x14ac:dyDescent="0.25">
      <c r="A427" s="5" t="s">
        <v>206</v>
      </c>
      <c r="B427" s="2" t="str">
        <f>VLOOKUP(A427,Table3[#All],2,FALSE)</f>
        <v>Ramesh</v>
      </c>
      <c r="C427" s="2" t="str">
        <f>VLOOKUP(A427,Table3[#All],3,FALSE)</f>
        <v>IT</v>
      </c>
      <c r="D427" s="2">
        <f>VLOOKUP(A427,Table3[#All],4,FALSE)</f>
        <v>27</v>
      </c>
      <c r="E427" s="2" t="str">
        <f>VLOOKUP(A427,Table3[#All],5,FALSE)</f>
        <v>Male</v>
      </c>
      <c r="F427" s="2">
        <f>VLOOKUP(A427,Table3[#All],6,FALSE)</f>
        <v>10</v>
      </c>
      <c r="G427" s="2">
        <f>VLOOKUP(A427,Table3[#All],7,FALSE)</f>
        <v>47507</v>
      </c>
      <c r="H427" s="2">
        <f>VLOOKUP(A427,Table3[#All],8,FALSE)</f>
        <v>14</v>
      </c>
      <c r="I427" s="2">
        <f>VLOOKUP(A427,Table3[#All],9,FALSE)</f>
        <v>48</v>
      </c>
      <c r="J427" s="2">
        <f>VLOOKUP(A427,Table3[#All],10,FALSE)</f>
        <v>5</v>
      </c>
      <c r="K427" s="2">
        <f>VLOOKUP(A427,Table3[#All],11,FALSE)</f>
        <v>93</v>
      </c>
      <c r="L427" s="2" t="str">
        <f>VLOOKUP(A427,Table3[#All],12,FALSE)</f>
        <v>Hyderabad</v>
      </c>
      <c r="M427" s="2" t="str">
        <f t="shared" si="6"/>
        <v>Not Eligible</v>
      </c>
    </row>
    <row r="428" spans="1:13" hidden="1" x14ac:dyDescent="0.25">
      <c r="A428" s="5" t="s">
        <v>752</v>
      </c>
      <c r="B428" s="2" t="str">
        <f>VLOOKUP(A428,Table3[#All],2,FALSE)</f>
        <v>Lakshmi</v>
      </c>
      <c r="C428" s="2" t="str">
        <f>VLOOKUP(A428,Table3[#All],3,FALSE)</f>
        <v>Sales</v>
      </c>
      <c r="D428" s="2">
        <f>VLOOKUP(A428,Table3[#All],4,FALSE)</f>
        <v>25</v>
      </c>
      <c r="E428" s="2" t="str">
        <f>VLOOKUP(A428,Table3[#All],5,FALSE)</f>
        <v>Male</v>
      </c>
      <c r="F428" s="2">
        <f>VLOOKUP(A428,Table3[#All],6,FALSE)</f>
        <v>11</v>
      </c>
      <c r="G428" s="2">
        <f>VLOOKUP(A428,Table3[#All],7,FALSE)</f>
        <v>47563</v>
      </c>
      <c r="H428" s="2">
        <f>VLOOKUP(A428,Table3[#All],8,FALSE)</f>
        <v>4</v>
      </c>
      <c r="I428" s="2">
        <f>VLOOKUP(A428,Table3[#All],9,FALSE)</f>
        <v>41</v>
      </c>
      <c r="J428" s="2">
        <f>VLOOKUP(A428,Table3[#All],10,FALSE)</f>
        <v>2</v>
      </c>
      <c r="K428" s="2">
        <f>VLOOKUP(A428,Table3[#All],11,FALSE)</f>
        <v>94</v>
      </c>
      <c r="L428" s="2" t="str">
        <f>VLOOKUP(A428,Table3[#All],12,FALSE)</f>
        <v>Bangalore</v>
      </c>
      <c r="M428" s="2" t="str">
        <f t="shared" si="6"/>
        <v>Not Eligible</v>
      </c>
    </row>
    <row r="429" spans="1:13" hidden="1" x14ac:dyDescent="0.25">
      <c r="A429" s="5" t="s">
        <v>594</v>
      </c>
      <c r="B429" s="2" t="str">
        <f>VLOOKUP(A429,Table3[#All],2,FALSE)</f>
        <v>Rekha</v>
      </c>
      <c r="C429" s="2" t="str">
        <f>VLOOKUP(A429,Table3[#All],3,FALSE)</f>
        <v>HR</v>
      </c>
      <c r="D429" s="2">
        <f>VLOOKUP(A429,Table3[#All],4,FALSE)</f>
        <v>30</v>
      </c>
      <c r="E429" s="2" t="str">
        <f>VLOOKUP(A429,Table3[#All],5,FALSE)</f>
        <v>Female</v>
      </c>
      <c r="F429" s="2">
        <f>VLOOKUP(A429,Table3[#All],6,FALSE)</f>
        <v>9</v>
      </c>
      <c r="G429" s="2">
        <f>VLOOKUP(A429,Table3[#All],7,FALSE)</f>
        <v>47723</v>
      </c>
      <c r="H429" s="2">
        <f>VLOOKUP(A429,Table3[#All],8,FALSE)</f>
        <v>3</v>
      </c>
      <c r="I429" s="2">
        <f>VLOOKUP(A429,Table3[#All],9,FALSE)</f>
        <v>46</v>
      </c>
      <c r="J429" s="2">
        <f>VLOOKUP(A429,Table3[#All],10,FALSE)</f>
        <v>2</v>
      </c>
      <c r="K429" s="2">
        <f>VLOOKUP(A429,Table3[#All],11,FALSE)</f>
        <v>86</v>
      </c>
      <c r="L429" s="2" t="str">
        <f>VLOOKUP(A429,Table3[#All],12,FALSE)</f>
        <v>Delhi</v>
      </c>
      <c r="M429" s="2" t="str">
        <f t="shared" si="6"/>
        <v>Not Eligible</v>
      </c>
    </row>
    <row r="430" spans="1:13" hidden="1" x14ac:dyDescent="0.25">
      <c r="A430" s="5" t="s">
        <v>472</v>
      </c>
      <c r="B430" s="2" t="str">
        <f>VLOOKUP(A430,Table3[#All],2,FALSE)</f>
        <v>Manoj</v>
      </c>
      <c r="C430" s="2" t="str">
        <f>VLOOKUP(A430,Table3[#All],3,FALSE)</f>
        <v>IT</v>
      </c>
      <c r="D430" s="2">
        <f>VLOOKUP(A430,Table3[#All],4,FALSE)</f>
        <v>36</v>
      </c>
      <c r="E430" s="2" t="str">
        <f>VLOOKUP(A430,Table3[#All],5,FALSE)</f>
        <v>Male</v>
      </c>
      <c r="F430" s="2">
        <f>VLOOKUP(A430,Table3[#All],6,FALSE)</f>
        <v>4</v>
      </c>
      <c r="G430" s="2">
        <f>VLOOKUP(A430,Table3[#All],7,FALSE)</f>
        <v>71194</v>
      </c>
      <c r="H430" s="2">
        <f>VLOOKUP(A430,Table3[#All],8,FALSE)</f>
        <v>5</v>
      </c>
      <c r="I430" s="2">
        <f>VLOOKUP(A430,Table3[#All],9,FALSE)</f>
        <v>50</v>
      </c>
      <c r="J430" s="2">
        <f>VLOOKUP(A430,Table3[#All],10,FALSE)</f>
        <v>3</v>
      </c>
      <c r="K430" s="2">
        <f>VLOOKUP(A430,Table3[#All],11,FALSE)</f>
        <v>92</v>
      </c>
      <c r="L430" s="2" t="str">
        <f>VLOOKUP(A430,Table3[#All],12,FALSE)</f>
        <v>Bangalore</v>
      </c>
      <c r="M430" s="2" t="str">
        <f t="shared" si="6"/>
        <v>Not Eligible</v>
      </c>
    </row>
    <row r="431" spans="1:13" hidden="1" x14ac:dyDescent="0.25">
      <c r="A431" s="6" t="s">
        <v>473</v>
      </c>
      <c r="B431" s="2" t="str">
        <f>VLOOKUP(A431,Table3[#All],2,FALSE)</f>
        <v>Lakshmi</v>
      </c>
      <c r="C431" s="2" t="str">
        <f>VLOOKUP(A431,Table3[#All],3,FALSE)</f>
        <v>IT</v>
      </c>
      <c r="D431" s="2">
        <f>VLOOKUP(A431,Table3[#All],4,FALSE)</f>
        <v>38</v>
      </c>
      <c r="E431" s="2" t="str">
        <f>VLOOKUP(A431,Table3[#All],5,FALSE)</f>
        <v>Female</v>
      </c>
      <c r="F431" s="2">
        <f>VLOOKUP(A431,Table3[#All],6,FALSE)</f>
        <v>3</v>
      </c>
      <c r="G431" s="2">
        <f>VLOOKUP(A431,Table3[#All],7,FALSE)</f>
        <v>54123</v>
      </c>
      <c r="H431" s="2">
        <f>VLOOKUP(A431,Table3[#All],8,FALSE)</f>
        <v>6</v>
      </c>
      <c r="I431" s="2">
        <f>VLOOKUP(A431,Table3[#All],9,FALSE)</f>
        <v>50</v>
      </c>
      <c r="J431" s="2">
        <f>VLOOKUP(A431,Table3[#All],10,FALSE)</f>
        <v>4</v>
      </c>
      <c r="K431" s="2">
        <f>VLOOKUP(A431,Table3[#All],11,FALSE)</f>
        <v>97</v>
      </c>
      <c r="L431" s="2" t="str">
        <f>VLOOKUP(A431,Table3[#All],12,FALSE)</f>
        <v>Bangalore</v>
      </c>
      <c r="M431" s="2" t="str">
        <f t="shared" si="6"/>
        <v>Eligible</v>
      </c>
    </row>
    <row r="432" spans="1:13" hidden="1" x14ac:dyDescent="0.25">
      <c r="A432" s="5" t="s">
        <v>474</v>
      </c>
      <c r="B432" s="2" t="str">
        <f>VLOOKUP(A432,Table3[#All],2,FALSE)</f>
        <v>Ajay</v>
      </c>
      <c r="C432" s="2" t="str">
        <f>VLOOKUP(A432,Table3[#All],3,FALSE)</f>
        <v>Finance</v>
      </c>
      <c r="D432" s="2">
        <f>VLOOKUP(A432,Table3[#All],4,FALSE)</f>
        <v>39</v>
      </c>
      <c r="E432" s="2" t="str">
        <f>VLOOKUP(A432,Table3[#All],5,FALSE)</f>
        <v>Male</v>
      </c>
      <c r="F432" s="2">
        <f>VLOOKUP(A432,Table3[#All],6,FALSE)</f>
        <v>1</v>
      </c>
      <c r="G432" s="2">
        <f>VLOOKUP(A432,Table3[#All],7,FALSE)</f>
        <v>31389</v>
      </c>
      <c r="H432" s="2">
        <f>VLOOKUP(A432,Table3[#All],8,FALSE)</f>
        <v>12</v>
      </c>
      <c r="I432" s="2">
        <f>VLOOKUP(A432,Table3[#All],9,FALSE)</f>
        <v>50</v>
      </c>
      <c r="J432" s="2">
        <f>VLOOKUP(A432,Table3[#All],10,FALSE)</f>
        <v>4</v>
      </c>
      <c r="K432" s="2">
        <f>VLOOKUP(A432,Table3[#All],11,FALSE)</f>
        <v>99</v>
      </c>
      <c r="L432" s="2" t="str">
        <f>VLOOKUP(A432,Table3[#All],12,FALSE)</f>
        <v>Chennai</v>
      </c>
      <c r="M432" s="2" t="str">
        <f t="shared" si="6"/>
        <v>Eligible</v>
      </c>
    </row>
    <row r="433" spans="1:13" hidden="1" x14ac:dyDescent="0.25">
      <c r="A433" s="6" t="s">
        <v>675</v>
      </c>
      <c r="B433" s="2" t="str">
        <f>VLOOKUP(A433,Table3[#All],2,FALSE)</f>
        <v>Arun</v>
      </c>
      <c r="C433" s="2" t="str">
        <f>VLOOKUP(A433,Table3[#All],3,FALSE)</f>
        <v>Sales</v>
      </c>
      <c r="D433" s="2">
        <f>VLOOKUP(A433,Table3[#All],4,FALSE)</f>
        <v>31</v>
      </c>
      <c r="E433" s="2" t="str">
        <f>VLOOKUP(A433,Table3[#All],5,FALSE)</f>
        <v>Male</v>
      </c>
      <c r="F433" s="2">
        <f>VLOOKUP(A433,Table3[#All],6,FALSE)</f>
        <v>8</v>
      </c>
      <c r="G433" s="2">
        <f>VLOOKUP(A433,Table3[#All],7,FALSE)</f>
        <v>47805</v>
      </c>
      <c r="H433" s="2">
        <f>VLOOKUP(A433,Table3[#All],8,FALSE)</f>
        <v>15</v>
      </c>
      <c r="I433" s="2">
        <f>VLOOKUP(A433,Table3[#All],9,FALSE)</f>
        <v>44</v>
      </c>
      <c r="J433" s="2">
        <f>VLOOKUP(A433,Table3[#All],10,FALSE)</f>
        <v>1</v>
      </c>
      <c r="K433" s="2">
        <f>VLOOKUP(A433,Table3[#All],11,FALSE)</f>
        <v>88</v>
      </c>
      <c r="L433" s="2" t="str">
        <f>VLOOKUP(A433,Table3[#All],12,FALSE)</f>
        <v>Delhi</v>
      </c>
      <c r="M433" s="2" t="str">
        <f t="shared" si="6"/>
        <v>Not Eligible</v>
      </c>
    </row>
    <row r="434" spans="1:13" hidden="1" x14ac:dyDescent="0.25">
      <c r="A434" s="5" t="s">
        <v>894</v>
      </c>
      <c r="B434" s="2" t="str">
        <f>VLOOKUP(A434,Table3[#All],2,FALSE)</f>
        <v>Ajay</v>
      </c>
      <c r="C434" s="2" t="str">
        <f>VLOOKUP(A434,Table3[#All],3,FALSE)</f>
        <v>Sales</v>
      </c>
      <c r="D434" s="2">
        <f>VLOOKUP(A434,Table3[#All],4,FALSE)</f>
        <v>38</v>
      </c>
      <c r="E434" s="2" t="str">
        <f>VLOOKUP(A434,Table3[#All],5,FALSE)</f>
        <v>Female</v>
      </c>
      <c r="F434" s="2">
        <f>VLOOKUP(A434,Table3[#All],6,FALSE)</f>
        <v>9</v>
      </c>
      <c r="G434" s="2">
        <f>VLOOKUP(A434,Table3[#All],7,FALSE)</f>
        <v>47827</v>
      </c>
      <c r="H434" s="2">
        <f>VLOOKUP(A434,Table3[#All],8,FALSE)</f>
        <v>3</v>
      </c>
      <c r="I434" s="2">
        <f>VLOOKUP(A434,Table3[#All],9,FALSE)</f>
        <v>48</v>
      </c>
      <c r="J434" s="2">
        <f>VLOOKUP(A434,Table3[#All],10,FALSE)</f>
        <v>1</v>
      </c>
      <c r="K434" s="2">
        <f>VLOOKUP(A434,Table3[#All],11,FALSE)</f>
        <v>95</v>
      </c>
      <c r="L434" s="2" t="str">
        <f>VLOOKUP(A434,Table3[#All],12,FALSE)</f>
        <v>Hyderabad</v>
      </c>
      <c r="M434" s="2" t="str">
        <f t="shared" si="6"/>
        <v>Eligible</v>
      </c>
    </row>
    <row r="435" spans="1:13" hidden="1" x14ac:dyDescent="0.25">
      <c r="A435" s="6" t="s">
        <v>527</v>
      </c>
      <c r="B435" s="2" t="str">
        <f>VLOOKUP(A435,Table3[#All],2,FALSE)</f>
        <v>Meena</v>
      </c>
      <c r="C435" s="2" t="str">
        <f>VLOOKUP(A435,Table3[#All],3,FALSE)</f>
        <v>Sales</v>
      </c>
      <c r="D435" s="2">
        <f>VLOOKUP(A435,Table3[#All],4,FALSE)</f>
        <v>24</v>
      </c>
      <c r="E435" s="2" t="str">
        <f>VLOOKUP(A435,Table3[#All],5,FALSE)</f>
        <v>Male</v>
      </c>
      <c r="F435" s="2">
        <f>VLOOKUP(A435,Table3[#All],6,FALSE)</f>
        <v>14</v>
      </c>
      <c r="G435" s="2">
        <f>VLOOKUP(A435,Table3[#All],7,FALSE)</f>
        <v>48017</v>
      </c>
      <c r="H435" s="2">
        <f>VLOOKUP(A435,Table3[#All],8,FALSE)</f>
        <v>13</v>
      </c>
      <c r="I435" s="2">
        <f>VLOOKUP(A435,Table3[#All],9,FALSE)</f>
        <v>36</v>
      </c>
      <c r="J435" s="2">
        <f>VLOOKUP(A435,Table3[#All],10,FALSE)</f>
        <v>3</v>
      </c>
      <c r="K435" s="2">
        <f>VLOOKUP(A435,Table3[#All],11,FALSE)</f>
        <v>87</v>
      </c>
      <c r="L435" s="2" t="str">
        <f>VLOOKUP(A435,Table3[#All],12,FALSE)</f>
        <v>Mumbai</v>
      </c>
      <c r="M435" s="2" t="str">
        <f t="shared" si="6"/>
        <v>Not Eligible</v>
      </c>
    </row>
    <row r="436" spans="1:13" hidden="1" x14ac:dyDescent="0.25">
      <c r="A436" s="5" t="s">
        <v>12</v>
      </c>
      <c r="B436" s="2" t="str">
        <f>VLOOKUP(A436,Table3[#All],2,FALSE)</f>
        <v>Manoj</v>
      </c>
      <c r="C436" s="2" t="str">
        <f>VLOOKUP(A436,Table3[#All],3,FALSE)</f>
        <v>Sales</v>
      </c>
      <c r="D436" s="2">
        <f>VLOOKUP(A436,Table3[#All],4,FALSE)</f>
        <v>33</v>
      </c>
      <c r="E436" s="2" t="str">
        <f>VLOOKUP(A436,Table3[#All],5,FALSE)</f>
        <v>Male</v>
      </c>
      <c r="F436" s="2">
        <f>VLOOKUP(A436,Table3[#All],6,FALSE)</f>
        <v>5</v>
      </c>
      <c r="G436" s="2">
        <f>VLOOKUP(A436,Table3[#All],7,FALSE)</f>
        <v>48089</v>
      </c>
      <c r="H436" s="2">
        <f>VLOOKUP(A436,Table3[#All],8,FALSE)</f>
        <v>10</v>
      </c>
      <c r="I436" s="2">
        <f>VLOOKUP(A436,Table3[#All],9,FALSE)</f>
        <v>37</v>
      </c>
      <c r="J436" s="2">
        <f>VLOOKUP(A436,Table3[#All],10,FALSE)</f>
        <v>4</v>
      </c>
      <c r="K436" s="2">
        <f>VLOOKUP(A436,Table3[#All],11,FALSE)</f>
        <v>90</v>
      </c>
      <c r="L436" s="2" t="str">
        <f>VLOOKUP(A436,Table3[#All],12,FALSE)</f>
        <v>Bangalore</v>
      </c>
      <c r="M436" s="2" t="str">
        <f t="shared" si="6"/>
        <v>Not Eligible</v>
      </c>
    </row>
    <row r="437" spans="1:13" hidden="1" x14ac:dyDescent="0.25">
      <c r="A437" s="6" t="s">
        <v>479</v>
      </c>
      <c r="B437" s="2" t="str">
        <f>VLOOKUP(A437,Table3[#All],2,FALSE)</f>
        <v>Manoj</v>
      </c>
      <c r="C437" s="2" t="str">
        <f>VLOOKUP(A437,Table3[#All],3,FALSE)</f>
        <v>Finance</v>
      </c>
      <c r="D437" s="2">
        <f>VLOOKUP(A437,Table3[#All],4,FALSE)</f>
        <v>38</v>
      </c>
      <c r="E437" s="2" t="str">
        <f>VLOOKUP(A437,Table3[#All],5,FALSE)</f>
        <v>Male</v>
      </c>
      <c r="F437" s="2">
        <f>VLOOKUP(A437,Table3[#All],6,FALSE)</f>
        <v>2</v>
      </c>
      <c r="G437" s="2">
        <f>VLOOKUP(A437,Table3[#All],7,FALSE)</f>
        <v>52688</v>
      </c>
      <c r="H437" s="2">
        <f>VLOOKUP(A437,Table3[#All],8,FALSE)</f>
        <v>9</v>
      </c>
      <c r="I437" s="2">
        <f>VLOOKUP(A437,Table3[#All],9,FALSE)</f>
        <v>44</v>
      </c>
      <c r="J437" s="2">
        <f>VLOOKUP(A437,Table3[#All],10,FALSE)</f>
        <v>2</v>
      </c>
      <c r="K437" s="2">
        <f>VLOOKUP(A437,Table3[#All],11,FALSE)</f>
        <v>89</v>
      </c>
      <c r="L437" s="2" t="str">
        <f>VLOOKUP(A437,Table3[#All],12,FALSE)</f>
        <v>Delhi</v>
      </c>
      <c r="M437" s="2" t="str">
        <f t="shared" si="6"/>
        <v>Not Eligible</v>
      </c>
    </row>
    <row r="438" spans="1:13" hidden="1" x14ac:dyDescent="0.25">
      <c r="A438" s="6" t="s">
        <v>119</v>
      </c>
      <c r="B438" s="2" t="str">
        <f>VLOOKUP(A438,Table3[#All],2,FALSE)</f>
        <v>Manoj</v>
      </c>
      <c r="C438" s="2" t="str">
        <f>VLOOKUP(A438,Table3[#All],3,FALSE)</f>
        <v>IT</v>
      </c>
      <c r="D438" s="2">
        <f>VLOOKUP(A438,Table3[#All],4,FALSE)</f>
        <v>38</v>
      </c>
      <c r="E438" s="2" t="str">
        <f>VLOOKUP(A438,Table3[#All],5,FALSE)</f>
        <v>Male</v>
      </c>
      <c r="F438" s="2">
        <f>VLOOKUP(A438,Table3[#All],6,FALSE)</f>
        <v>10</v>
      </c>
      <c r="G438" s="2">
        <f>VLOOKUP(A438,Table3[#All],7,FALSE)</f>
        <v>48173</v>
      </c>
      <c r="H438" s="2">
        <f>VLOOKUP(A438,Table3[#All],8,FALSE)</f>
        <v>8</v>
      </c>
      <c r="I438" s="2">
        <f>VLOOKUP(A438,Table3[#All],9,FALSE)</f>
        <v>35</v>
      </c>
      <c r="J438" s="2">
        <f>VLOOKUP(A438,Table3[#All],10,FALSE)</f>
        <v>4</v>
      </c>
      <c r="K438" s="2">
        <f>VLOOKUP(A438,Table3[#All],11,FALSE)</f>
        <v>91</v>
      </c>
      <c r="L438" s="2" t="str">
        <f>VLOOKUP(A438,Table3[#All],12,FALSE)</f>
        <v>Hyderabad</v>
      </c>
      <c r="M438" s="2" t="str">
        <f t="shared" si="6"/>
        <v>Not Eligible</v>
      </c>
    </row>
    <row r="439" spans="1:13" hidden="1" x14ac:dyDescent="0.25">
      <c r="A439" s="6" t="s">
        <v>1021</v>
      </c>
      <c r="B439" s="2" t="str">
        <f>VLOOKUP(A439,Table3[#All],2,FALSE)</f>
        <v>Vijay</v>
      </c>
      <c r="C439" s="2" t="str">
        <f>VLOOKUP(A439,Table3[#All],3,FALSE)</f>
        <v>IT</v>
      </c>
      <c r="D439" s="2">
        <f>VLOOKUP(A439,Table3[#All],4,FALSE)</f>
        <v>24</v>
      </c>
      <c r="E439" s="2" t="str">
        <f>VLOOKUP(A439,Table3[#All],5,FALSE)</f>
        <v>Female</v>
      </c>
      <c r="F439" s="2">
        <f>VLOOKUP(A439,Table3[#All],6,FALSE)</f>
        <v>11</v>
      </c>
      <c r="G439" s="2">
        <f>VLOOKUP(A439,Table3[#All],7,FALSE)</f>
        <v>48408</v>
      </c>
      <c r="H439" s="2">
        <f>VLOOKUP(A439,Table3[#All],8,FALSE)</f>
        <v>8</v>
      </c>
      <c r="I439" s="2">
        <f>VLOOKUP(A439,Table3[#All],9,FALSE)</f>
        <v>36</v>
      </c>
      <c r="J439" s="2">
        <f>VLOOKUP(A439,Table3[#All],10,FALSE)</f>
        <v>2</v>
      </c>
      <c r="K439" s="2">
        <f>VLOOKUP(A439,Table3[#All],11,FALSE)</f>
        <v>93</v>
      </c>
      <c r="L439" s="2" t="str">
        <f>VLOOKUP(A439,Table3[#All],12,FALSE)</f>
        <v>Delhi</v>
      </c>
      <c r="M439" s="2" t="str">
        <f t="shared" si="6"/>
        <v>Not Eligible</v>
      </c>
    </row>
    <row r="440" spans="1:13" x14ac:dyDescent="0.25">
      <c r="A440" s="6" t="s">
        <v>315</v>
      </c>
      <c r="B440" s="2" t="str">
        <f>VLOOKUP(A440,Table3[#All],2,FALSE)</f>
        <v>Manoj</v>
      </c>
      <c r="C440" s="2" t="str">
        <f>VLOOKUP(A440,Table3[#All],3,FALSE)</f>
        <v>Finance</v>
      </c>
      <c r="D440" s="2">
        <f>VLOOKUP(A440,Table3[#All],4,FALSE)</f>
        <v>30</v>
      </c>
      <c r="E440" s="2" t="str">
        <f>VLOOKUP(A440,Table3[#All],5,FALSE)</f>
        <v>Female</v>
      </c>
      <c r="F440" s="2">
        <f>VLOOKUP(A440,Table3[#All],6,FALSE)</f>
        <v>10</v>
      </c>
      <c r="G440" s="2">
        <f>VLOOKUP(A440,Table3[#All],7,FALSE)</f>
        <v>48503</v>
      </c>
      <c r="H440" s="2">
        <f>VLOOKUP(A440,Table3[#All],8,FALSE)</f>
        <v>13</v>
      </c>
      <c r="I440" s="2">
        <f>VLOOKUP(A440,Table3[#All],9,FALSE)</f>
        <v>35</v>
      </c>
      <c r="J440" s="2">
        <f>VLOOKUP(A440,Table3[#All],10,FALSE)</f>
        <v>4</v>
      </c>
      <c r="K440" s="2">
        <f>VLOOKUP(A440,Table3[#All],11,FALSE)</f>
        <v>92</v>
      </c>
      <c r="L440" s="2" t="str">
        <f>VLOOKUP(A440,Table3[#All],12,FALSE)</f>
        <v>Delhi</v>
      </c>
      <c r="M440" s="2" t="str">
        <f t="shared" si="6"/>
        <v>Not Eligible</v>
      </c>
    </row>
    <row r="441" spans="1:13" hidden="1" x14ac:dyDescent="0.25">
      <c r="A441" s="6" t="s">
        <v>345</v>
      </c>
      <c r="B441" s="2" t="str">
        <f>VLOOKUP(A441,Table3[#All],2,FALSE)</f>
        <v>Sneha</v>
      </c>
      <c r="C441" s="2" t="str">
        <f>VLOOKUP(A441,Table3[#All],3,FALSE)</f>
        <v>HR</v>
      </c>
      <c r="D441" s="2">
        <f>VLOOKUP(A441,Table3[#All],4,FALSE)</f>
        <v>31</v>
      </c>
      <c r="E441" s="2" t="str">
        <f>VLOOKUP(A441,Table3[#All],5,FALSE)</f>
        <v>Male</v>
      </c>
      <c r="F441" s="2">
        <f>VLOOKUP(A441,Table3[#All],6,FALSE)</f>
        <v>12</v>
      </c>
      <c r="G441" s="2">
        <f>VLOOKUP(A441,Table3[#All],7,FALSE)</f>
        <v>48510</v>
      </c>
      <c r="H441" s="2">
        <f>VLOOKUP(A441,Table3[#All],8,FALSE)</f>
        <v>6</v>
      </c>
      <c r="I441" s="2">
        <f>VLOOKUP(A441,Table3[#All],9,FALSE)</f>
        <v>48</v>
      </c>
      <c r="J441" s="2">
        <f>VLOOKUP(A441,Table3[#All],10,FALSE)</f>
        <v>5</v>
      </c>
      <c r="K441" s="2">
        <f>VLOOKUP(A441,Table3[#All],11,FALSE)</f>
        <v>86</v>
      </c>
      <c r="L441" s="2" t="str">
        <f>VLOOKUP(A441,Table3[#All],12,FALSE)</f>
        <v>Hyderabad</v>
      </c>
      <c r="M441" s="2" t="str">
        <f t="shared" si="6"/>
        <v>Not Eligible</v>
      </c>
    </row>
    <row r="442" spans="1:13" hidden="1" x14ac:dyDescent="0.25">
      <c r="A442" s="5" t="s">
        <v>476</v>
      </c>
      <c r="B442" s="2" t="str">
        <f>VLOOKUP(A442,Table3[#All],2,FALSE)</f>
        <v>Manoj</v>
      </c>
      <c r="C442" s="2" t="str">
        <f>VLOOKUP(A442,Table3[#All],3,FALSE)</f>
        <v>IT</v>
      </c>
      <c r="D442" s="2">
        <f>VLOOKUP(A442,Table3[#All],4,FALSE)</f>
        <v>35</v>
      </c>
      <c r="E442" s="2" t="str">
        <f>VLOOKUP(A442,Table3[#All],5,FALSE)</f>
        <v>Male</v>
      </c>
      <c r="F442" s="2">
        <f>VLOOKUP(A442,Table3[#All],6,FALSE)</f>
        <v>12</v>
      </c>
      <c r="G442" s="2">
        <f>VLOOKUP(A442,Table3[#All],7,FALSE)</f>
        <v>48783</v>
      </c>
      <c r="H442" s="2">
        <f>VLOOKUP(A442,Table3[#All],8,FALSE)</f>
        <v>14</v>
      </c>
      <c r="I442" s="2">
        <f>VLOOKUP(A442,Table3[#All],9,FALSE)</f>
        <v>40</v>
      </c>
      <c r="J442" s="2">
        <f>VLOOKUP(A442,Table3[#All],10,FALSE)</f>
        <v>4</v>
      </c>
      <c r="K442" s="2">
        <f>VLOOKUP(A442,Table3[#All],11,FALSE)</f>
        <v>88</v>
      </c>
      <c r="L442" s="2" t="str">
        <f>VLOOKUP(A442,Table3[#All],12,FALSE)</f>
        <v>Hyderabad</v>
      </c>
      <c r="M442" s="2" t="str">
        <f t="shared" si="6"/>
        <v>Not Eligible</v>
      </c>
    </row>
    <row r="443" spans="1:13" x14ac:dyDescent="0.25">
      <c r="A443" s="6" t="s">
        <v>967</v>
      </c>
      <c r="B443" s="2" t="str">
        <f>VLOOKUP(A443,Table3[#All],2,FALSE)</f>
        <v>Nisha</v>
      </c>
      <c r="C443" s="2" t="str">
        <f>VLOOKUP(A443,Table3[#All],3,FALSE)</f>
        <v>Sales</v>
      </c>
      <c r="D443" s="2">
        <f>VLOOKUP(A443,Table3[#All],4,FALSE)</f>
        <v>35</v>
      </c>
      <c r="E443" s="2" t="str">
        <f>VLOOKUP(A443,Table3[#All],5,FALSE)</f>
        <v>Male</v>
      </c>
      <c r="F443" s="2">
        <f>VLOOKUP(A443,Table3[#All],6,FALSE)</f>
        <v>15</v>
      </c>
      <c r="G443" s="2">
        <f>VLOOKUP(A443,Table3[#All],7,FALSE)</f>
        <v>49071</v>
      </c>
      <c r="H443" s="2">
        <f>VLOOKUP(A443,Table3[#All],8,FALSE)</f>
        <v>13</v>
      </c>
      <c r="I443" s="2">
        <f>VLOOKUP(A443,Table3[#All],9,FALSE)</f>
        <v>45</v>
      </c>
      <c r="J443" s="2">
        <f>VLOOKUP(A443,Table3[#All],10,FALSE)</f>
        <v>4</v>
      </c>
      <c r="K443" s="2">
        <f>VLOOKUP(A443,Table3[#All],11,FALSE)</f>
        <v>96</v>
      </c>
      <c r="L443" s="2" t="str">
        <f>VLOOKUP(A443,Table3[#All],12,FALSE)</f>
        <v>Hyderabad</v>
      </c>
      <c r="M443" s="2" t="str">
        <f t="shared" si="6"/>
        <v>Eligible</v>
      </c>
    </row>
    <row r="444" spans="1:13" x14ac:dyDescent="0.25">
      <c r="A444" s="5" t="s">
        <v>992</v>
      </c>
      <c r="B444" s="2" t="str">
        <f>VLOOKUP(A444,Table3[#All],2,FALSE)</f>
        <v>Manoj</v>
      </c>
      <c r="C444" s="2" t="str">
        <f>VLOOKUP(A444,Table3[#All],3,FALSE)</f>
        <v>Finance</v>
      </c>
      <c r="D444" s="2">
        <f>VLOOKUP(A444,Table3[#All],4,FALSE)</f>
        <v>36</v>
      </c>
      <c r="E444" s="2" t="str">
        <f>VLOOKUP(A444,Table3[#All],5,FALSE)</f>
        <v>Female</v>
      </c>
      <c r="F444" s="2">
        <f>VLOOKUP(A444,Table3[#All],6,FALSE)</f>
        <v>5</v>
      </c>
      <c r="G444" s="2">
        <f>VLOOKUP(A444,Table3[#All],7,FALSE)</f>
        <v>49089</v>
      </c>
      <c r="H444" s="2">
        <f>VLOOKUP(A444,Table3[#All],8,FALSE)</f>
        <v>14</v>
      </c>
      <c r="I444" s="2">
        <f>VLOOKUP(A444,Table3[#All],9,FALSE)</f>
        <v>41</v>
      </c>
      <c r="J444" s="2">
        <f>VLOOKUP(A444,Table3[#All],10,FALSE)</f>
        <v>5</v>
      </c>
      <c r="K444" s="2">
        <f>VLOOKUP(A444,Table3[#All],11,FALSE)</f>
        <v>98</v>
      </c>
      <c r="L444" s="2" t="str">
        <f>VLOOKUP(A444,Table3[#All],12,FALSE)</f>
        <v>Bangalore</v>
      </c>
      <c r="M444" s="2" t="str">
        <f t="shared" si="6"/>
        <v>Eligible</v>
      </c>
    </row>
    <row r="445" spans="1:13" x14ac:dyDescent="0.25">
      <c r="A445" s="5" t="s">
        <v>254</v>
      </c>
      <c r="B445" s="2" t="str">
        <f>VLOOKUP(A445,Table3[#All],2,FALSE)</f>
        <v>Meena</v>
      </c>
      <c r="C445" s="2" t="str">
        <f>VLOOKUP(A445,Table3[#All],3,FALSE)</f>
        <v>Sales</v>
      </c>
      <c r="D445" s="2">
        <f>VLOOKUP(A445,Table3[#All],4,FALSE)</f>
        <v>38</v>
      </c>
      <c r="E445" s="2" t="str">
        <f>VLOOKUP(A445,Table3[#All],5,FALSE)</f>
        <v>Male</v>
      </c>
      <c r="F445" s="2">
        <f>VLOOKUP(A445,Table3[#All],6,FALSE)</f>
        <v>14</v>
      </c>
      <c r="G445" s="2">
        <f>VLOOKUP(A445,Table3[#All],7,FALSE)</f>
        <v>49179</v>
      </c>
      <c r="H445" s="2">
        <f>VLOOKUP(A445,Table3[#All],8,FALSE)</f>
        <v>11</v>
      </c>
      <c r="I445" s="2">
        <f>VLOOKUP(A445,Table3[#All],9,FALSE)</f>
        <v>35</v>
      </c>
      <c r="J445" s="2">
        <f>VLOOKUP(A445,Table3[#All],10,FALSE)</f>
        <v>3</v>
      </c>
      <c r="K445" s="2">
        <f>VLOOKUP(A445,Table3[#All],11,FALSE)</f>
        <v>98</v>
      </c>
      <c r="L445" s="2" t="str">
        <f>VLOOKUP(A445,Table3[#All],12,FALSE)</f>
        <v>Bangalore</v>
      </c>
      <c r="M445" s="2" t="str">
        <f t="shared" si="6"/>
        <v>Eligible</v>
      </c>
    </row>
    <row r="446" spans="1:13" hidden="1" x14ac:dyDescent="0.25">
      <c r="A446" s="5" t="s">
        <v>488</v>
      </c>
      <c r="B446" s="2" t="str">
        <f>VLOOKUP(A446,Table3[#All],2,FALSE)</f>
        <v>Suresh</v>
      </c>
      <c r="C446" s="2" t="str">
        <f>VLOOKUP(A446,Table3[#All],3,FALSE)</f>
        <v>IT</v>
      </c>
      <c r="D446" s="2">
        <f>VLOOKUP(A446,Table3[#All],4,FALSE)</f>
        <v>25</v>
      </c>
      <c r="E446" s="2" t="str">
        <f>VLOOKUP(A446,Table3[#All],5,FALSE)</f>
        <v>Female</v>
      </c>
      <c r="F446" s="2">
        <f>VLOOKUP(A446,Table3[#All],6,FALSE)</f>
        <v>3</v>
      </c>
      <c r="G446" s="2">
        <f>VLOOKUP(A446,Table3[#All],7,FALSE)</f>
        <v>55469</v>
      </c>
      <c r="H446" s="2">
        <f>VLOOKUP(A446,Table3[#All],8,FALSE)</f>
        <v>9</v>
      </c>
      <c r="I446" s="2">
        <f>VLOOKUP(A446,Table3[#All],9,FALSE)</f>
        <v>37</v>
      </c>
      <c r="J446" s="2">
        <f>VLOOKUP(A446,Table3[#All],10,FALSE)</f>
        <v>1</v>
      </c>
      <c r="K446" s="2">
        <f>VLOOKUP(A446,Table3[#All],11,FALSE)</f>
        <v>85</v>
      </c>
      <c r="L446" s="2" t="str">
        <f>VLOOKUP(A446,Table3[#All],12,FALSE)</f>
        <v>Bangalore</v>
      </c>
      <c r="M446" s="2" t="str">
        <f t="shared" si="6"/>
        <v>Not Eligible</v>
      </c>
    </row>
    <row r="447" spans="1:13" hidden="1" x14ac:dyDescent="0.25">
      <c r="A447" s="6" t="s">
        <v>853</v>
      </c>
      <c r="B447" s="2" t="str">
        <f>VLOOKUP(A447,Table3[#All],2,FALSE)</f>
        <v>Ajay</v>
      </c>
      <c r="C447" s="2" t="str">
        <f>VLOOKUP(A447,Table3[#All],3,FALSE)</f>
        <v>IT</v>
      </c>
      <c r="D447" s="2">
        <f>VLOOKUP(A447,Table3[#All],4,FALSE)</f>
        <v>32</v>
      </c>
      <c r="E447" s="2" t="str">
        <f>VLOOKUP(A447,Table3[#All],5,FALSE)</f>
        <v>Male</v>
      </c>
      <c r="F447" s="2">
        <f>VLOOKUP(A447,Table3[#All],6,FALSE)</f>
        <v>7</v>
      </c>
      <c r="G447" s="2">
        <f>VLOOKUP(A447,Table3[#All],7,FALSE)</f>
        <v>49181</v>
      </c>
      <c r="H447" s="2">
        <f>VLOOKUP(A447,Table3[#All],8,FALSE)</f>
        <v>4</v>
      </c>
      <c r="I447" s="2">
        <f>VLOOKUP(A447,Table3[#All],9,FALSE)</f>
        <v>37</v>
      </c>
      <c r="J447" s="2">
        <f>VLOOKUP(A447,Table3[#All],10,FALSE)</f>
        <v>2</v>
      </c>
      <c r="K447" s="2">
        <f>VLOOKUP(A447,Table3[#All],11,FALSE)</f>
        <v>93</v>
      </c>
      <c r="L447" s="2" t="str">
        <f>VLOOKUP(A447,Table3[#All],12,FALSE)</f>
        <v>Bangalore</v>
      </c>
      <c r="M447" s="2" t="str">
        <f t="shared" si="6"/>
        <v>Not Eligible</v>
      </c>
    </row>
    <row r="448" spans="1:13" hidden="1" x14ac:dyDescent="0.25">
      <c r="A448" s="5" t="s">
        <v>490</v>
      </c>
      <c r="B448" s="2" t="str">
        <f>VLOOKUP(A448,Table3[#All],2,FALSE)</f>
        <v>Manoj</v>
      </c>
      <c r="C448" s="2" t="str">
        <f>VLOOKUP(A448,Table3[#All],3,FALSE)</f>
        <v>IT</v>
      </c>
      <c r="D448" s="2">
        <f>VLOOKUP(A448,Table3[#All],4,FALSE)</f>
        <v>34</v>
      </c>
      <c r="E448" s="2" t="str">
        <f>VLOOKUP(A448,Table3[#All],5,FALSE)</f>
        <v>Male</v>
      </c>
      <c r="F448" s="2">
        <f>VLOOKUP(A448,Table3[#All],6,FALSE)</f>
        <v>3</v>
      </c>
      <c r="G448" s="2">
        <f>VLOOKUP(A448,Table3[#All],7,FALSE)</f>
        <v>67031</v>
      </c>
      <c r="H448" s="2">
        <f>VLOOKUP(A448,Table3[#All],8,FALSE)</f>
        <v>12</v>
      </c>
      <c r="I448" s="2">
        <f>VLOOKUP(A448,Table3[#All],9,FALSE)</f>
        <v>38</v>
      </c>
      <c r="J448" s="2">
        <f>VLOOKUP(A448,Table3[#All],10,FALSE)</f>
        <v>1</v>
      </c>
      <c r="K448" s="2">
        <f>VLOOKUP(A448,Table3[#All],11,FALSE)</f>
        <v>99</v>
      </c>
      <c r="L448" s="2" t="str">
        <f>VLOOKUP(A448,Table3[#All],12,FALSE)</f>
        <v>Chennai</v>
      </c>
      <c r="M448" s="2" t="str">
        <f t="shared" si="6"/>
        <v>Eligible</v>
      </c>
    </row>
    <row r="449" spans="1:13" hidden="1" x14ac:dyDescent="0.25">
      <c r="A449" s="5" t="s">
        <v>440</v>
      </c>
      <c r="B449" s="2" t="str">
        <f>VLOOKUP(A449,Table3[#All],2,FALSE)</f>
        <v>Ramesh</v>
      </c>
      <c r="C449" s="2" t="str">
        <f>VLOOKUP(A449,Table3[#All],3,FALSE)</f>
        <v>Finance</v>
      </c>
      <c r="D449" s="2">
        <f>VLOOKUP(A449,Table3[#All],4,FALSE)</f>
        <v>24</v>
      </c>
      <c r="E449" s="2" t="str">
        <f>VLOOKUP(A449,Table3[#All],5,FALSE)</f>
        <v>Male</v>
      </c>
      <c r="F449" s="2">
        <f>VLOOKUP(A449,Table3[#All],6,FALSE)</f>
        <v>9</v>
      </c>
      <c r="G449" s="2">
        <f>VLOOKUP(A449,Table3[#All],7,FALSE)</f>
        <v>49186</v>
      </c>
      <c r="H449" s="2">
        <f>VLOOKUP(A449,Table3[#All],8,FALSE)</f>
        <v>3</v>
      </c>
      <c r="I449" s="2">
        <f>VLOOKUP(A449,Table3[#All],9,FALSE)</f>
        <v>35</v>
      </c>
      <c r="J449" s="2">
        <f>VLOOKUP(A449,Table3[#All],10,FALSE)</f>
        <v>3</v>
      </c>
      <c r="K449" s="2">
        <f>VLOOKUP(A449,Table3[#All],11,FALSE)</f>
        <v>89</v>
      </c>
      <c r="L449" s="2" t="str">
        <f>VLOOKUP(A449,Table3[#All],12,FALSE)</f>
        <v>Delhi</v>
      </c>
      <c r="M449" s="2" t="str">
        <f t="shared" si="6"/>
        <v>Not Eligible</v>
      </c>
    </row>
    <row r="450" spans="1:13" hidden="1" x14ac:dyDescent="0.25">
      <c r="A450" s="6" t="s">
        <v>873</v>
      </c>
      <c r="B450" s="2" t="str">
        <f>VLOOKUP(A450,Table3[#All],2,FALSE)</f>
        <v>Arun</v>
      </c>
      <c r="C450" s="2" t="str">
        <f>VLOOKUP(A450,Table3[#All],3,FALSE)</f>
        <v>HR</v>
      </c>
      <c r="D450" s="2">
        <f>VLOOKUP(A450,Table3[#All],4,FALSE)</f>
        <v>36</v>
      </c>
      <c r="E450" s="2" t="str">
        <f>VLOOKUP(A450,Table3[#All],5,FALSE)</f>
        <v>Female</v>
      </c>
      <c r="F450" s="2">
        <f>VLOOKUP(A450,Table3[#All],6,FALSE)</f>
        <v>12</v>
      </c>
      <c r="G450" s="2">
        <f>VLOOKUP(A450,Table3[#All],7,FALSE)</f>
        <v>49197</v>
      </c>
      <c r="H450" s="2">
        <f>VLOOKUP(A450,Table3[#All],8,FALSE)</f>
        <v>3</v>
      </c>
      <c r="I450" s="2">
        <f>VLOOKUP(A450,Table3[#All],9,FALSE)</f>
        <v>40</v>
      </c>
      <c r="J450" s="2">
        <f>VLOOKUP(A450,Table3[#All],10,FALSE)</f>
        <v>4</v>
      </c>
      <c r="K450" s="2">
        <f>VLOOKUP(A450,Table3[#All],11,FALSE)</f>
        <v>100</v>
      </c>
      <c r="L450" s="2" t="str">
        <f>VLOOKUP(A450,Table3[#All],12,FALSE)</f>
        <v>Chennai</v>
      </c>
      <c r="M450" s="2" t="str">
        <f t="shared" ref="M450:M513" si="7">IF(K450&gt;=95,"Eligible","Not Eligible")</f>
        <v>Eligible</v>
      </c>
    </row>
    <row r="451" spans="1:13" hidden="1" x14ac:dyDescent="0.25">
      <c r="A451" s="6" t="s">
        <v>911</v>
      </c>
      <c r="B451" s="2" t="str">
        <f>VLOOKUP(A451,Table3[#All],2,FALSE)</f>
        <v>Sneha</v>
      </c>
      <c r="C451" s="2" t="str">
        <f>VLOOKUP(A451,Table3[#All],3,FALSE)</f>
        <v>Sales</v>
      </c>
      <c r="D451" s="2">
        <f>VLOOKUP(A451,Table3[#All],4,FALSE)</f>
        <v>40</v>
      </c>
      <c r="E451" s="2" t="str">
        <f>VLOOKUP(A451,Table3[#All],5,FALSE)</f>
        <v>Female</v>
      </c>
      <c r="F451" s="2">
        <f>VLOOKUP(A451,Table3[#All],6,FALSE)</f>
        <v>13</v>
      </c>
      <c r="G451" s="2">
        <f>VLOOKUP(A451,Table3[#All],7,FALSE)</f>
        <v>49299</v>
      </c>
      <c r="H451" s="2">
        <f>VLOOKUP(A451,Table3[#All],8,FALSE)</f>
        <v>5</v>
      </c>
      <c r="I451" s="2">
        <f>VLOOKUP(A451,Table3[#All],9,FALSE)</f>
        <v>38</v>
      </c>
      <c r="J451" s="2">
        <f>VLOOKUP(A451,Table3[#All],10,FALSE)</f>
        <v>3</v>
      </c>
      <c r="K451" s="2">
        <f>VLOOKUP(A451,Table3[#All],11,FALSE)</f>
        <v>95</v>
      </c>
      <c r="L451" s="2" t="str">
        <f>VLOOKUP(A451,Table3[#All],12,FALSE)</f>
        <v>Mumbai</v>
      </c>
      <c r="M451" s="2" t="str">
        <f t="shared" si="7"/>
        <v>Eligible</v>
      </c>
    </row>
    <row r="452" spans="1:13" x14ac:dyDescent="0.25">
      <c r="A452" s="5" t="s">
        <v>418</v>
      </c>
      <c r="B452" s="2" t="str">
        <f>VLOOKUP(A452,Table3[#All],2,FALSE)</f>
        <v>Ajay</v>
      </c>
      <c r="C452" s="2" t="str">
        <f>VLOOKUP(A452,Table3[#All],3,FALSE)</f>
        <v>IT</v>
      </c>
      <c r="D452" s="2">
        <f>VLOOKUP(A452,Table3[#All],4,FALSE)</f>
        <v>33</v>
      </c>
      <c r="E452" s="2" t="str">
        <f>VLOOKUP(A452,Table3[#All],5,FALSE)</f>
        <v>Female</v>
      </c>
      <c r="F452" s="2">
        <f>VLOOKUP(A452,Table3[#All],6,FALSE)</f>
        <v>12</v>
      </c>
      <c r="G452" s="2">
        <f>VLOOKUP(A452,Table3[#All],7,FALSE)</f>
        <v>49385</v>
      </c>
      <c r="H452" s="2">
        <f>VLOOKUP(A452,Table3[#All],8,FALSE)</f>
        <v>11</v>
      </c>
      <c r="I452" s="2">
        <f>VLOOKUP(A452,Table3[#All],9,FALSE)</f>
        <v>40</v>
      </c>
      <c r="J452" s="2">
        <f>VLOOKUP(A452,Table3[#All],10,FALSE)</f>
        <v>5</v>
      </c>
      <c r="K452" s="2">
        <f>VLOOKUP(A452,Table3[#All],11,FALSE)</f>
        <v>91</v>
      </c>
      <c r="L452" s="2" t="str">
        <f>VLOOKUP(A452,Table3[#All],12,FALSE)</f>
        <v>Pune</v>
      </c>
      <c r="M452" s="2" t="str">
        <f t="shared" si="7"/>
        <v>Not Eligible</v>
      </c>
    </row>
    <row r="453" spans="1:13" hidden="1" x14ac:dyDescent="0.25">
      <c r="A453" s="6" t="s">
        <v>495</v>
      </c>
      <c r="B453" s="2" t="str">
        <f>VLOOKUP(A453,Table3[#All],2,FALSE)</f>
        <v>Karthik</v>
      </c>
      <c r="C453" s="2" t="str">
        <f>VLOOKUP(A453,Table3[#All],3,FALSE)</f>
        <v>Finance</v>
      </c>
      <c r="D453" s="2">
        <f>VLOOKUP(A453,Table3[#All],4,FALSE)</f>
        <v>32</v>
      </c>
      <c r="E453" s="2" t="str">
        <f>VLOOKUP(A453,Table3[#All],5,FALSE)</f>
        <v>Male</v>
      </c>
      <c r="F453" s="2">
        <f>VLOOKUP(A453,Table3[#All],6,FALSE)</f>
        <v>3</v>
      </c>
      <c r="G453" s="2">
        <f>VLOOKUP(A453,Table3[#All],7,FALSE)</f>
        <v>78971</v>
      </c>
      <c r="H453" s="2">
        <f>VLOOKUP(A453,Table3[#All],8,FALSE)</f>
        <v>5</v>
      </c>
      <c r="I453" s="2">
        <f>VLOOKUP(A453,Table3[#All],9,FALSE)</f>
        <v>40</v>
      </c>
      <c r="J453" s="2">
        <f>VLOOKUP(A453,Table3[#All],10,FALSE)</f>
        <v>3</v>
      </c>
      <c r="K453" s="2">
        <f>VLOOKUP(A453,Table3[#All],11,FALSE)</f>
        <v>96</v>
      </c>
      <c r="L453" s="2" t="str">
        <f>VLOOKUP(A453,Table3[#All],12,FALSE)</f>
        <v>Delhi</v>
      </c>
      <c r="M453" s="2" t="str">
        <f t="shared" si="7"/>
        <v>Eligible</v>
      </c>
    </row>
    <row r="454" spans="1:13" hidden="1" x14ac:dyDescent="0.25">
      <c r="A454" s="5" t="s">
        <v>496</v>
      </c>
      <c r="B454" s="2" t="str">
        <f>VLOOKUP(A454,Table3[#All],2,FALSE)</f>
        <v>Priya</v>
      </c>
      <c r="C454" s="2" t="str">
        <f>VLOOKUP(A454,Table3[#All],3,FALSE)</f>
        <v>Finance</v>
      </c>
      <c r="D454" s="2">
        <f>VLOOKUP(A454,Table3[#All],4,FALSE)</f>
        <v>30</v>
      </c>
      <c r="E454" s="2" t="str">
        <f>VLOOKUP(A454,Table3[#All],5,FALSE)</f>
        <v>Male</v>
      </c>
      <c r="F454" s="2">
        <f>VLOOKUP(A454,Table3[#All],6,FALSE)</f>
        <v>4</v>
      </c>
      <c r="G454" s="2">
        <f>VLOOKUP(A454,Table3[#All],7,FALSE)</f>
        <v>28161</v>
      </c>
      <c r="H454" s="2">
        <f>VLOOKUP(A454,Table3[#All],8,FALSE)</f>
        <v>5</v>
      </c>
      <c r="I454" s="2">
        <f>VLOOKUP(A454,Table3[#All],9,FALSE)</f>
        <v>38</v>
      </c>
      <c r="J454" s="2">
        <f>VLOOKUP(A454,Table3[#All],10,FALSE)</f>
        <v>5</v>
      </c>
      <c r="K454" s="2">
        <f>VLOOKUP(A454,Table3[#All],11,FALSE)</f>
        <v>89</v>
      </c>
      <c r="L454" s="2" t="str">
        <f>VLOOKUP(A454,Table3[#All],12,FALSE)</f>
        <v>Bangalore</v>
      </c>
      <c r="M454" s="2" t="str">
        <f t="shared" si="7"/>
        <v>Not Eligible</v>
      </c>
    </row>
    <row r="455" spans="1:13" x14ac:dyDescent="0.25">
      <c r="A455" s="6" t="s">
        <v>619</v>
      </c>
      <c r="B455" s="2" t="str">
        <f>VLOOKUP(A455,Table3[#All],2,FALSE)</f>
        <v>Vijay</v>
      </c>
      <c r="C455" s="2" t="str">
        <f>VLOOKUP(A455,Table3[#All],3,FALSE)</f>
        <v>Finance</v>
      </c>
      <c r="D455" s="2">
        <f>VLOOKUP(A455,Table3[#All],4,FALSE)</f>
        <v>25</v>
      </c>
      <c r="E455" s="2" t="str">
        <f>VLOOKUP(A455,Table3[#All],5,FALSE)</f>
        <v>Female</v>
      </c>
      <c r="F455" s="2">
        <f>VLOOKUP(A455,Table3[#All],6,FALSE)</f>
        <v>6</v>
      </c>
      <c r="G455" s="2">
        <f>VLOOKUP(A455,Table3[#All],7,FALSE)</f>
        <v>49455</v>
      </c>
      <c r="H455" s="2">
        <f>VLOOKUP(A455,Table3[#All],8,FALSE)</f>
        <v>11</v>
      </c>
      <c r="I455" s="2">
        <f>VLOOKUP(A455,Table3[#All],9,FALSE)</f>
        <v>46</v>
      </c>
      <c r="J455" s="2">
        <f>VLOOKUP(A455,Table3[#All],10,FALSE)</f>
        <v>5</v>
      </c>
      <c r="K455" s="2">
        <f>VLOOKUP(A455,Table3[#All],11,FALSE)</f>
        <v>94</v>
      </c>
      <c r="L455" s="2" t="str">
        <f>VLOOKUP(A455,Table3[#All],12,FALSE)</f>
        <v>Hyderabad</v>
      </c>
      <c r="M455" s="2" t="str">
        <f t="shared" si="7"/>
        <v>Not Eligible</v>
      </c>
    </row>
    <row r="456" spans="1:13" hidden="1" x14ac:dyDescent="0.25">
      <c r="A456" s="5" t="s">
        <v>498</v>
      </c>
      <c r="B456" s="2" t="str">
        <f>VLOOKUP(A456,Table3[#All],2,FALSE)</f>
        <v>Suresh</v>
      </c>
      <c r="C456" s="2" t="str">
        <f>VLOOKUP(A456,Table3[#All],3,FALSE)</f>
        <v>IT</v>
      </c>
      <c r="D456" s="2">
        <f>VLOOKUP(A456,Table3[#All],4,FALSE)</f>
        <v>39</v>
      </c>
      <c r="E456" s="2" t="str">
        <f>VLOOKUP(A456,Table3[#All],5,FALSE)</f>
        <v>Male</v>
      </c>
      <c r="F456" s="2">
        <f>VLOOKUP(A456,Table3[#All],6,FALSE)</f>
        <v>3</v>
      </c>
      <c r="G456" s="2">
        <f>VLOOKUP(A456,Table3[#All],7,FALSE)</f>
        <v>51327</v>
      </c>
      <c r="H456" s="2">
        <f>VLOOKUP(A456,Table3[#All],8,FALSE)</f>
        <v>3</v>
      </c>
      <c r="I456" s="2">
        <f>VLOOKUP(A456,Table3[#All],9,FALSE)</f>
        <v>35</v>
      </c>
      <c r="J456" s="2">
        <f>VLOOKUP(A456,Table3[#All],10,FALSE)</f>
        <v>3</v>
      </c>
      <c r="K456" s="2">
        <f>VLOOKUP(A456,Table3[#All],11,FALSE)</f>
        <v>97</v>
      </c>
      <c r="L456" s="2" t="str">
        <f>VLOOKUP(A456,Table3[#All],12,FALSE)</f>
        <v>Bangalore</v>
      </c>
      <c r="M456" s="2" t="str">
        <f t="shared" si="7"/>
        <v>Eligible</v>
      </c>
    </row>
    <row r="457" spans="1:13" hidden="1" x14ac:dyDescent="0.25">
      <c r="A457" s="5" t="s">
        <v>538</v>
      </c>
      <c r="B457" s="2" t="str">
        <f>VLOOKUP(A457,Table3[#All],2,FALSE)</f>
        <v>Kavya</v>
      </c>
      <c r="C457" s="2" t="str">
        <f>VLOOKUP(A457,Table3[#All],3,FALSE)</f>
        <v>Finance</v>
      </c>
      <c r="D457" s="2">
        <f>VLOOKUP(A457,Table3[#All],4,FALSE)</f>
        <v>38</v>
      </c>
      <c r="E457" s="2" t="str">
        <f>VLOOKUP(A457,Table3[#All],5,FALSE)</f>
        <v>Male</v>
      </c>
      <c r="F457" s="2">
        <f>VLOOKUP(A457,Table3[#All],6,FALSE)</f>
        <v>14</v>
      </c>
      <c r="G457" s="2">
        <f>VLOOKUP(A457,Table3[#All],7,FALSE)</f>
        <v>49731</v>
      </c>
      <c r="H457" s="2">
        <f>VLOOKUP(A457,Table3[#All],8,FALSE)</f>
        <v>3</v>
      </c>
      <c r="I457" s="2">
        <f>VLOOKUP(A457,Table3[#All],9,FALSE)</f>
        <v>48</v>
      </c>
      <c r="J457" s="2">
        <f>VLOOKUP(A457,Table3[#All],10,FALSE)</f>
        <v>2</v>
      </c>
      <c r="K457" s="2">
        <f>VLOOKUP(A457,Table3[#All],11,FALSE)</f>
        <v>89</v>
      </c>
      <c r="L457" s="2" t="str">
        <f>VLOOKUP(A457,Table3[#All],12,FALSE)</f>
        <v>Hyderabad</v>
      </c>
      <c r="M457" s="2" t="str">
        <f t="shared" si="7"/>
        <v>Not Eligible</v>
      </c>
    </row>
    <row r="458" spans="1:13" hidden="1" x14ac:dyDescent="0.25">
      <c r="A458" s="6" t="s">
        <v>243</v>
      </c>
      <c r="B458" s="2" t="str">
        <f>VLOOKUP(A458,Table3[#All],2,FALSE)</f>
        <v>Lakshmi</v>
      </c>
      <c r="C458" s="2" t="str">
        <f>VLOOKUP(A458,Table3[#All],3,FALSE)</f>
        <v>HR</v>
      </c>
      <c r="D458" s="2">
        <f>VLOOKUP(A458,Table3[#All],4,FALSE)</f>
        <v>22</v>
      </c>
      <c r="E458" s="2" t="str">
        <f>VLOOKUP(A458,Table3[#All],5,FALSE)</f>
        <v>Male</v>
      </c>
      <c r="F458" s="2">
        <f>VLOOKUP(A458,Table3[#All],6,FALSE)</f>
        <v>7</v>
      </c>
      <c r="G458" s="2">
        <f>VLOOKUP(A458,Table3[#All],7,FALSE)</f>
        <v>49753</v>
      </c>
      <c r="H458" s="2">
        <f>VLOOKUP(A458,Table3[#All],8,FALSE)</f>
        <v>7</v>
      </c>
      <c r="I458" s="2">
        <f>VLOOKUP(A458,Table3[#All],9,FALSE)</f>
        <v>49</v>
      </c>
      <c r="J458" s="2">
        <f>VLOOKUP(A458,Table3[#All],10,FALSE)</f>
        <v>5</v>
      </c>
      <c r="K458" s="2">
        <f>VLOOKUP(A458,Table3[#All],11,FALSE)</f>
        <v>92</v>
      </c>
      <c r="L458" s="2" t="str">
        <f>VLOOKUP(A458,Table3[#All],12,FALSE)</f>
        <v>Delhi</v>
      </c>
      <c r="M458" s="2" t="str">
        <f t="shared" si="7"/>
        <v>Not Eligible</v>
      </c>
    </row>
    <row r="459" spans="1:13" hidden="1" x14ac:dyDescent="0.25">
      <c r="A459" s="6" t="s">
        <v>95</v>
      </c>
      <c r="B459" s="2" t="str">
        <f>VLOOKUP(A459,Table3[#All],2,FALSE)</f>
        <v>Meena</v>
      </c>
      <c r="C459" s="2" t="str">
        <f>VLOOKUP(A459,Table3[#All],3,FALSE)</f>
        <v>Sales</v>
      </c>
      <c r="D459" s="2">
        <f>VLOOKUP(A459,Table3[#All],4,FALSE)</f>
        <v>31</v>
      </c>
      <c r="E459" s="2" t="str">
        <f>VLOOKUP(A459,Table3[#All],5,FALSE)</f>
        <v>Male</v>
      </c>
      <c r="F459" s="2">
        <f>VLOOKUP(A459,Table3[#All],6,FALSE)</f>
        <v>13</v>
      </c>
      <c r="G459" s="2">
        <f>VLOOKUP(A459,Table3[#All],7,FALSE)</f>
        <v>49757</v>
      </c>
      <c r="H459" s="2">
        <f>VLOOKUP(A459,Table3[#All],8,FALSE)</f>
        <v>9</v>
      </c>
      <c r="I459" s="2">
        <f>VLOOKUP(A459,Table3[#All],9,FALSE)</f>
        <v>47</v>
      </c>
      <c r="J459" s="2">
        <f>VLOOKUP(A459,Table3[#All],10,FALSE)</f>
        <v>2</v>
      </c>
      <c r="K459" s="2">
        <f>VLOOKUP(A459,Table3[#All],11,FALSE)</f>
        <v>87</v>
      </c>
      <c r="L459" s="2" t="str">
        <f>VLOOKUP(A459,Table3[#All],12,FALSE)</f>
        <v>Chennai</v>
      </c>
      <c r="M459" s="2" t="str">
        <f t="shared" si="7"/>
        <v>Not Eligible</v>
      </c>
    </row>
    <row r="460" spans="1:13" hidden="1" x14ac:dyDescent="0.25">
      <c r="A460" s="5" t="s">
        <v>502</v>
      </c>
      <c r="B460" s="2" t="str">
        <f>VLOOKUP(A460,Table3[#All],2,FALSE)</f>
        <v>Deepa</v>
      </c>
      <c r="C460" s="2" t="str">
        <f>VLOOKUP(A460,Table3[#All],3,FALSE)</f>
        <v>IT</v>
      </c>
      <c r="D460" s="2">
        <f>VLOOKUP(A460,Table3[#All],4,FALSE)</f>
        <v>40</v>
      </c>
      <c r="E460" s="2" t="str">
        <f>VLOOKUP(A460,Table3[#All],5,FALSE)</f>
        <v>Male</v>
      </c>
      <c r="F460" s="2">
        <f>VLOOKUP(A460,Table3[#All],6,FALSE)</f>
        <v>3</v>
      </c>
      <c r="G460" s="2">
        <f>VLOOKUP(A460,Table3[#All],7,FALSE)</f>
        <v>71868</v>
      </c>
      <c r="H460" s="2">
        <f>VLOOKUP(A460,Table3[#All],8,FALSE)</f>
        <v>5</v>
      </c>
      <c r="I460" s="2">
        <f>VLOOKUP(A460,Table3[#All],9,FALSE)</f>
        <v>41</v>
      </c>
      <c r="J460" s="2">
        <f>VLOOKUP(A460,Table3[#All],10,FALSE)</f>
        <v>2</v>
      </c>
      <c r="K460" s="2">
        <f>VLOOKUP(A460,Table3[#All],11,FALSE)</f>
        <v>88</v>
      </c>
      <c r="L460" s="2" t="str">
        <f>VLOOKUP(A460,Table3[#All],12,FALSE)</f>
        <v>Chennai</v>
      </c>
      <c r="M460" s="2" t="str">
        <f t="shared" si="7"/>
        <v>Not Eligible</v>
      </c>
    </row>
    <row r="461" spans="1:13" x14ac:dyDescent="0.25">
      <c r="A461" s="6" t="s">
        <v>893</v>
      </c>
      <c r="B461" s="2" t="str">
        <f>VLOOKUP(A461,Table3[#All],2,FALSE)</f>
        <v>Suresh</v>
      </c>
      <c r="C461" s="2" t="str">
        <f>VLOOKUP(A461,Table3[#All],3,FALSE)</f>
        <v>HR</v>
      </c>
      <c r="D461" s="2">
        <f>VLOOKUP(A461,Table3[#All],4,FALSE)</f>
        <v>39</v>
      </c>
      <c r="E461" s="2" t="str">
        <f>VLOOKUP(A461,Table3[#All],5,FALSE)</f>
        <v>Male</v>
      </c>
      <c r="F461" s="2">
        <f>VLOOKUP(A461,Table3[#All],6,FALSE)</f>
        <v>14</v>
      </c>
      <c r="G461" s="2">
        <f>VLOOKUP(A461,Table3[#All],7,FALSE)</f>
        <v>49969</v>
      </c>
      <c r="H461" s="2">
        <f>VLOOKUP(A461,Table3[#All],8,FALSE)</f>
        <v>10</v>
      </c>
      <c r="I461" s="2">
        <f>VLOOKUP(A461,Table3[#All],9,FALSE)</f>
        <v>41</v>
      </c>
      <c r="J461" s="2">
        <f>VLOOKUP(A461,Table3[#All],10,FALSE)</f>
        <v>1</v>
      </c>
      <c r="K461" s="2">
        <f>VLOOKUP(A461,Table3[#All],11,FALSE)</f>
        <v>94</v>
      </c>
      <c r="L461" s="2" t="str">
        <f>VLOOKUP(A461,Table3[#All],12,FALSE)</f>
        <v>Pune</v>
      </c>
      <c r="M461" s="2" t="str">
        <f t="shared" si="7"/>
        <v>Not Eligible</v>
      </c>
    </row>
    <row r="462" spans="1:13" hidden="1" x14ac:dyDescent="0.25">
      <c r="A462" s="6" t="s">
        <v>665</v>
      </c>
      <c r="B462" s="2" t="str">
        <f>VLOOKUP(A462,Table3[#All],2,FALSE)</f>
        <v>Nisha</v>
      </c>
      <c r="C462" s="2" t="str">
        <f>VLOOKUP(A462,Table3[#All],3,FALSE)</f>
        <v>Finance</v>
      </c>
      <c r="D462" s="2">
        <f>VLOOKUP(A462,Table3[#All],4,FALSE)</f>
        <v>22</v>
      </c>
      <c r="E462" s="2" t="str">
        <f>VLOOKUP(A462,Table3[#All],5,FALSE)</f>
        <v>Male</v>
      </c>
      <c r="F462" s="2">
        <f>VLOOKUP(A462,Table3[#All],6,FALSE)</f>
        <v>12</v>
      </c>
      <c r="G462" s="2">
        <f>VLOOKUP(A462,Table3[#All],7,FALSE)</f>
        <v>49985</v>
      </c>
      <c r="H462" s="2">
        <f>VLOOKUP(A462,Table3[#All],8,FALSE)</f>
        <v>5</v>
      </c>
      <c r="I462" s="2">
        <f>VLOOKUP(A462,Table3[#All],9,FALSE)</f>
        <v>50</v>
      </c>
      <c r="J462" s="2">
        <f>VLOOKUP(A462,Table3[#All],10,FALSE)</f>
        <v>2</v>
      </c>
      <c r="K462" s="2">
        <f>VLOOKUP(A462,Table3[#All],11,FALSE)</f>
        <v>85</v>
      </c>
      <c r="L462" s="2" t="str">
        <f>VLOOKUP(A462,Table3[#All],12,FALSE)</f>
        <v>Pune</v>
      </c>
      <c r="M462" s="2" t="str">
        <f t="shared" si="7"/>
        <v>Not Eligible</v>
      </c>
    </row>
    <row r="463" spans="1:13" hidden="1" x14ac:dyDescent="0.25">
      <c r="A463" s="6" t="s">
        <v>505</v>
      </c>
      <c r="B463" s="2" t="str">
        <f>VLOOKUP(A463,Table3[#All],2,FALSE)</f>
        <v>Ramesh</v>
      </c>
      <c r="C463" s="2" t="str">
        <f>VLOOKUP(A463,Table3[#All],3,FALSE)</f>
        <v>HR</v>
      </c>
      <c r="D463" s="2">
        <f>VLOOKUP(A463,Table3[#All],4,FALSE)</f>
        <v>34</v>
      </c>
      <c r="E463" s="2" t="str">
        <f>VLOOKUP(A463,Table3[#All],5,FALSE)</f>
        <v>Male</v>
      </c>
      <c r="F463" s="2">
        <f>VLOOKUP(A463,Table3[#All],6,FALSE)</f>
        <v>3</v>
      </c>
      <c r="G463" s="2">
        <f>VLOOKUP(A463,Table3[#All],7,FALSE)</f>
        <v>48449</v>
      </c>
      <c r="H463" s="2">
        <f>VLOOKUP(A463,Table3[#All],8,FALSE)</f>
        <v>6</v>
      </c>
      <c r="I463" s="2">
        <f>VLOOKUP(A463,Table3[#All],9,FALSE)</f>
        <v>50</v>
      </c>
      <c r="J463" s="2">
        <f>VLOOKUP(A463,Table3[#All],10,FALSE)</f>
        <v>1</v>
      </c>
      <c r="K463" s="2">
        <f>VLOOKUP(A463,Table3[#All],11,FALSE)</f>
        <v>95</v>
      </c>
      <c r="L463" s="2" t="str">
        <f>VLOOKUP(A463,Table3[#All],12,FALSE)</f>
        <v>Chennai</v>
      </c>
      <c r="M463" s="2" t="str">
        <f t="shared" si="7"/>
        <v>Eligible</v>
      </c>
    </row>
    <row r="464" spans="1:13" hidden="1" x14ac:dyDescent="0.25">
      <c r="A464" s="5" t="s">
        <v>430</v>
      </c>
      <c r="B464" s="2" t="str">
        <f>VLOOKUP(A464,Table3[#All],2,FALSE)</f>
        <v>Lakshmi</v>
      </c>
      <c r="C464" s="2" t="str">
        <f>VLOOKUP(A464,Table3[#All],3,FALSE)</f>
        <v>Finance</v>
      </c>
      <c r="D464" s="2">
        <f>VLOOKUP(A464,Table3[#All],4,FALSE)</f>
        <v>30</v>
      </c>
      <c r="E464" s="2" t="str">
        <f>VLOOKUP(A464,Table3[#All],5,FALSE)</f>
        <v>Female</v>
      </c>
      <c r="F464" s="2">
        <f>VLOOKUP(A464,Table3[#All],6,FALSE)</f>
        <v>12</v>
      </c>
      <c r="G464" s="2">
        <f>VLOOKUP(A464,Table3[#All],7,FALSE)</f>
        <v>50030</v>
      </c>
      <c r="H464" s="2">
        <f>VLOOKUP(A464,Table3[#All],8,FALSE)</f>
        <v>9</v>
      </c>
      <c r="I464" s="2">
        <f>VLOOKUP(A464,Table3[#All],9,FALSE)</f>
        <v>39</v>
      </c>
      <c r="J464" s="2">
        <f>VLOOKUP(A464,Table3[#All],10,FALSE)</f>
        <v>1</v>
      </c>
      <c r="K464" s="2">
        <f>VLOOKUP(A464,Table3[#All],11,FALSE)</f>
        <v>94</v>
      </c>
      <c r="L464" s="2" t="str">
        <f>VLOOKUP(A464,Table3[#All],12,FALSE)</f>
        <v>Hyderabad</v>
      </c>
      <c r="M464" s="2" t="str">
        <f t="shared" si="7"/>
        <v>Not Eligible</v>
      </c>
    </row>
    <row r="465" spans="1:13" hidden="1" x14ac:dyDescent="0.25">
      <c r="A465" s="6" t="s">
        <v>171</v>
      </c>
      <c r="B465" s="2" t="str">
        <f>VLOOKUP(A465,Table3[#All],2,FALSE)</f>
        <v>Anitha</v>
      </c>
      <c r="C465" s="2" t="str">
        <f>VLOOKUP(A465,Table3[#All],3,FALSE)</f>
        <v>HR</v>
      </c>
      <c r="D465" s="2">
        <f>VLOOKUP(A465,Table3[#All],4,FALSE)</f>
        <v>39</v>
      </c>
      <c r="E465" s="2" t="str">
        <f>VLOOKUP(A465,Table3[#All],5,FALSE)</f>
        <v>Female</v>
      </c>
      <c r="F465" s="2">
        <f>VLOOKUP(A465,Table3[#All],6,FALSE)</f>
        <v>10</v>
      </c>
      <c r="G465" s="2">
        <f>VLOOKUP(A465,Table3[#All],7,FALSE)</f>
        <v>50032</v>
      </c>
      <c r="H465" s="2">
        <f>VLOOKUP(A465,Table3[#All],8,FALSE)</f>
        <v>14</v>
      </c>
      <c r="I465" s="2">
        <f>VLOOKUP(A465,Table3[#All],9,FALSE)</f>
        <v>41</v>
      </c>
      <c r="J465" s="2">
        <f>VLOOKUP(A465,Table3[#All],10,FALSE)</f>
        <v>2</v>
      </c>
      <c r="K465" s="2">
        <f>VLOOKUP(A465,Table3[#All],11,FALSE)</f>
        <v>88</v>
      </c>
      <c r="L465" s="2" t="str">
        <f>VLOOKUP(A465,Table3[#All],12,FALSE)</f>
        <v>Hyderabad</v>
      </c>
      <c r="M465" s="2" t="str">
        <f t="shared" si="7"/>
        <v>Not Eligible</v>
      </c>
    </row>
    <row r="466" spans="1:13" hidden="1" x14ac:dyDescent="0.25">
      <c r="A466" s="6" t="s">
        <v>835</v>
      </c>
      <c r="B466" s="2" t="str">
        <f>VLOOKUP(A466,Table3[#All],2,FALSE)</f>
        <v>Nisha</v>
      </c>
      <c r="C466" s="2" t="str">
        <f>VLOOKUP(A466,Table3[#All],3,FALSE)</f>
        <v>Sales</v>
      </c>
      <c r="D466" s="2">
        <f>VLOOKUP(A466,Table3[#All],4,FALSE)</f>
        <v>39</v>
      </c>
      <c r="E466" s="2" t="str">
        <f>VLOOKUP(A466,Table3[#All],5,FALSE)</f>
        <v>Male</v>
      </c>
      <c r="F466" s="2">
        <f>VLOOKUP(A466,Table3[#All],6,FALSE)</f>
        <v>8</v>
      </c>
      <c r="G466" s="2">
        <f>VLOOKUP(A466,Table3[#All],7,FALSE)</f>
        <v>50036</v>
      </c>
      <c r="H466" s="2">
        <f>VLOOKUP(A466,Table3[#All],8,FALSE)</f>
        <v>12</v>
      </c>
      <c r="I466" s="2">
        <f>VLOOKUP(A466,Table3[#All],9,FALSE)</f>
        <v>39</v>
      </c>
      <c r="J466" s="2">
        <f>VLOOKUP(A466,Table3[#All],10,FALSE)</f>
        <v>4</v>
      </c>
      <c r="K466" s="2">
        <f>VLOOKUP(A466,Table3[#All],11,FALSE)</f>
        <v>87</v>
      </c>
      <c r="L466" s="2" t="str">
        <f>VLOOKUP(A466,Table3[#All],12,FALSE)</f>
        <v>Pune</v>
      </c>
      <c r="M466" s="2" t="str">
        <f t="shared" si="7"/>
        <v>Not Eligible</v>
      </c>
    </row>
    <row r="467" spans="1:13" x14ac:dyDescent="0.25">
      <c r="A467" s="6" t="s">
        <v>549</v>
      </c>
      <c r="B467" s="2" t="str">
        <f>VLOOKUP(A467,Table3[#All],2,FALSE)</f>
        <v>Lakshmi</v>
      </c>
      <c r="C467" s="2" t="str">
        <f>VLOOKUP(A467,Table3[#All],3,FALSE)</f>
        <v>IT</v>
      </c>
      <c r="D467" s="2">
        <f>VLOOKUP(A467,Table3[#All],4,FALSE)</f>
        <v>29</v>
      </c>
      <c r="E467" s="2" t="str">
        <f>VLOOKUP(A467,Table3[#All],5,FALSE)</f>
        <v>Male</v>
      </c>
      <c r="F467" s="2">
        <f>VLOOKUP(A467,Table3[#All],6,FALSE)</f>
        <v>7</v>
      </c>
      <c r="G467" s="2">
        <f>VLOOKUP(A467,Table3[#All],7,FALSE)</f>
        <v>50092</v>
      </c>
      <c r="H467" s="2">
        <f>VLOOKUP(A467,Table3[#All],8,FALSE)</f>
        <v>14</v>
      </c>
      <c r="I467" s="2">
        <f>VLOOKUP(A467,Table3[#All],9,FALSE)</f>
        <v>35</v>
      </c>
      <c r="J467" s="2">
        <f>VLOOKUP(A467,Table3[#All],10,FALSE)</f>
        <v>4</v>
      </c>
      <c r="K467" s="2">
        <f>VLOOKUP(A467,Table3[#All],11,FALSE)</f>
        <v>100</v>
      </c>
      <c r="L467" s="2" t="str">
        <f>VLOOKUP(A467,Table3[#All],12,FALSE)</f>
        <v>Chennai</v>
      </c>
      <c r="M467" s="2" t="str">
        <f t="shared" si="7"/>
        <v>Eligible</v>
      </c>
    </row>
    <row r="468" spans="1:13" hidden="1" x14ac:dyDescent="0.25">
      <c r="A468" s="6" t="s">
        <v>1003</v>
      </c>
      <c r="B468" s="2" t="str">
        <f>VLOOKUP(A468,Table3[#All],2,FALSE)</f>
        <v>Meena</v>
      </c>
      <c r="C468" s="2" t="str">
        <f>VLOOKUP(A468,Table3[#All],3,FALSE)</f>
        <v>Sales</v>
      </c>
      <c r="D468" s="2">
        <f>VLOOKUP(A468,Table3[#All],4,FALSE)</f>
        <v>24</v>
      </c>
      <c r="E468" s="2" t="str">
        <f>VLOOKUP(A468,Table3[#All],5,FALSE)</f>
        <v>Female</v>
      </c>
      <c r="F468" s="2">
        <f>VLOOKUP(A468,Table3[#All],6,FALSE)</f>
        <v>13</v>
      </c>
      <c r="G468" s="2">
        <f>VLOOKUP(A468,Table3[#All],7,FALSE)</f>
        <v>50111</v>
      </c>
      <c r="H468" s="2">
        <f>VLOOKUP(A468,Table3[#All],8,FALSE)</f>
        <v>15</v>
      </c>
      <c r="I468" s="2">
        <f>VLOOKUP(A468,Table3[#All],9,FALSE)</f>
        <v>47</v>
      </c>
      <c r="J468" s="2">
        <f>VLOOKUP(A468,Table3[#All],10,FALSE)</f>
        <v>1</v>
      </c>
      <c r="K468" s="2">
        <f>VLOOKUP(A468,Table3[#All],11,FALSE)</f>
        <v>88</v>
      </c>
      <c r="L468" s="2" t="str">
        <f>VLOOKUP(A468,Table3[#All],12,FALSE)</f>
        <v>Chennai</v>
      </c>
      <c r="M468" s="2" t="str">
        <f t="shared" si="7"/>
        <v>Not Eligible</v>
      </c>
    </row>
    <row r="469" spans="1:13" x14ac:dyDescent="0.25">
      <c r="A469" s="6" t="s">
        <v>547</v>
      </c>
      <c r="B469" s="2" t="str">
        <f>VLOOKUP(A469,Table3[#All],2,FALSE)</f>
        <v>Hari</v>
      </c>
      <c r="C469" s="2" t="str">
        <f>VLOOKUP(A469,Table3[#All],3,FALSE)</f>
        <v>IT</v>
      </c>
      <c r="D469" s="2">
        <f>VLOOKUP(A469,Table3[#All],4,FALSE)</f>
        <v>30</v>
      </c>
      <c r="E469" s="2" t="str">
        <f>VLOOKUP(A469,Table3[#All],5,FALSE)</f>
        <v>Male</v>
      </c>
      <c r="F469" s="2">
        <f>VLOOKUP(A469,Table3[#All],6,FALSE)</f>
        <v>5</v>
      </c>
      <c r="G469" s="2">
        <f>VLOOKUP(A469,Table3[#All],7,FALSE)</f>
        <v>50118</v>
      </c>
      <c r="H469" s="2">
        <f>VLOOKUP(A469,Table3[#All],8,FALSE)</f>
        <v>13</v>
      </c>
      <c r="I469" s="2">
        <f>VLOOKUP(A469,Table3[#All],9,FALSE)</f>
        <v>46</v>
      </c>
      <c r="J469" s="2">
        <f>VLOOKUP(A469,Table3[#All],10,FALSE)</f>
        <v>1</v>
      </c>
      <c r="K469" s="2">
        <f>VLOOKUP(A469,Table3[#All],11,FALSE)</f>
        <v>91</v>
      </c>
      <c r="L469" s="2" t="str">
        <f>VLOOKUP(A469,Table3[#All],12,FALSE)</f>
        <v>Delhi</v>
      </c>
      <c r="M469" s="2" t="str">
        <f t="shared" si="7"/>
        <v>Not Eligible</v>
      </c>
    </row>
    <row r="470" spans="1:13" hidden="1" x14ac:dyDescent="0.25">
      <c r="A470" s="6" t="s">
        <v>485</v>
      </c>
      <c r="B470" s="2" t="str">
        <f>VLOOKUP(A470,Table3[#All],2,FALSE)</f>
        <v>Ramesh</v>
      </c>
      <c r="C470" s="2" t="str">
        <f>VLOOKUP(A470,Table3[#All],3,FALSE)</f>
        <v>Finance</v>
      </c>
      <c r="D470" s="2">
        <f>VLOOKUP(A470,Table3[#All],4,FALSE)</f>
        <v>39</v>
      </c>
      <c r="E470" s="2" t="str">
        <f>VLOOKUP(A470,Table3[#All],5,FALSE)</f>
        <v>Female</v>
      </c>
      <c r="F470" s="2">
        <f>VLOOKUP(A470,Table3[#All],6,FALSE)</f>
        <v>7</v>
      </c>
      <c r="G470" s="2">
        <f>VLOOKUP(A470,Table3[#All],7,FALSE)</f>
        <v>50193</v>
      </c>
      <c r="H470" s="2">
        <f>VLOOKUP(A470,Table3[#All],8,FALSE)</f>
        <v>9</v>
      </c>
      <c r="I470" s="2">
        <f>VLOOKUP(A470,Table3[#All],9,FALSE)</f>
        <v>43</v>
      </c>
      <c r="J470" s="2">
        <f>VLOOKUP(A470,Table3[#All],10,FALSE)</f>
        <v>1</v>
      </c>
      <c r="K470" s="2">
        <f>VLOOKUP(A470,Table3[#All],11,FALSE)</f>
        <v>96</v>
      </c>
      <c r="L470" s="2" t="str">
        <f>VLOOKUP(A470,Table3[#All],12,FALSE)</f>
        <v>Pune</v>
      </c>
      <c r="M470" s="2" t="str">
        <f t="shared" si="7"/>
        <v>Eligible</v>
      </c>
    </row>
    <row r="471" spans="1:13" hidden="1" x14ac:dyDescent="0.25">
      <c r="A471" s="6" t="s">
        <v>153</v>
      </c>
      <c r="B471" s="2" t="str">
        <f>VLOOKUP(A471,Table3[#All],2,FALSE)</f>
        <v>Arun</v>
      </c>
      <c r="C471" s="2" t="str">
        <f>VLOOKUP(A471,Table3[#All],3,FALSE)</f>
        <v>Sales</v>
      </c>
      <c r="D471" s="2">
        <f>VLOOKUP(A471,Table3[#All],4,FALSE)</f>
        <v>24</v>
      </c>
      <c r="E471" s="2" t="str">
        <f>VLOOKUP(A471,Table3[#All],5,FALSE)</f>
        <v>Male</v>
      </c>
      <c r="F471" s="2">
        <f>VLOOKUP(A471,Table3[#All],6,FALSE)</f>
        <v>5</v>
      </c>
      <c r="G471" s="2">
        <f>VLOOKUP(A471,Table3[#All],7,FALSE)</f>
        <v>50265</v>
      </c>
      <c r="H471" s="2">
        <f>VLOOKUP(A471,Table3[#All],8,FALSE)</f>
        <v>9</v>
      </c>
      <c r="I471" s="2">
        <f>VLOOKUP(A471,Table3[#All],9,FALSE)</f>
        <v>46</v>
      </c>
      <c r="J471" s="2">
        <f>VLOOKUP(A471,Table3[#All],10,FALSE)</f>
        <v>5</v>
      </c>
      <c r="K471" s="2">
        <f>VLOOKUP(A471,Table3[#All],11,FALSE)</f>
        <v>93</v>
      </c>
      <c r="L471" s="2" t="str">
        <f>VLOOKUP(A471,Table3[#All],12,FALSE)</f>
        <v>Pune</v>
      </c>
      <c r="M471" s="2" t="str">
        <f t="shared" si="7"/>
        <v>Not Eligible</v>
      </c>
    </row>
    <row r="472" spans="1:13" hidden="1" x14ac:dyDescent="0.25">
      <c r="A472" s="5" t="s">
        <v>514</v>
      </c>
      <c r="B472" s="2" t="str">
        <f>VLOOKUP(A472,Table3[#All],2,FALSE)</f>
        <v>Vijay</v>
      </c>
      <c r="C472" s="2" t="str">
        <f>VLOOKUP(A472,Table3[#All],3,FALSE)</f>
        <v>Sales</v>
      </c>
      <c r="D472" s="2">
        <f>VLOOKUP(A472,Table3[#All],4,FALSE)</f>
        <v>28</v>
      </c>
      <c r="E472" s="2" t="str">
        <f>VLOOKUP(A472,Table3[#All],5,FALSE)</f>
        <v>Female</v>
      </c>
      <c r="F472" s="2">
        <f>VLOOKUP(A472,Table3[#All],6,FALSE)</f>
        <v>3</v>
      </c>
      <c r="G472" s="2">
        <f>VLOOKUP(A472,Table3[#All],7,FALSE)</f>
        <v>28485</v>
      </c>
      <c r="H472" s="2">
        <f>VLOOKUP(A472,Table3[#All],8,FALSE)</f>
        <v>3</v>
      </c>
      <c r="I472" s="2">
        <f>VLOOKUP(A472,Table3[#All],9,FALSE)</f>
        <v>36</v>
      </c>
      <c r="J472" s="2">
        <f>VLOOKUP(A472,Table3[#All],10,FALSE)</f>
        <v>4</v>
      </c>
      <c r="K472" s="2">
        <f>VLOOKUP(A472,Table3[#All],11,FALSE)</f>
        <v>91</v>
      </c>
      <c r="L472" s="2" t="str">
        <f>VLOOKUP(A472,Table3[#All],12,FALSE)</f>
        <v>Bangalore</v>
      </c>
      <c r="M472" s="2" t="str">
        <f t="shared" si="7"/>
        <v>Not Eligible</v>
      </c>
    </row>
    <row r="473" spans="1:13" x14ac:dyDescent="0.25">
      <c r="A473" s="6" t="s">
        <v>519</v>
      </c>
      <c r="B473" s="2" t="str">
        <f>VLOOKUP(A473,Table3[#All],2,FALSE)</f>
        <v>Lakshmi</v>
      </c>
      <c r="C473" s="2" t="str">
        <f>VLOOKUP(A473,Table3[#All],3,FALSE)</f>
        <v>HR</v>
      </c>
      <c r="D473" s="2">
        <f>VLOOKUP(A473,Table3[#All],4,FALSE)</f>
        <v>31</v>
      </c>
      <c r="E473" s="2" t="str">
        <f>VLOOKUP(A473,Table3[#All],5,FALSE)</f>
        <v>Female</v>
      </c>
      <c r="F473" s="2">
        <f>VLOOKUP(A473,Table3[#All],6,FALSE)</f>
        <v>10</v>
      </c>
      <c r="G473" s="2">
        <f>VLOOKUP(A473,Table3[#All],7,FALSE)</f>
        <v>50363</v>
      </c>
      <c r="H473" s="2">
        <f>VLOOKUP(A473,Table3[#All],8,FALSE)</f>
        <v>15</v>
      </c>
      <c r="I473" s="2">
        <f>VLOOKUP(A473,Table3[#All],9,FALSE)</f>
        <v>49</v>
      </c>
      <c r="J473" s="2">
        <f>VLOOKUP(A473,Table3[#All],10,FALSE)</f>
        <v>3</v>
      </c>
      <c r="K473" s="2">
        <f>VLOOKUP(A473,Table3[#All],11,FALSE)</f>
        <v>99</v>
      </c>
      <c r="L473" s="2" t="str">
        <f>VLOOKUP(A473,Table3[#All],12,FALSE)</f>
        <v>Mumbai</v>
      </c>
      <c r="M473" s="2" t="str">
        <f t="shared" si="7"/>
        <v>Eligible</v>
      </c>
    </row>
    <row r="474" spans="1:13" hidden="1" x14ac:dyDescent="0.25">
      <c r="A474" s="5" t="s">
        <v>516</v>
      </c>
      <c r="B474" s="2" t="str">
        <f>VLOOKUP(A474,Table3[#All],2,FALSE)</f>
        <v>Meena</v>
      </c>
      <c r="C474" s="2" t="str">
        <f>VLOOKUP(A474,Table3[#All],3,FALSE)</f>
        <v>Sales</v>
      </c>
      <c r="D474" s="2">
        <f>VLOOKUP(A474,Table3[#All],4,FALSE)</f>
        <v>28</v>
      </c>
      <c r="E474" s="2" t="str">
        <f>VLOOKUP(A474,Table3[#All],5,FALSE)</f>
        <v>Male</v>
      </c>
      <c r="F474" s="2">
        <f>VLOOKUP(A474,Table3[#All],6,FALSE)</f>
        <v>3</v>
      </c>
      <c r="G474" s="2">
        <f>VLOOKUP(A474,Table3[#All],7,FALSE)</f>
        <v>28307</v>
      </c>
      <c r="H474" s="2">
        <f>VLOOKUP(A474,Table3[#All],8,FALSE)</f>
        <v>8</v>
      </c>
      <c r="I474" s="2">
        <f>VLOOKUP(A474,Table3[#All],9,FALSE)</f>
        <v>46</v>
      </c>
      <c r="J474" s="2">
        <f>VLOOKUP(A474,Table3[#All],10,FALSE)</f>
        <v>3</v>
      </c>
      <c r="K474" s="2">
        <f>VLOOKUP(A474,Table3[#All],11,FALSE)</f>
        <v>91</v>
      </c>
      <c r="L474" s="2" t="str">
        <f>VLOOKUP(A474,Table3[#All],12,FALSE)</f>
        <v>Delhi</v>
      </c>
      <c r="M474" s="2" t="str">
        <f t="shared" si="7"/>
        <v>Not Eligible</v>
      </c>
    </row>
    <row r="475" spans="1:13" hidden="1" x14ac:dyDescent="0.25">
      <c r="A475" s="6" t="s">
        <v>517</v>
      </c>
      <c r="B475" s="2" t="str">
        <f>VLOOKUP(A475,Table3[#All],2,FALSE)</f>
        <v>Priya</v>
      </c>
      <c r="C475" s="2" t="str">
        <f>VLOOKUP(A475,Table3[#All],3,FALSE)</f>
        <v>Sales</v>
      </c>
      <c r="D475" s="2">
        <f>VLOOKUP(A475,Table3[#All],4,FALSE)</f>
        <v>37</v>
      </c>
      <c r="E475" s="2" t="str">
        <f>VLOOKUP(A475,Table3[#All],5,FALSE)</f>
        <v>Male</v>
      </c>
      <c r="F475" s="2">
        <f>VLOOKUP(A475,Table3[#All],6,FALSE)</f>
        <v>4</v>
      </c>
      <c r="G475" s="2">
        <f>VLOOKUP(A475,Table3[#All],7,FALSE)</f>
        <v>39334</v>
      </c>
      <c r="H475" s="2">
        <f>VLOOKUP(A475,Table3[#All],8,FALSE)</f>
        <v>13</v>
      </c>
      <c r="I475" s="2">
        <f>VLOOKUP(A475,Table3[#All],9,FALSE)</f>
        <v>49</v>
      </c>
      <c r="J475" s="2">
        <f>VLOOKUP(A475,Table3[#All],10,FALSE)</f>
        <v>5</v>
      </c>
      <c r="K475" s="2">
        <f>VLOOKUP(A475,Table3[#All],11,FALSE)</f>
        <v>93</v>
      </c>
      <c r="L475" s="2" t="str">
        <f>VLOOKUP(A475,Table3[#All],12,FALSE)</f>
        <v>Hyderabad</v>
      </c>
      <c r="M475" s="2" t="str">
        <f t="shared" si="7"/>
        <v>Not Eligible</v>
      </c>
    </row>
    <row r="476" spans="1:13" hidden="1" x14ac:dyDescent="0.25">
      <c r="A476" s="6" t="s">
        <v>823</v>
      </c>
      <c r="B476" s="2" t="str">
        <f>VLOOKUP(A476,Table3[#All],2,FALSE)</f>
        <v>Ramesh</v>
      </c>
      <c r="C476" s="2" t="str">
        <f>VLOOKUP(A476,Table3[#All],3,FALSE)</f>
        <v>Sales</v>
      </c>
      <c r="D476" s="2">
        <f>VLOOKUP(A476,Table3[#All],4,FALSE)</f>
        <v>32</v>
      </c>
      <c r="E476" s="2" t="str">
        <f>VLOOKUP(A476,Table3[#All],5,FALSE)</f>
        <v>Male</v>
      </c>
      <c r="F476" s="2">
        <f>VLOOKUP(A476,Table3[#All],6,FALSE)</f>
        <v>13</v>
      </c>
      <c r="G476" s="2">
        <f>VLOOKUP(A476,Table3[#All],7,FALSE)</f>
        <v>50387</v>
      </c>
      <c r="H476" s="2">
        <f>VLOOKUP(A476,Table3[#All],8,FALSE)</f>
        <v>7</v>
      </c>
      <c r="I476" s="2">
        <f>VLOOKUP(A476,Table3[#All],9,FALSE)</f>
        <v>44</v>
      </c>
      <c r="J476" s="2">
        <f>VLOOKUP(A476,Table3[#All],10,FALSE)</f>
        <v>4</v>
      </c>
      <c r="K476" s="2">
        <f>VLOOKUP(A476,Table3[#All],11,FALSE)</f>
        <v>89</v>
      </c>
      <c r="L476" s="2" t="str">
        <f>VLOOKUP(A476,Table3[#All],12,FALSE)</f>
        <v>Mumbai</v>
      </c>
      <c r="M476" s="2" t="str">
        <f t="shared" si="7"/>
        <v>Not Eligible</v>
      </c>
    </row>
    <row r="477" spans="1:13" hidden="1" x14ac:dyDescent="0.25">
      <c r="A477" s="5" t="s">
        <v>1020</v>
      </c>
      <c r="B477" s="2" t="str">
        <f>VLOOKUP(A477,Table3[#All],2,FALSE)</f>
        <v>Sanjay</v>
      </c>
      <c r="C477" s="2" t="str">
        <f>VLOOKUP(A477,Table3[#All],3,FALSE)</f>
        <v>IT</v>
      </c>
      <c r="D477" s="2">
        <f>VLOOKUP(A477,Table3[#All],4,FALSE)</f>
        <v>27</v>
      </c>
      <c r="E477" s="2" t="str">
        <f>VLOOKUP(A477,Table3[#All],5,FALSE)</f>
        <v>Female</v>
      </c>
      <c r="F477" s="2">
        <f>VLOOKUP(A477,Table3[#All],6,FALSE)</f>
        <v>11</v>
      </c>
      <c r="G477" s="2">
        <f>VLOOKUP(A477,Table3[#All],7,FALSE)</f>
        <v>50498</v>
      </c>
      <c r="H477" s="2">
        <f>VLOOKUP(A477,Table3[#All],8,FALSE)</f>
        <v>9</v>
      </c>
      <c r="I477" s="2">
        <f>VLOOKUP(A477,Table3[#All],9,FALSE)</f>
        <v>38</v>
      </c>
      <c r="J477" s="2">
        <f>VLOOKUP(A477,Table3[#All],10,FALSE)</f>
        <v>4</v>
      </c>
      <c r="K477" s="2">
        <f>VLOOKUP(A477,Table3[#All],11,FALSE)</f>
        <v>85</v>
      </c>
      <c r="L477" s="2" t="str">
        <f>VLOOKUP(A477,Table3[#All],12,FALSE)</f>
        <v>Hyderabad</v>
      </c>
      <c r="M477" s="2" t="str">
        <f t="shared" si="7"/>
        <v>Not Eligible</v>
      </c>
    </row>
    <row r="478" spans="1:13" x14ac:dyDescent="0.25">
      <c r="A478" s="5" t="s">
        <v>710</v>
      </c>
      <c r="B478" s="2" t="str">
        <f>VLOOKUP(A478,Table3[#All],2,FALSE)</f>
        <v>Deepa</v>
      </c>
      <c r="C478" s="2" t="str">
        <f>VLOOKUP(A478,Table3[#All],3,FALSE)</f>
        <v>HR</v>
      </c>
      <c r="D478" s="2">
        <f>VLOOKUP(A478,Table3[#All],4,FALSE)</f>
        <v>37</v>
      </c>
      <c r="E478" s="2" t="str">
        <f>VLOOKUP(A478,Table3[#All],5,FALSE)</f>
        <v>Male</v>
      </c>
      <c r="F478" s="2">
        <f>VLOOKUP(A478,Table3[#All],6,FALSE)</f>
        <v>6</v>
      </c>
      <c r="G478" s="2">
        <f>VLOOKUP(A478,Table3[#All],7,FALSE)</f>
        <v>50504</v>
      </c>
      <c r="H478" s="2">
        <f>VLOOKUP(A478,Table3[#All],8,FALSE)</f>
        <v>10</v>
      </c>
      <c r="I478" s="2">
        <f>VLOOKUP(A478,Table3[#All],9,FALSE)</f>
        <v>39</v>
      </c>
      <c r="J478" s="2">
        <f>VLOOKUP(A478,Table3[#All],10,FALSE)</f>
        <v>1</v>
      </c>
      <c r="K478" s="2">
        <f>VLOOKUP(A478,Table3[#All],11,FALSE)</f>
        <v>99</v>
      </c>
      <c r="L478" s="2" t="str">
        <f>VLOOKUP(A478,Table3[#All],12,FALSE)</f>
        <v>Delhi</v>
      </c>
      <c r="M478" s="2" t="str">
        <f t="shared" si="7"/>
        <v>Eligible</v>
      </c>
    </row>
    <row r="479" spans="1:13" hidden="1" x14ac:dyDescent="0.25">
      <c r="A479" s="6" t="s">
        <v>429</v>
      </c>
      <c r="B479" s="2" t="str">
        <f>VLOOKUP(A479,Table3[#All],2,FALSE)</f>
        <v>Ravi</v>
      </c>
      <c r="C479" s="2" t="str">
        <f>VLOOKUP(A479,Table3[#All],3,FALSE)</f>
        <v>Finance</v>
      </c>
      <c r="D479" s="2">
        <f>VLOOKUP(A479,Table3[#All],4,FALSE)</f>
        <v>40</v>
      </c>
      <c r="E479" s="2" t="str">
        <f>VLOOKUP(A479,Table3[#All],5,FALSE)</f>
        <v>Male</v>
      </c>
      <c r="F479" s="2">
        <f>VLOOKUP(A479,Table3[#All],6,FALSE)</f>
        <v>13</v>
      </c>
      <c r="G479" s="2">
        <f>VLOOKUP(A479,Table3[#All],7,FALSE)</f>
        <v>50507</v>
      </c>
      <c r="H479" s="2">
        <f>VLOOKUP(A479,Table3[#All],8,FALSE)</f>
        <v>13</v>
      </c>
      <c r="I479" s="2">
        <f>VLOOKUP(A479,Table3[#All],9,FALSE)</f>
        <v>44</v>
      </c>
      <c r="J479" s="2">
        <f>VLOOKUP(A479,Table3[#All],10,FALSE)</f>
        <v>4</v>
      </c>
      <c r="K479" s="2">
        <f>VLOOKUP(A479,Table3[#All],11,FALSE)</f>
        <v>85</v>
      </c>
      <c r="L479" s="2" t="str">
        <f>VLOOKUP(A479,Table3[#All],12,FALSE)</f>
        <v>Mumbai</v>
      </c>
      <c r="M479" s="2" t="str">
        <f t="shared" si="7"/>
        <v>Not Eligible</v>
      </c>
    </row>
    <row r="480" spans="1:13" x14ac:dyDescent="0.25">
      <c r="A480" s="6" t="s">
        <v>407</v>
      </c>
      <c r="B480" s="2" t="str">
        <f>VLOOKUP(A480,Table3[#All],2,FALSE)</f>
        <v>Vijay</v>
      </c>
      <c r="C480" s="2" t="str">
        <f>VLOOKUP(A480,Table3[#All],3,FALSE)</f>
        <v>HR</v>
      </c>
      <c r="D480" s="2">
        <f>VLOOKUP(A480,Table3[#All],4,FALSE)</f>
        <v>38</v>
      </c>
      <c r="E480" s="2" t="str">
        <f>VLOOKUP(A480,Table3[#All],5,FALSE)</f>
        <v>Female</v>
      </c>
      <c r="F480" s="2">
        <f>VLOOKUP(A480,Table3[#All],6,FALSE)</f>
        <v>8</v>
      </c>
      <c r="G480" s="2">
        <f>VLOOKUP(A480,Table3[#All],7,FALSE)</f>
        <v>50527</v>
      </c>
      <c r="H480" s="2">
        <f>VLOOKUP(A480,Table3[#All],8,FALSE)</f>
        <v>14</v>
      </c>
      <c r="I480" s="2">
        <f>VLOOKUP(A480,Table3[#All],9,FALSE)</f>
        <v>43</v>
      </c>
      <c r="J480" s="2">
        <f>VLOOKUP(A480,Table3[#All],10,FALSE)</f>
        <v>3</v>
      </c>
      <c r="K480" s="2">
        <f>VLOOKUP(A480,Table3[#All],11,FALSE)</f>
        <v>94</v>
      </c>
      <c r="L480" s="2" t="str">
        <f>VLOOKUP(A480,Table3[#All],12,FALSE)</f>
        <v>Mumbai</v>
      </c>
      <c r="M480" s="2" t="str">
        <f t="shared" si="7"/>
        <v>Not Eligible</v>
      </c>
    </row>
    <row r="481" spans="1:13" hidden="1" x14ac:dyDescent="0.25">
      <c r="A481" s="6" t="s">
        <v>879</v>
      </c>
      <c r="B481" s="2" t="str">
        <f>VLOOKUP(A481,Table3[#All],2,FALSE)</f>
        <v>Ramesh</v>
      </c>
      <c r="C481" s="2" t="str">
        <f>VLOOKUP(A481,Table3[#All],3,FALSE)</f>
        <v>Finance</v>
      </c>
      <c r="D481" s="2">
        <f>VLOOKUP(A481,Table3[#All],4,FALSE)</f>
        <v>35</v>
      </c>
      <c r="E481" s="2" t="str">
        <f>VLOOKUP(A481,Table3[#All],5,FALSE)</f>
        <v>Female</v>
      </c>
      <c r="F481" s="2">
        <f>VLOOKUP(A481,Table3[#All],6,FALSE)</f>
        <v>13</v>
      </c>
      <c r="G481" s="2">
        <f>VLOOKUP(A481,Table3[#All],7,FALSE)</f>
        <v>50592</v>
      </c>
      <c r="H481" s="2">
        <f>VLOOKUP(A481,Table3[#All],8,FALSE)</f>
        <v>12</v>
      </c>
      <c r="I481" s="2">
        <f>VLOOKUP(A481,Table3[#All],9,FALSE)</f>
        <v>42</v>
      </c>
      <c r="J481" s="2">
        <f>VLOOKUP(A481,Table3[#All],10,FALSE)</f>
        <v>4</v>
      </c>
      <c r="K481" s="2">
        <f>VLOOKUP(A481,Table3[#All],11,FALSE)</f>
        <v>89</v>
      </c>
      <c r="L481" s="2" t="str">
        <f>VLOOKUP(A481,Table3[#All],12,FALSE)</f>
        <v>Pune</v>
      </c>
      <c r="M481" s="2" t="str">
        <f t="shared" si="7"/>
        <v>Not Eligible</v>
      </c>
    </row>
    <row r="482" spans="1:13" hidden="1" x14ac:dyDescent="0.25">
      <c r="A482" s="5" t="s">
        <v>696</v>
      </c>
      <c r="B482" s="2" t="str">
        <f>VLOOKUP(A482,Table3[#All],2,FALSE)</f>
        <v>Sanjay</v>
      </c>
      <c r="C482" s="2" t="str">
        <f>VLOOKUP(A482,Table3[#All],3,FALSE)</f>
        <v>IT</v>
      </c>
      <c r="D482" s="2">
        <f>VLOOKUP(A482,Table3[#All],4,FALSE)</f>
        <v>23</v>
      </c>
      <c r="E482" s="2" t="str">
        <f>VLOOKUP(A482,Table3[#All],5,FALSE)</f>
        <v>Female</v>
      </c>
      <c r="F482" s="2">
        <f>VLOOKUP(A482,Table3[#All],6,FALSE)</f>
        <v>6</v>
      </c>
      <c r="G482" s="2">
        <f>VLOOKUP(A482,Table3[#All],7,FALSE)</f>
        <v>50611</v>
      </c>
      <c r="H482" s="2">
        <f>VLOOKUP(A482,Table3[#All],8,FALSE)</f>
        <v>10</v>
      </c>
      <c r="I482" s="2">
        <f>VLOOKUP(A482,Table3[#All],9,FALSE)</f>
        <v>45</v>
      </c>
      <c r="J482" s="2">
        <f>VLOOKUP(A482,Table3[#All],10,FALSE)</f>
        <v>1</v>
      </c>
      <c r="K482" s="2">
        <f>VLOOKUP(A482,Table3[#All],11,FALSE)</f>
        <v>85</v>
      </c>
      <c r="L482" s="2" t="str">
        <f>VLOOKUP(A482,Table3[#All],12,FALSE)</f>
        <v>Delhi</v>
      </c>
      <c r="M482" s="2" t="str">
        <f t="shared" si="7"/>
        <v>Not Eligible</v>
      </c>
    </row>
    <row r="483" spans="1:13" hidden="1" x14ac:dyDescent="0.25">
      <c r="A483" s="5" t="s">
        <v>338</v>
      </c>
      <c r="B483" s="2" t="str">
        <f>VLOOKUP(A483,Table3[#All],2,FALSE)</f>
        <v>Divya</v>
      </c>
      <c r="C483" s="2" t="str">
        <f>VLOOKUP(A483,Table3[#All],3,FALSE)</f>
        <v>Finance</v>
      </c>
      <c r="D483" s="2">
        <f>VLOOKUP(A483,Table3[#All],4,FALSE)</f>
        <v>31</v>
      </c>
      <c r="E483" s="2" t="str">
        <f>VLOOKUP(A483,Table3[#All],5,FALSE)</f>
        <v>Female</v>
      </c>
      <c r="F483" s="2">
        <f>VLOOKUP(A483,Table3[#All],6,FALSE)</f>
        <v>6</v>
      </c>
      <c r="G483" s="2">
        <f>VLOOKUP(A483,Table3[#All],7,FALSE)</f>
        <v>50711</v>
      </c>
      <c r="H483" s="2">
        <f>VLOOKUP(A483,Table3[#All],8,FALSE)</f>
        <v>3</v>
      </c>
      <c r="I483" s="2">
        <f>VLOOKUP(A483,Table3[#All],9,FALSE)</f>
        <v>37</v>
      </c>
      <c r="J483" s="2">
        <f>VLOOKUP(A483,Table3[#All],10,FALSE)</f>
        <v>2</v>
      </c>
      <c r="K483" s="2">
        <f>VLOOKUP(A483,Table3[#All],11,FALSE)</f>
        <v>95</v>
      </c>
      <c r="L483" s="2" t="str">
        <f>VLOOKUP(A483,Table3[#All],12,FALSE)</f>
        <v>Hyderabad</v>
      </c>
      <c r="M483" s="2" t="str">
        <f t="shared" si="7"/>
        <v>Eligible</v>
      </c>
    </row>
    <row r="484" spans="1:13" hidden="1" x14ac:dyDescent="0.25">
      <c r="A484" s="6" t="s">
        <v>193</v>
      </c>
      <c r="B484" s="2" t="str">
        <f>VLOOKUP(A484,Table3[#All],2,FALSE)</f>
        <v>Manoj</v>
      </c>
      <c r="C484" s="2" t="str">
        <f>VLOOKUP(A484,Table3[#All],3,FALSE)</f>
        <v>Sales</v>
      </c>
      <c r="D484" s="2">
        <f>VLOOKUP(A484,Table3[#All],4,FALSE)</f>
        <v>27</v>
      </c>
      <c r="E484" s="2" t="str">
        <f>VLOOKUP(A484,Table3[#All],5,FALSE)</f>
        <v>Male</v>
      </c>
      <c r="F484" s="2">
        <f>VLOOKUP(A484,Table3[#All],6,FALSE)</f>
        <v>7</v>
      </c>
      <c r="G484" s="2">
        <f>VLOOKUP(A484,Table3[#All],7,FALSE)</f>
        <v>50714</v>
      </c>
      <c r="H484" s="2">
        <f>VLOOKUP(A484,Table3[#All],8,FALSE)</f>
        <v>8</v>
      </c>
      <c r="I484" s="2">
        <f>VLOOKUP(A484,Table3[#All],9,FALSE)</f>
        <v>42</v>
      </c>
      <c r="J484" s="2">
        <f>VLOOKUP(A484,Table3[#All],10,FALSE)</f>
        <v>3</v>
      </c>
      <c r="K484" s="2">
        <f>VLOOKUP(A484,Table3[#All],11,FALSE)</f>
        <v>86</v>
      </c>
      <c r="L484" s="2" t="str">
        <f>VLOOKUP(A484,Table3[#All],12,FALSE)</f>
        <v>Pune</v>
      </c>
      <c r="M484" s="2" t="str">
        <f t="shared" si="7"/>
        <v>Not Eligible</v>
      </c>
    </row>
    <row r="485" spans="1:13" hidden="1" x14ac:dyDescent="0.25">
      <c r="A485" s="6" t="s">
        <v>425</v>
      </c>
      <c r="B485" s="2" t="str">
        <f>VLOOKUP(A485,Table3[#All],2,FALSE)</f>
        <v>Karthik</v>
      </c>
      <c r="C485" s="2" t="str">
        <f>VLOOKUP(A485,Table3[#All],3,FALSE)</f>
        <v>HR</v>
      </c>
      <c r="D485" s="2">
        <f>VLOOKUP(A485,Table3[#All],4,FALSE)</f>
        <v>35</v>
      </c>
      <c r="E485" s="2" t="str">
        <f>VLOOKUP(A485,Table3[#All],5,FALSE)</f>
        <v>Female</v>
      </c>
      <c r="F485" s="2">
        <f>VLOOKUP(A485,Table3[#All],6,FALSE)</f>
        <v>12</v>
      </c>
      <c r="G485" s="2">
        <f>VLOOKUP(A485,Table3[#All],7,FALSE)</f>
        <v>50779</v>
      </c>
      <c r="H485" s="2">
        <f>VLOOKUP(A485,Table3[#All],8,FALSE)</f>
        <v>4</v>
      </c>
      <c r="I485" s="2">
        <f>VLOOKUP(A485,Table3[#All],9,FALSE)</f>
        <v>50</v>
      </c>
      <c r="J485" s="2">
        <f>VLOOKUP(A485,Table3[#All],10,FALSE)</f>
        <v>4</v>
      </c>
      <c r="K485" s="2">
        <f>VLOOKUP(A485,Table3[#All],11,FALSE)</f>
        <v>99</v>
      </c>
      <c r="L485" s="2" t="str">
        <f>VLOOKUP(A485,Table3[#All],12,FALSE)</f>
        <v>Delhi</v>
      </c>
      <c r="M485" s="2" t="str">
        <f t="shared" si="7"/>
        <v>Eligible</v>
      </c>
    </row>
    <row r="486" spans="1:13" hidden="1" x14ac:dyDescent="0.25">
      <c r="A486" s="6" t="s">
        <v>545</v>
      </c>
      <c r="B486" s="2" t="str">
        <f>VLOOKUP(A486,Table3[#All],2,FALSE)</f>
        <v>Divya</v>
      </c>
      <c r="C486" s="2" t="str">
        <f>VLOOKUP(A486,Table3[#All],3,FALSE)</f>
        <v>HR</v>
      </c>
      <c r="D486" s="2">
        <f>VLOOKUP(A486,Table3[#All],4,FALSE)</f>
        <v>40</v>
      </c>
      <c r="E486" s="2" t="str">
        <f>VLOOKUP(A486,Table3[#All],5,FALSE)</f>
        <v>Male</v>
      </c>
      <c r="F486" s="2">
        <f>VLOOKUP(A486,Table3[#All],6,FALSE)</f>
        <v>5</v>
      </c>
      <c r="G486" s="2">
        <f>VLOOKUP(A486,Table3[#All],7,FALSE)</f>
        <v>50849</v>
      </c>
      <c r="H486" s="2">
        <f>VLOOKUP(A486,Table3[#All],8,FALSE)</f>
        <v>5</v>
      </c>
      <c r="I486" s="2">
        <f>VLOOKUP(A486,Table3[#All],9,FALSE)</f>
        <v>45</v>
      </c>
      <c r="J486" s="2">
        <f>VLOOKUP(A486,Table3[#All],10,FALSE)</f>
        <v>3</v>
      </c>
      <c r="K486" s="2">
        <f>VLOOKUP(A486,Table3[#All],11,FALSE)</f>
        <v>90</v>
      </c>
      <c r="L486" s="2" t="str">
        <f>VLOOKUP(A486,Table3[#All],12,FALSE)</f>
        <v>Mumbai</v>
      </c>
      <c r="M486" s="2" t="str">
        <f t="shared" si="7"/>
        <v>Not Eligible</v>
      </c>
    </row>
    <row r="487" spans="1:13" hidden="1" x14ac:dyDescent="0.25">
      <c r="A487" s="6" t="s">
        <v>529</v>
      </c>
      <c r="B487" s="2" t="str">
        <f>VLOOKUP(A487,Table3[#All],2,FALSE)</f>
        <v>Anitha</v>
      </c>
      <c r="C487" s="2" t="str">
        <f>VLOOKUP(A487,Table3[#All],3,FALSE)</f>
        <v>Finance</v>
      </c>
      <c r="D487" s="2">
        <f>VLOOKUP(A487,Table3[#All],4,FALSE)</f>
        <v>25</v>
      </c>
      <c r="E487" s="2" t="str">
        <f>VLOOKUP(A487,Table3[#All],5,FALSE)</f>
        <v>Male</v>
      </c>
      <c r="F487" s="2">
        <f>VLOOKUP(A487,Table3[#All],6,FALSE)</f>
        <v>1</v>
      </c>
      <c r="G487" s="2">
        <f>VLOOKUP(A487,Table3[#All],7,FALSE)</f>
        <v>60500</v>
      </c>
      <c r="H487" s="2">
        <f>VLOOKUP(A487,Table3[#All],8,FALSE)</f>
        <v>8</v>
      </c>
      <c r="I487" s="2">
        <f>VLOOKUP(A487,Table3[#All],9,FALSE)</f>
        <v>50</v>
      </c>
      <c r="J487" s="2">
        <f>VLOOKUP(A487,Table3[#All],10,FALSE)</f>
        <v>5</v>
      </c>
      <c r="K487" s="2">
        <f>VLOOKUP(A487,Table3[#All],11,FALSE)</f>
        <v>92</v>
      </c>
      <c r="L487" s="2" t="str">
        <f>VLOOKUP(A487,Table3[#All],12,FALSE)</f>
        <v>Mumbai</v>
      </c>
      <c r="M487" s="2" t="str">
        <f t="shared" si="7"/>
        <v>Not Eligible</v>
      </c>
    </row>
    <row r="488" spans="1:13" hidden="1" x14ac:dyDescent="0.25">
      <c r="A488" s="5" t="s">
        <v>530</v>
      </c>
      <c r="B488" s="2" t="str">
        <f>VLOOKUP(A488,Table3[#All],2,FALSE)</f>
        <v>Lakshmi</v>
      </c>
      <c r="C488" s="2" t="str">
        <f>VLOOKUP(A488,Table3[#All],3,FALSE)</f>
        <v>HR</v>
      </c>
      <c r="D488" s="2">
        <f>VLOOKUP(A488,Table3[#All],4,FALSE)</f>
        <v>22</v>
      </c>
      <c r="E488" s="2" t="str">
        <f>VLOOKUP(A488,Table3[#All],5,FALSE)</f>
        <v>Male</v>
      </c>
      <c r="F488" s="2">
        <f>VLOOKUP(A488,Table3[#All],6,FALSE)</f>
        <v>2</v>
      </c>
      <c r="G488" s="2">
        <f>VLOOKUP(A488,Table3[#All],7,FALSE)</f>
        <v>55104</v>
      </c>
      <c r="H488" s="2">
        <f>VLOOKUP(A488,Table3[#All],8,FALSE)</f>
        <v>13</v>
      </c>
      <c r="I488" s="2">
        <f>VLOOKUP(A488,Table3[#All],9,FALSE)</f>
        <v>47</v>
      </c>
      <c r="J488" s="2">
        <f>VLOOKUP(A488,Table3[#All],10,FALSE)</f>
        <v>2</v>
      </c>
      <c r="K488" s="2">
        <f>VLOOKUP(A488,Table3[#All],11,FALSE)</f>
        <v>91</v>
      </c>
      <c r="L488" s="2" t="str">
        <f>VLOOKUP(A488,Table3[#All],12,FALSE)</f>
        <v>Delhi</v>
      </c>
      <c r="M488" s="2" t="str">
        <f t="shared" si="7"/>
        <v>Not Eligible</v>
      </c>
    </row>
    <row r="489" spans="1:13" x14ac:dyDescent="0.25">
      <c r="A489" s="5" t="s">
        <v>948</v>
      </c>
      <c r="B489" s="2" t="str">
        <f>VLOOKUP(A489,Table3[#All],2,FALSE)</f>
        <v>Manoj</v>
      </c>
      <c r="C489" s="2" t="str">
        <f>VLOOKUP(A489,Table3[#All],3,FALSE)</f>
        <v>HR</v>
      </c>
      <c r="D489" s="2">
        <f>VLOOKUP(A489,Table3[#All],4,FALSE)</f>
        <v>25</v>
      </c>
      <c r="E489" s="2" t="str">
        <f>VLOOKUP(A489,Table3[#All],5,FALSE)</f>
        <v>Male</v>
      </c>
      <c r="F489" s="2">
        <f>VLOOKUP(A489,Table3[#All],6,FALSE)</f>
        <v>13</v>
      </c>
      <c r="G489" s="2">
        <f>VLOOKUP(A489,Table3[#All],7,FALSE)</f>
        <v>50968</v>
      </c>
      <c r="H489" s="2">
        <f>VLOOKUP(A489,Table3[#All],8,FALSE)</f>
        <v>12</v>
      </c>
      <c r="I489" s="2">
        <f>VLOOKUP(A489,Table3[#All],9,FALSE)</f>
        <v>42</v>
      </c>
      <c r="J489" s="2">
        <f>VLOOKUP(A489,Table3[#All],10,FALSE)</f>
        <v>3</v>
      </c>
      <c r="K489" s="2">
        <f>VLOOKUP(A489,Table3[#All],11,FALSE)</f>
        <v>98</v>
      </c>
      <c r="L489" s="2" t="str">
        <f>VLOOKUP(A489,Table3[#All],12,FALSE)</f>
        <v>Chennai</v>
      </c>
      <c r="M489" s="2" t="str">
        <f t="shared" si="7"/>
        <v>Eligible</v>
      </c>
    </row>
    <row r="490" spans="1:13" hidden="1" x14ac:dyDescent="0.25">
      <c r="A490" s="5" t="s">
        <v>532</v>
      </c>
      <c r="B490" s="2" t="str">
        <f>VLOOKUP(A490,Table3[#All],2,FALSE)</f>
        <v>Nisha</v>
      </c>
      <c r="C490" s="2" t="str">
        <f>VLOOKUP(A490,Table3[#All],3,FALSE)</f>
        <v>HR</v>
      </c>
      <c r="D490" s="2">
        <f>VLOOKUP(A490,Table3[#All],4,FALSE)</f>
        <v>40</v>
      </c>
      <c r="E490" s="2" t="str">
        <f>VLOOKUP(A490,Table3[#All],5,FALSE)</f>
        <v>Male</v>
      </c>
      <c r="F490" s="2">
        <f>VLOOKUP(A490,Table3[#All],6,FALSE)</f>
        <v>2</v>
      </c>
      <c r="G490" s="2">
        <f>VLOOKUP(A490,Table3[#All],7,FALSE)</f>
        <v>56295</v>
      </c>
      <c r="H490" s="2">
        <f>VLOOKUP(A490,Table3[#All],8,FALSE)</f>
        <v>9</v>
      </c>
      <c r="I490" s="2">
        <f>VLOOKUP(A490,Table3[#All],9,FALSE)</f>
        <v>43</v>
      </c>
      <c r="J490" s="2">
        <f>VLOOKUP(A490,Table3[#All],10,FALSE)</f>
        <v>5</v>
      </c>
      <c r="K490" s="2">
        <f>VLOOKUP(A490,Table3[#All],11,FALSE)</f>
        <v>97</v>
      </c>
      <c r="L490" s="2" t="str">
        <f>VLOOKUP(A490,Table3[#All],12,FALSE)</f>
        <v>Delhi</v>
      </c>
      <c r="M490" s="2" t="str">
        <f t="shared" si="7"/>
        <v>Eligible</v>
      </c>
    </row>
    <row r="491" spans="1:13" hidden="1" x14ac:dyDescent="0.25">
      <c r="A491" s="6" t="s">
        <v>533</v>
      </c>
      <c r="B491" s="2" t="str">
        <f>VLOOKUP(A491,Table3[#All],2,FALSE)</f>
        <v>Nisha</v>
      </c>
      <c r="C491" s="2" t="str">
        <f>VLOOKUP(A491,Table3[#All],3,FALSE)</f>
        <v>IT</v>
      </c>
      <c r="D491" s="2">
        <f>VLOOKUP(A491,Table3[#All],4,FALSE)</f>
        <v>27</v>
      </c>
      <c r="E491" s="2" t="str">
        <f>VLOOKUP(A491,Table3[#All],5,FALSE)</f>
        <v>Female</v>
      </c>
      <c r="F491" s="2">
        <f>VLOOKUP(A491,Table3[#All],6,FALSE)</f>
        <v>2</v>
      </c>
      <c r="G491" s="2">
        <f>VLOOKUP(A491,Table3[#All],7,FALSE)</f>
        <v>29743</v>
      </c>
      <c r="H491" s="2">
        <f>VLOOKUP(A491,Table3[#All],8,FALSE)</f>
        <v>6</v>
      </c>
      <c r="I491" s="2">
        <f>VLOOKUP(A491,Table3[#All],9,FALSE)</f>
        <v>39</v>
      </c>
      <c r="J491" s="2">
        <f>VLOOKUP(A491,Table3[#All],10,FALSE)</f>
        <v>2</v>
      </c>
      <c r="K491" s="2">
        <f>VLOOKUP(A491,Table3[#All],11,FALSE)</f>
        <v>92</v>
      </c>
      <c r="L491" s="2" t="str">
        <f>VLOOKUP(A491,Table3[#All],12,FALSE)</f>
        <v>Hyderabad</v>
      </c>
      <c r="M491" s="2" t="str">
        <f t="shared" si="7"/>
        <v>Not Eligible</v>
      </c>
    </row>
    <row r="492" spans="1:13" hidden="1" x14ac:dyDescent="0.25">
      <c r="A492" s="6" t="s">
        <v>543</v>
      </c>
      <c r="B492" s="2" t="str">
        <f>VLOOKUP(A492,Table3[#All],2,FALSE)</f>
        <v>Lakshmi</v>
      </c>
      <c r="C492" s="2" t="str">
        <f>VLOOKUP(A492,Table3[#All],3,FALSE)</f>
        <v>HR</v>
      </c>
      <c r="D492" s="2">
        <f>VLOOKUP(A492,Table3[#All],4,FALSE)</f>
        <v>38</v>
      </c>
      <c r="E492" s="2" t="str">
        <f>VLOOKUP(A492,Table3[#All],5,FALSE)</f>
        <v>Male</v>
      </c>
      <c r="F492" s="2">
        <f>VLOOKUP(A492,Table3[#All],6,FALSE)</f>
        <v>12</v>
      </c>
      <c r="G492" s="2">
        <f>VLOOKUP(A492,Table3[#All],7,FALSE)</f>
        <v>51087</v>
      </c>
      <c r="H492" s="2">
        <f>VLOOKUP(A492,Table3[#All],8,FALSE)</f>
        <v>3</v>
      </c>
      <c r="I492" s="2">
        <f>VLOOKUP(A492,Table3[#All],9,FALSE)</f>
        <v>42</v>
      </c>
      <c r="J492" s="2">
        <f>VLOOKUP(A492,Table3[#All],10,FALSE)</f>
        <v>5</v>
      </c>
      <c r="K492" s="2">
        <f>VLOOKUP(A492,Table3[#All],11,FALSE)</f>
        <v>99</v>
      </c>
      <c r="L492" s="2" t="str">
        <f>VLOOKUP(A492,Table3[#All],12,FALSE)</f>
        <v>Delhi</v>
      </c>
      <c r="M492" s="2" t="str">
        <f t="shared" si="7"/>
        <v>Eligible</v>
      </c>
    </row>
    <row r="493" spans="1:13" x14ac:dyDescent="0.25">
      <c r="A493" s="5" t="s">
        <v>540</v>
      </c>
      <c r="B493" s="2" t="str">
        <f>VLOOKUP(A493,Table3[#All],2,FALSE)</f>
        <v>Lakshmi</v>
      </c>
      <c r="C493" s="2" t="str">
        <f>VLOOKUP(A493,Table3[#All],3,FALSE)</f>
        <v>HR</v>
      </c>
      <c r="D493" s="2">
        <f>VLOOKUP(A493,Table3[#All],4,FALSE)</f>
        <v>33</v>
      </c>
      <c r="E493" s="2" t="str">
        <f>VLOOKUP(A493,Table3[#All],5,FALSE)</f>
        <v>Male</v>
      </c>
      <c r="F493" s="2">
        <f>VLOOKUP(A493,Table3[#All],6,FALSE)</f>
        <v>15</v>
      </c>
      <c r="G493" s="2">
        <f>VLOOKUP(A493,Table3[#All],7,FALSE)</f>
        <v>51226</v>
      </c>
      <c r="H493" s="2">
        <f>VLOOKUP(A493,Table3[#All],8,FALSE)</f>
        <v>15</v>
      </c>
      <c r="I493" s="2">
        <f>VLOOKUP(A493,Table3[#All],9,FALSE)</f>
        <v>46</v>
      </c>
      <c r="J493" s="2">
        <f>VLOOKUP(A493,Table3[#All],10,FALSE)</f>
        <v>3</v>
      </c>
      <c r="K493" s="2">
        <f>VLOOKUP(A493,Table3[#All],11,FALSE)</f>
        <v>99</v>
      </c>
      <c r="L493" s="2" t="str">
        <f>VLOOKUP(A493,Table3[#All],12,FALSE)</f>
        <v>Pune</v>
      </c>
      <c r="M493" s="2" t="str">
        <f t="shared" si="7"/>
        <v>Eligible</v>
      </c>
    </row>
    <row r="494" spans="1:13" hidden="1" x14ac:dyDescent="0.25">
      <c r="A494" s="5" t="s">
        <v>536</v>
      </c>
      <c r="B494" s="2" t="str">
        <f>VLOOKUP(A494,Table3[#All],2,FALSE)</f>
        <v>Deepa</v>
      </c>
      <c r="C494" s="2" t="str">
        <f>VLOOKUP(A494,Table3[#All],3,FALSE)</f>
        <v>Finance</v>
      </c>
      <c r="D494" s="2">
        <f>VLOOKUP(A494,Table3[#All],4,FALSE)</f>
        <v>26</v>
      </c>
      <c r="E494" s="2" t="str">
        <f>VLOOKUP(A494,Table3[#All],5,FALSE)</f>
        <v>Male</v>
      </c>
      <c r="F494" s="2">
        <f>VLOOKUP(A494,Table3[#All],6,FALSE)</f>
        <v>2</v>
      </c>
      <c r="G494" s="2">
        <f>VLOOKUP(A494,Table3[#All],7,FALSE)</f>
        <v>46424</v>
      </c>
      <c r="H494" s="2">
        <f>VLOOKUP(A494,Table3[#All],8,FALSE)</f>
        <v>3</v>
      </c>
      <c r="I494" s="2">
        <f>VLOOKUP(A494,Table3[#All],9,FALSE)</f>
        <v>38</v>
      </c>
      <c r="J494" s="2">
        <f>VLOOKUP(A494,Table3[#All],10,FALSE)</f>
        <v>4</v>
      </c>
      <c r="K494" s="2">
        <f>VLOOKUP(A494,Table3[#All],11,FALSE)</f>
        <v>89</v>
      </c>
      <c r="L494" s="2" t="str">
        <f>VLOOKUP(A494,Table3[#All],12,FALSE)</f>
        <v>Mumbai</v>
      </c>
      <c r="M494" s="2" t="str">
        <f t="shared" si="7"/>
        <v>Not Eligible</v>
      </c>
    </row>
    <row r="495" spans="1:13" hidden="1" x14ac:dyDescent="0.25">
      <c r="A495" s="6" t="s">
        <v>537</v>
      </c>
      <c r="B495" s="2" t="str">
        <f>VLOOKUP(A495,Table3[#All],2,FALSE)</f>
        <v>Ramesh</v>
      </c>
      <c r="C495" s="2" t="str">
        <f>VLOOKUP(A495,Table3[#All],3,FALSE)</f>
        <v>HR</v>
      </c>
      <c r="D495" s="2">
        <f>VLOOKUP(A495,Table3[#All],4,FALSE)</f>
        <v>36</v>
      </c>
      <c r="E495" s="2" t="str">
        <f>VLOOKUP(A495,Table3[#All],5,FALSE)</f>
        <v>Male</v>
      </c>
      <c r="F495" s="2">
        <f>VLOOKUP(A495,Table3[#All],6,FALSE)</f>
        <v>2</v>
      </c>
      <c r="G495" s="2">
        <f>VLOOKUP(A495,Table3[#All],7,FALSE)</f>
        <v>62610</v>
      </c>
      <c r="H495" s="2">
        <f>VLOOKUP(A495,Table3[#All],8,FALSE)</f>
        <v>3</v>
      </c>
      <c r="I495" s="2">
        <f>VLOOKUP(A495,Table3[#All],9,FALSE)</f>
        <v>37</v>
      </c>
      <c r="J495" s="2">
        <f>VLOOKUP(A495,Table3[#All],10,FALSE)</f>
        <v>2</v>
      </c>
      <c r="K495" s="2">
        <f>VLOOKUP(A495,Table3[#All],11,FALSE)</f>
        <v>88</v>
      </c>
      <c r="L495" s="2" t="str">
        <f>VLOOKUP(A495,Table3[#All],12,FALSE)</f>
        <v>Delhi</v>
      </c>
      <c r="M495" s="2" t="str">
        <f t="shared" si="7"/>
        <v>Not Eligible</v>
      </c>
    </row>
    <row r="496" spans="1:13" hidden="1" x14ac:dyDescent="0.25">
      <c r="A496" s="6" t="s">
        <v>147</v>
      </c>
      <c r="B496" s="2" t="str">
        <f>VLOOKUP(A496,Table3[#All],2,FALSE)</f>
        <v>Arun</v>
      </c>
      <c r="C496" s="2" t="str">
        <f>VLOOKUP(A496,Table3[#All],3,FALSE)</f>
        <v>IT</v>
      </c>
      <c r="D496" s="2">
        <f>VLOOKUP(A496,Table3[#All],4,FALSE)</f>
        <v>26</v>
      </c>
      <c r="E496" s="2" t="str">
        <f>VLOOKUP(A496,Table3[#All],5,FALSE)</f>
        <v>Female</v>
      </c>
      <c r="F496" s="2">
        <f>VLOOKUP(A496,Table3[#All],6,FALSE)</f>
        <v>7</v>
      </c>
      <c r="G496" s="2">
        <f>VLOOKUP(A496,Table3[#All],7,FALSE)</f>
        <v>51259</v>
      </c>
      <c r="H496" s="2">
        <f>VLOOKUP(A496,Table3[#All],8,FALSE)</f>
        <v>6</v>
      </c>
      <c r="I496" s="2">
        <f>VLOOKUP(A496,Table3[#All],9,FALSE)</f>
        <v>45</v>
      </c>
      <c r="J496" s="2">
        <f>VLOOKUP(A496,Table3[#All],10,FALSE)</f>
        <v>5</v>
      </c>
      <c r="K496" s="2">
        <f>VLOOKUP(A496,Table3[#All],11,FALSE)</f>
        <v>91</v>
      </c>
      <c r="L496" s="2" t="str">
        <f>VLOOKUP(A496,Table3[#All],12,FALSE)</f>
        <v>Chennai</v>
      </c>
      <c r="M496" s="2" t="str">
        <f t="shared" si="7"/>
        <v>Not Eligible</v>
      </c>
    </row>
    <row r="497" spans="1:13" hidden="1" x14ac:dyDescent="0.25">
      <c r="A497" s="6" t="s">
        <v>231</v>
      </c>
      <c r="B497" s="2" t="str">
        <f>VLOOKUP(A497,Table3[#All],2,FALSE)</f>
        <v>Ramesh</v>
      </c>
      <c r="C497" s="2" t="str">
        <f>VLOOKUP(A497,Table3[#All],3,FALSE)</f>
        <v>IT</v>
      </c>
      <c r="D497" s="2">
        <f>VLOOKUP(A497,Table3[#All],4,FALSE)</f>
        <v>36</v>
      </c>
      <c r="E497" s="2" t="str">
        <f>VLOOKUP(A497,Table3[#All],5,FALSE)</f>
        <v>Male</v>
      </c>
      <c r="F497" s="2">
        <f>VLOOKUP(A497,Table3[#All],6,FALSE)</f>
        <v>12</v>
      </c>
      <c r="G497" s="2">
        <f>VLOOKUP(A497,Table3[#All],7,FALSE)</f>
        <v>51269</v>
      </c>
      <c r="H497" s="2">
        <f>VLOOKUP(A497,Table3[#All],8,FALSE)</f>
        <v>5</v>
      </c>
      <c r="I497" s="2">
        <f>VLOOKUP(A497,Table3[#All],9,FALSE)</f>
        <v>47</v>
      </c>
      <c r="J497" s="2">
        <f>VLOOKUP(A497,Table3[#All],10,FALSE)</f>
        <v>1</v>
      </c>
      <c r="K497" s="2">
        <f>VLOOKUP(A497,Table3[#All],11,FALSE)</f>
        <v>91</v>
      </c>
      <c r="L497" s="2" t="str">
        <f>VLOOKUP(A497,Table3[#All],12,FALSE)</f>
        <v>Mumbai</v>
      </c>
      <c r="M497" s="2" t="str">
        <f t="shared" si="7"/>
        <v>Not Eligible</v>
      </c>
    </row>
    <row r="498" spans="1:13" hidden="1" x14ac:dyDescent="0.25">
      <c r="A498" s="5" t="s">
        <v>346</v>
      </c>
      <c r="B498" s="2" t="str">
        <f>VLOOKUP(A498,Table3[#All],2,FALSE)</f>
        <v>Deepa</v>
      </c>
      <c r="C498" s="2" t="str">
        <f>VLOOKUP(A498,Table3[#All],3,FALSE)</f>
        <v>Sales</v>
      </c>
      <c r="D498" s="2">
        <f>VLOOKUP(A498,Table3[#All],4,FALSE)</f>
        <v>35</v>
      </c>
      <c r="E498" s="2" t="str">
        <f>VLOOKUP(A498,Table3[#All],5,FALSE)</f>
        <v>Male</v>
      </c>
      <c r="F498" s="2">
        <f>VLOOKUP(A498,Table3[#All],6,FALSE)</f>
        <v>7</v>
      </c>
      <c r="G498" s="2">
        <f>VLOOKUP(A498,Table3[#All],7,FALSE)</f>
        <v>51309</v>
      </c>
      <c r="H498" s="2">
        <f>VLOOKUP(A498,Table3[#All],8,FALSE)</f>
        <v>11</v>
      </c>
      <c r="I498" s="2">
        <f>VLOOKUP(A498,Table3[#All],9,FALSE)</f>
        <v>49</v>
      </c>
      <c r="J498" s="2">
        <f>VLOOKUP(A498,Table3[#All],10,FALSE)</f>
        <v>2</v>
      </c>
      <c r="K498" s="2">
        <f>VLOOKUP(A498,Table3[#All],11,FALSE)</f>
        <v>85</v>
      </c>
      <c r="L498" s="2" t="str">
        <f>VLOOKUP(A498,Table3[#All],12,FALSE)</f>
        <v>Bangalore</v>
      </c>
      <c r="M498" s="2" t="str">
        <f t="shared" si="7"/>
        <v>Not Eligible</v>
      </c>
    </row>
    <row r="499" spans="1:13" x14ac:dyDescent="0.25">
      <c r="A499" s="6" t="s">
        <v>843</v>
      </c>
      <c r="B499" s="2" t="str">
        <f>VLOOKUP(A499,Table3[#All],2,FALSE)</f>
        <v>Hari</v>
      </c>
      <c r="C499" s="2" t="str">
        <f>VLOOKUP(A499,Table3[#All],3,FALSE)</f>
        <v>HR</v>
      </c>
      <c r="D499" s="2">
        <f>VLOOKUP(A499,Table3[#All],4,FALSE)</f>
        <v>33</v>
      </c>
      <c r="E499" s="2" t="str">
        <f>VLOOKUP(A499,Table3[#All],5,FALSE)</f>
        <v>Female</v>
      </c>
      <c r="F499" s="2">
        <f>VLOOKUP(A499,Table3[#All],6,FALSE)</f>
        <v>7</v>
      </c>
      <c r="G499" s="2">
        <f>VLOOKUP(A499,Table3[#All],7,FALSE)</f>
        <v>51353</v>
      </c>
      <c r="H499" s="2">
        <f>VLOOKUP(A499,Table3[#All],8,FALSE)</f>
        <v>10</v>
      </c>
      <c r="I499" s="2">
        <f>VLOOKUP(A499,Table3[#All],9,FALSE)</f>
        <v>46</v>
      </c>
      <c r="J499" s="2">
        <f>VLOOKUP(A499,Table3[#All],10,FALSE)</f>
        <v>2</v>
      </c>
      <c r="K499" s="2">
        <f>VLOOKUP(A499,Table3[#All],11,FALSE)</f>
        <v>96</v>
      </c>
      <c r="L499" s="2" t="str">
        <f>VLOOKUP(A499,Table3[#All],12,FALSE)</f>
        <v>Chennai</v>
      </c>
      <c r="M499" s="2" t="str">
        <f t="shared" si="7"/>
        <v>Eligible</v>
      </c>
    </row>
    <row r="500" spans="1:13" hidden="1" x14ac:dyDescent="0.25">
      <c r="A500" s="6" t="s">
        <v>373</v>
      </c>
      <c r="B500" s="2" t="str">
        <f>VLOOKUP(A500,Table3[#All],2,FALSE)</f>
        <v>Divya</v>
      </c>
      <c r="C500" s="2" t="str">
        <f>VLOOKUP(A500,Table3[#All],3,FALSE)</f>
        <v>Sales</v>
      </c>
      <c r="D500" s="2">
        <f>VLOOKUP(A500,Table3[#All],4,FALSE)</f>
        <v>24</v>
      </c>
      <c r="E500" s="2" t="str">
        <f>VLOOKUP(A500,Table3[#All],5,FALSE)</f>
        <v>Male</v>
      </c>
      <c r="F500" s="2">
        <f>VLOOKUP(A500,Table3[#All],6,FALSE)</f>
        <v>10</v>
      </c>
      <c r="G500" s="2">
        <f>VLOOKUP(A500,Table3[#All],7,FALSE)</f>
        <v>51438</v>
      </c>
      <c r="H500" s="2">
        <f>VLOOKUP(A500,Table3[#All],8,FALSE)</f>
        <v>13</v>
      </c>
      <c r="I500" s="2">
        <f>VLOOKUP(A500,Table3[#All],9,FALSE)</f>
        <v>38</v>
      </c>
      <c r="J500" s="2">
        <f>VLOOKUP(A500,Table3[#All],10,FALSE)</f>
        <v>5</v>
      </c>
      <c r="K500" s="2">
        <f>VLOOKUP(A500,Table3[#All],11,FALSE)</f>
        <v>89</v>
      </c>
      <c r="L500" s="2" t="str">
        <f>VLOOKUP(A500,Table3[#All],12,FALSE)</f>
        <v>Chennai</v>
      </c>
      <c r="M500" s="2" t="str">
        <f t="shared" si="7"/>
        <v>Not Eligible</v>
      </c>
    </row>
    <row r="501" spans="1:13" hidden="1" x14ac:dyDescent="0.25">
      <c r="A501" s="5" t="s">
        <v>508</v>
      </c>
      <c r="B501" s="2" t="str">
        <f>VLOOKUP(A501,Table3[#All],2,FALSE)</f>
        <v>Ramesh</v>
      </c>
      <c r="C501" s="2" t="str">
        <f>VLOOKUP(A501,Table3[#All],3,FALSE)</f>
        <v>IT</v>
      </c>
      <c r="D501" s="2">
        <f>VLOOKUP(A501,Table3[#All],4,FALSE)</f>
        <v>39</v>
      </c>
      <c r="E501" s="2" t="str">
        <f>VLOOKUP(A501,Table3[#All],5,FALSE)</f>
        <v>Female</v>
      </c>
      <c r="F501" s="2">
        <f>VLOOKUP(A501,Table3[#All],6,FALSE)</f>
        <v>15</v>
      </c>
      <c r="G501" s="2">
        <f>VLOOKUP(A501,Table3[#All],7,FALSE)</f>
        <v>51488</v>
      </c>
      <c r="H501" s="2">
        <f>VLOOKUP(A501,Table3[#All],8,FALSE)</f>
        <v>9</v>
      </c>
      <c r="I501" s="2">
        <f>VLOOKUP(A501,Table3[#All],9,FALSE)</f>
        <v>40</v>
      </c>
      <c r="J501" s="2">
        <f>VLOOKUP(A501,Table3[#All],10,FALSE)</f>
        <v>1</v>
      </c>
      <c r="K501" s="2">
        <f>VLOOKUP(A501,Table3[#All],11,FALSE)</f>
        <v>88</v>
      </c>
      <c r="L501" s="2" t="str">
        <f>VLOOKUP(A501,Table3[#All],12,FALSE)</f>
        <v>Chennai</v>
      </c>
      <c r="M501" s="2" t="str">
        <f t="shared" si="7"/>
        <v>Not Eligible</v>
      </c>
    </row>
    <row r="502" spans="1:13" hidden="1" x14ac:dyDescent="0.25">
      <c r="A502" s="5" t="s">
        <v>688</v>
      </c>
      <c r="B502" s="2" t="str">
        <f>VLOOKUP(A502,Table3[#All],2,FALSE)</f>
        <v>Anitha</v>
      </c>
      <c r="C502" s="2" t="str">
        <f>VLOOKUP(A502,Table3[#All],3,FALSE)</f>
        <v>Sales</v>
      </c>
      <c r="D502" s="2">
        <f>VLOOKUP(A502,Table3[#All],4,FALSE)</f>
        <v>30</v>
      </c>
      <c r="E502" s="2" t="str">
        <f>VLOOKUP(A502,Table3[#All],5,FALSE)</f>
        <v>Female</v>
      </c>
      <c r="F502" s="2">
        <f>VLOOKUP(A502,Table3[#All],6,FALSE)</f>
        <v>5</v>
      </c>
      <c r="G502" s="2">
        <f>VLOOKUP(A502,Table3[#All],7,FALSE)</f>
        <v>51571</v>
      </c>
      <c r="H502" s="2">
        <f>VLOOKUP(A502,Table3[#All],8,FALSE)</f>
        <v>4</v>
      </c>
      <c r="I502" s="2">
        <f>VLOOKUP(A502,Table3[#All],9,FALSE)</f>
        <v>47</v>
      </c>
      <c r="J502" s="2">
        <f>VLOOKUP(A502,Table3[#All],10,FALSE)</f>
        <v>3</v>
      </c>
      <c r="K502" s="2">
        <f>VLOOKUP(A502,Table3[#All],11,FALSE)</f>
        <v>88</v>
      </c>
      <c r="L502" s="2" t="str">
        <f>VLOOKUP(A502,Table3[#All],12,FALSE)</f>
        <v>Bangalore</v>
      </c>
      <c r="M502" s="2" t="str">
        <f t="shared" si="7"/>
        <v>Not Eligible</v>
      </c>
    </row>
    <row r="503" spans="1:13" hidden="1" x14ac:dyDescent="0.25">
      <c r="A503" s="6" t="s">
        <v>685</v>
      </c>
      <c r="B503" s="2" t="str">
        <f>VLOOKUP(A503,Table3[#All],2,FALSE)</f>
        <v>Suresh</v>
      </c>
      <c r="C503" s="2" t="str">
        <f>VLOOKUP(A503,Table3[#All],3,FALSE)</f>
        <v>HR</v>
      </c>
      <c r="D503" s="2">
        <f>VLOOKUP(A503,Table3[#All],4,FALSE)</f>
        <v>24</v>
      </c>
      <c r="E503" s="2" t="str">
        <f>VLOOKUP(A503,Table3[#All],5,FALSE)</f>
        <v>Male</v>
      </c>
      <c r="F503" s="2">
        <f>VLOOKUP(A503,Table3[#All],6,FALSE)</f>
        <v>10</v>
      </c>
      <c r="G503" s="2">
        <f>VLOOKUP(A503,Table3[#All],7,FALSE)</f>
        <v>51584</v>
      </c>
      <c r="H503" s="2">
        <f>VLOOKUP(A503,Table3[#All],8,FALSE)</f>
        <v>15</v>
      </c>
      <c r="I503" s="2">
        <f>VLOOKUP(A503,Table3[#All],9,FALSE)</f>
        <v>44</v>
      </c>
      <c r="J503" s="2">
        <f>VLOOKUP(A503,Table3[#All],10,FALSE)</f>
        <v>4</v>
      </c>
      <c r="K503" s="2">
        <f>VLOOKUP(A503,Table3[#All],11,FALSE)</f>
        <v>86</v>
      </c>
      <c r="L503" s="2" t="str">
        <f>VLOOKUP(A503,Table3[#All],12,FALSE)</f>
        <v>Pune</v>
      </c>
      <c r="M503" s="2" t="str">
        <f t="shared" si="7"/>
        <v>Not Eligible</v>
      </c>
    </row>
    <row r="504" spans="1:13" hidden="1" x14ac:dyDescent="0.25">
      <c r="A504" s="5" t="s">
        <v>886</v>
      </c>
      <c r="B504" s="2" t="str">
        <f>VLOOKUP(A504,Table3[#All],2,FALSE)</f>
        <v>Deepa</v>
      </c>
      <c r="C504" s="2" t="str">
        <f>VLOOKUP(A504,Table3[#All],3,FALSE)</f>
        <v>IT</v>
      </c>
      <c r="D504" s="2">
        <f>VLOOKUP(A504,Table3[#All],4,FALSE)</f>
        <v>32</v>
      </c>
      <c r="E504" s="2" t="str">
        <f>VLOOKUP(A504,Table3[#All],5,FALSE)</f>
        <v>Male</v>
      </c>
      <c r="F504" s="2">
        <f>VLOOKUP(A504,Table3[#All],6,FALSE)</f>
        <v>7</v>
      </c>
      <c r="G504" s="2">
        <f>VLOOKUP(A504,Table3[#All],7,FALSE)</f>
        <v>51630</v>
      </c>
      <c r="H504" s="2">
        <f>VLOOKUP(A504,Table3[#All],8,FALSE)</f>
        <v>15</v>
      </c>
      <c r="I504" s="2">
        <f>VLOOKUP(A504,Table3[#All],9,FALSE)</f>
        <v>46</v>
      </c>
      <c r="J504" s="2">
        <f>VLOOKUP(A504,Table3[#All],10,FALSE)</f>
        <v>3</v>
      </c>
      <c r="K504" s="2">
        <f>VLOOKUP(A504,Table3[#All],11,FALSE)</f>
        <v>85</v>
      </c>
      <c r="L504" s="2" t="str">
        <f>VLOOKUP(A504,Table3[#All],12,FALSE)</f>
        <v>Pune</v>
      </c>
      <c r="M504" s="2" t="str">
        <f t="shared" si="7"/>
        <v>Not Eligible</v>
      </c>
    </row>
    <row r="505" spans="1:13" x14ac:dyDescent="0.25">
      <c r="A505" s="5" t="s">
        <v>768</v>
      </c>
      <c r="B505" s="2" t="str">
        <f>VLOOKUP(A505,Table3[#All],2,FALSE)</f>
        <v>Sneha</v>
      </c>
      <c r="C505" s="2" t="str">
        <f>VLOOKUP(A505,Table3[#All],3,FALSE)</f>
        <v>Sales</v>
      </c>
      <c r="D505" s="2">
        <f>VLOOKUP(A505,Table3[#All],4,FALSE)</f>
        <v>39</v>
      </c>
      <c r="E505" s="2" t="str">
        <f>VLOOKUP(A505,Table3[#All],5,FALSE)</f>
        <v>Female</v>
      </c>
      <c r="F505" s="2">
        <f>VLOOKUP(A505,Table3[#All],6,FALSE)</f>
        <v>5</v>
      </c>
      <c r="G505" s="2">
        <f>VLOOKUP(A505,Table3[#All],7,FALSE)</f>
        <v>51728</v>
      </c>
      <c r="H505" s="2">
        <f>VLOOKUP(A505,Table3[#All],8,FALSE)</f>
        <v>14</v>
      </c>
      <c r="I505" s="2">
        <f>VLOOKUP(A505,Table3[#All],9,FALSE)</f>
        <v>46</v>
      </c>
      <c r="J505" s="2">
        <f>VLOOKUP(A505,Table3[#All],10,FALSE)</f>
        <v>3</v>
      </c>
      <c r="K505" s="2">
        <f>VLOOKUP(A505,Table3[#All],11,FALSE)</f>
        <v>91</v>
      </c>
      <c r="L505" s="2" t="str">
        <f>VLOOKUP(A505,Table3[#All],12,FALSE)</f>
        <v>Bangalore</v>
      </c>
      <c r="M505" s="2" t="str">
        <f t="shared" si="7"/>
        <v>Not Eligible</v>
      </c>
    </row>
    <row r="506" spans="1:13" hidden="1" x14ac:dyDescent="0.25">
      <c r="A506" s="5" t="s">
        <v>972</v>
      </c>
      <c r="B506" s="2" t="str">
        <f>VLOOKUP(A506,Table3[#All],2,FALSE)</f>
        <v>Priya</v>
      </c>
      <c r="C506" s="2" t="str">
        <f>VLOOKUP(A506,Table3[#All],3,FALSE)</f>
        <v>Finance</v>
      </c>
      <c r="D506" s="2">
        <f>VLOOKUP(A506,Table3[#All],4,FALSE)</f>
        <v>31</v>
      </c>
      <c r="E506" s="2" t="str">
        <f>VLOOKUP(A506,Table3[#All],5,FALSE)</f>
        <v>Male</v>
      </c>
      <c r="F506" s="2">
        <f>VLOOKUP(A506,Table3[#All],6,FALSE)</f>
        <v>9</v>
      </c>
      <c r="G506" s="2">
        <f>VLOOKUP(A506,Table3[#All],7,FALSE)</f>
        <v>51740</v>
      </c>
      <c r="H506" s="2">
        <f>VLOOKUP(A506,Table3[#All],8,FALSE)</f>
        <v>15</v>
      </c>
      <c r="I506" s="2">
        <f>VLOOKUP(A506,Table3[#All],9,FALSE)</f>
        <v>45</v>
      </c>
      <c r="J506" s="2">
        <f>VLOOKUP(A506,Table3[#All],10,FALSE)</f>
        <v>5</v>
      </c>
      <c r="K506" s="2">
        <f>VLOOKUP(A506,Table3[#All],11,FALSE)</f>
        <v>89</v>
      </c>
      <c r="L506" s="2" t="str">
        <f>VLOOKUP(A506,Table3[#All],12,FALSE)</f>
        <v>Mumbai</v>
      </c>
      <c r="M506" s="2" t="str">
        <f t="shared" si="7"/>
        <v>Not Eligible</v>
      </c>
    </row>
    <row r="507" spans="1:13" hidden="1" x14ac:dyDescent="0.25">
      <c r="A507" s="6" t="s">
        <v>803</v>
      </c>
      <c r="B507" s="2" t="str">
        <f>VLOOKUP(A507,Table3[#All],2,FALSE)</f>
        <v>Priya</v>
      </c>
      <c r="C507" s="2" t="str">
        <f>VLOOKUP(A507,Table3[#All],3,FALSE)</f>
        <v>Finance</v>
      </c>
      <c r="D507" s="2">
        <f>VLOOKUP(A507,Table3[#All],4,FALSE)</f>
        <v>23</v>
      </c>
      <c r="E507" s="2" t="str">
        <f>VLOOKUP(A507,Table3[#All],5,FALSE)</f>
        <v>Female</v>
      </c>
      <c r="F507" s="2">
        <f>VLOOKUP(A507,Table3[#All],6,FALSE)</f>
        <v>5</v>
      </c>
      <c r="G507" s="2">
        <f>VLOOKUP(A507,Table3[#All],7,FALSE)</f>
        <v>51900</v>
      </c>
      <c r="H507" s="2">
        <f>VLOOKUP(A507,Table3[#All],8,FALSE)</f>
        <v>3</v>
      </c>
      <c r="I507" s="2">
        <f>VLOOKUP(A507,Table3[#All],9,FALSE)</f>
        <v>47</v>
      </c>
      <c r="J507" s="2">
        <f>VLOOKUP(A507,Table3[#All],10,FALSE)</f>
        <v>4</v>
      </c>
      <c r="K507" s="2">
        <f>VLOOKUP(A507,Table3[#All],11,FALSE)</f>
        <v>96</v>
      </c>
      <c r="L507" s="2" t="str">
        <f>VLOOKUP(A507,Table3[#All],12,FALSE)</f>
        <v>Pune</v>
      </c>
      <c r="M507" s="2" t="str">
        <f t="shared" si="7"/>
        <v>Eligible</v>
      </c>
    </row>
    <row r="508" spans="1:13" x14ac:dyDescent="0.25">
      <c r="A508" s="5" t="s">
        <v>306</v>
      </c>
      <c r="B508" s="2" t="str">
        <f>VLOOKUP(A508,Table3[#All],2,FALSE)</f>
        <v>Vijay</v>
      </c>
      <c r="C508" s="2" t="str">
        <f>VLOOKUP(A508,Table3[#All],3,FALSE)</f>
        <v>IT</v>
      </c>
      <c r="D508" s="2">
        <f>VLOOKUP(A508,Table3[#All],4,FALSE)</f>
        <v>30</v>
      </c>
      <c r="E508" s="2" t="str">
        <f>VLOOKUP(A508,Table3[#All],5,FALSE)</f>
        <v>Male</v>
      </c>
      <c r="F508" s="2">
        <f>VLOOKUP(A508,Table3[#All],6,FALSE)</f>
        <v>6</v>
      </c>
      <c r="G508" s="2">
        <f>VLOOKUP(A508,Table3[#All],7,FALSE)</f>
        <v>51986</v>
      </c>
      <c r="H508" s="2">
        <f>VLOOKUP(A508,Table3[#All],8,FALSE)</f>
        <v>14</v>
      </c>
      <c r="I508" s="2">
        <f>VLOOKUP(A508,Table3[#All],9,FALSE)</f>
        <v>46</v>
      </c>
      <c r="J508" s="2">
        <f>VLOOKUP(A508,Table3[#All],10,FALSE)</f>
        <v>1</v>
      </c>
      <c r="K508" s="2">
        <f>VLOOKUP(A508,Table3[#All],11,FALSE)</f>
        <v>100</v>
      </c>
      <c r="L508" s="2" t="str">
        <f>VLOOKUP(A508,Table3[#All],12,FALSE)</f>
        <v>Mumbai</v>
      </c>
      <c r="M508" s="2" t="str">
        <f t="shared" si="7"/>
        <v>Eligible</v>
      </c>
    </row>
    <row r="509" spans="1:13" hidden="1" x14ac:dyDescent="0.25">
      <c r="A509" s="6" t="s">
        <v>507</v>
      </c>
      <c r="B509" s="2" t="str">
        <f>VLOOKUP(A509,Table3[#All],2,FALSE)</f>
        <v>Arun</v>
      </c>
      <c r="C509" s="2" t="str">
        <f>VLOOKUP(A509,Table3[#All],3,FALSE)</f>
        <v>Sales</v>
      </c>
      <c r="D509" s="2">
        <f>VLOOKUP(A509,Table3[#All],4,FALSE)</f>
        <v>28</v>
      </c>
      <c r="E509" s="2" t="str">
        <f>VLOOKUP(A509,Table3[#All],5,FALSE)</f>
        <v>Female</v>
      </c>
      <c r="F509" s="2">
        <f>VLOOKUP(A509,Table3[#All],6,FALSE)</f>
        <v>15</v>
      </c>
      <c r="G509" s="2">
        <f>VLOOKUP(A509,Table3[#All],7,FALSE)</f>
        <v>52074</v>
      </c>
      <c r="H509" s="2">
        <f>VLOOKUP(A509,Table3[#All],8,FALSE)</f>
        <v>6</v>
      </c>
      <c r="I509" s="2">
        <f>VLOOKUP(A509,Table3[#All],9,FALSE)</f>
        <v>46</v>
      </c>
      <c r="J509" s="2">
        <f>VLOOKUP(A509,Table3[#All],10,FALSE)</f>
        <v>4</v>
      </c>
      <c r="K509" s="2">
        <f>VLOOKUP(A509,Table3[#All],11,FALSE)</f>
        <v>87</v>
      </c>
      <c r="L509" s="2" t="str">
        <f>VLOOKUP(A509,Table3[#All],12,FALSE)</f>
        <v>Pune</v>
      </c>
      <c r="M509" s="2" t="str">
        <f t="shared" si="7"/>
        <v>Not Eligible</v>
      </c>
    </row>
    <row r="510" spans="1:13" hidden="1" x14ac:dyDescent="0.25">
      <c r="A510" s="5" t="s">
        <v>970</v>
      </c>
      <c r="B510" s="2" t="str">
        <f>VLOOKUP(A510,Table3[#All],2,FALSE)</f>
        <v>Vijay</v>
      </c>
      <c r="C510" s="2" t="str">
        <f>VLOOKUP(A510,Table3[#All],3,FALSE)</f>
        <v>HR</v>
      </c>
      <c r="D510" s="2">
        <f>VLOOKUP(A510,Table3[#All],4,FALSE)</f>
        <v>34</v>
      </c>
      <c r="E510" s="2" t="str">
        <f>VLOOKUP(A510,Table3[#All],5,FALSE)</f>
        <v>Male</v>
      </c>
      <c r="F510" s="2">
        <f>VLOOKUP(A510,Table3[#All],6,FALSE)</f>
        <v>13</v>
      </c>
      <c r="G510" s="2">
        <f>VLOOKUP(A510,Table3[#All],7,FALSE)</f>
        <v>52079</v>
      </c>
      <c r="H510" s="2">
        <f>VLOOKUP(A510,Table3[#All],8,FALSE)</f>
        <v>9</v>
      </c>
      <c r="I510" s="2">
        <f>VLOOKUP(A510,Table3[#All],9,FALSE)</f>
        <v>44</v>
      </c>
      <c r="J510" s="2">
        <f>VLOOKUP(A510,Table3[#All],10,FALSE)</f>
        <v>5</v>
      </c>
      <c r="K510" s="2">
        <f>VLOOKUP(A510,Table3[#All],11,FALSE)</f>
        <v>99</v>
      </c>
      <c r="L510" s="2" t="str">
        <f>VLOOKUP(A510,Table3[#All],12,FALSE)</f>
        <v>Bangalore</v>
      </c>
      <c r="M510" s="2" t="str">
        <f t="shared" si="7"/>
        <v>Eligible</v>
      </c>
    </row>
    <row r="511" spans="1:13" hidden="1" x14ac:dyDescent="0.25">
      <c r="A511" s="5" t="s">
        <v>614</v>
      </c>
      <c r="B511" s="2" t="str">
        <f>VLOOKUP(A511,Table3[#All],2,FALSE)</f>
        <v>Priya</v>
      </c>
      <c r="C511" s="2" t="str">
        <f>VLOOKUP(A511,Table3[#All],3,FALSE)</f>
        <v>HR</v>
      </c>
      <c r="D511" s="2">
        <f>VLOOKUP(A511,Table3[#All],4,FALSE)</f>
        <v>33</v>
      </c>
      <c r="E511" s="2" t="str">
        <f>VLOOKUP(A511,Table3[#All],5,FALSE)</f>
        <v>Male</v>
      </c>
      <c r="F511" s="2">
        <f>VLOOKUP(A511,Table3[#All],6,FALSE)</f>
        <v>15</v>
      </c>
      <c r="G511" s="2">
        <f>VLOOKUP(A511,Table3[#All],7,FALSE)</f>
        <v>52092</v>
      </c>
      <c r="H511" s="2">
        <f>VLOOKUP(A511,Table3[#All],8,FALSE)</f>
        <v>12</v>
      </c>
      <c r="I511" s="2">
        <f>VLOOKUP(A511,Table3[#All],9,FALSE)</f>
        <v>50</v>
      </c>
      <c r="J511" s="2">
        <f>VLOOKUP(A511,Table3[#All],10,FALSE)</f>
        <v>2</v>
      </c>
      <c r="K511" s="2">
        <f>VLOOKUP(A511,Table3[#All],11,FALSE)</f>
        <v>90</v>
      </c>
      <c r="L511" s="2" t="str">
        <f>VLOOKUP(A511,Table3[#All],12,FALSE)</f>
        <v>Pune</v>
      </c>
      <c r="M511" s="2" t="str">
        <f t="shared" si="7"/>
        <v>Not Eligible</v>
      </c>
    </row>
    <row r="512" spans="1:13" hidden="1" x14ac:dyDescent="0.25">
      <c r="A512" s="5" t="s">
        <v>554</v>
      </c>
      <c r="B512" s="2" t="str">
        <f>VLOOKUP(A512,Table3[#All],2,FALSE)</f>
        <v>Karthik</v>
      </c>
      <c r="C512" s="2" t="str">
        <f>VLOOKUP(A512,Table3[#All],3,FALSE)</f>
        <v>Finance</v>
      </c>
      <c r="D512" s="2">
        <f>VLOOKUP(A512,Table3[#All],4,FALSE)</f>
        <v>31</v>
      </c>
      <c r="E512" s="2" t="str">
        <f>VLOOKUP(A512,Table3[#All],5,FALSE)</f>
        <v>Male</v>
      </c>
      <c r="F512" s="2">
        <f>VLOOKUP(A512,Table3[#All],6,FALSE)</f>
        <v>1</v>
      </c>
      <c r="G512" s="2">
        <f>VLOOKUP(A512,Table3[#All],7,FALSE)</f>
        <v>30374</v>
      </c>
      <c r="H512" s="2">
        <f>VLOOKUP(A512,Table3[#All],8,FALSE)</f>
        <v>9</v>
      </c>
      <c r="I512" s="2">
        <f>VLOOKUP(A512,Table3[#All],9,FALSE)</f>
        <v>50</v>
      </c>
      <c r="J512" s="2">
        <f>VLOOKUP(A512,Table3[#All],10,FALSE)</f>
        <v>4</v>
      </c>
      <c r="K512" s="2">
        <f>VLOOKUP(A512,Table3[#All],11,FALSE)</f>
        <v>92</v>
      </c>
      <c r="L512" s="2" t="str">
        <f>VLOOKUP(A512,Table3[#All],12,FALSE)</f>
        <v>Mumbai</v>
      </c>
      <c r="M512" s="2" t="str">
        <f t="shared" si="7"/>
        <v>Not Eligible</v>
      </c>
    </row>
    <row r="513" spans="1:13" hidden="1" x14ac:dyDescent="0.25">
      <c r="A513" s="6" t="s">
        <v>657</v>
      </c>
      <c r="B513" s="2" t="str">
        <f>VLOOKUP(A513,Table3[#All],2,FALSE)</f>
        <v>Arun</v>
      </c>
      <c r="C513" s="2" t="str">
        <f>VLOOKUP(A513,Table3[#All],3,FALSE)</f>
        <v>Finance</v>
      </c>
      <c r="D513" s="2">
        <f>VLOOKUP(A513,Table3[#All],4,FALSE)</f>
        <v>35</v>
      </c>
      <c r="E513" s="2" t="str">
        <f>VLOOKUP(A513,Table3[#All],5,FALSE)</f>
        <v>Male</v>
      </c>
      <c r="F513" s="2">
        <f>VLOOKUP(A513,Table3[#All],6,FALSE)</f>
        <v>10</v>
      </c>
      <c r="G513" s="2">
        <f>VLOOKUP(A513,Table3[#All],7,FALSE)</f>
        <v>52130</v>
      </c>
      <c r="H513" s="2">
        <f>VLOOKUP(A513,Table3[#All],8,FALSE)</f>
        <v>9</v>
      </c>
      <c r="I513" s="2">
        <f>VLOOKUP(A513,Table3[#All],9,FALSE)</f>
        <v>40</v>
      </c>
      <c r="J513" s="2">
        <f>VLOOKUP(A513,Table3[#All],10,FALSE)</f>
        <v>1</v>
      </c>
      <c r="K513" s="2">
        <f>VLOOKUP(A513,Table3[#All],11,FALSE)</f>
        <v>94</v>
      </c>
      <c r="L513" s="2" t="str">
        <f>VLOOKUP(A513,Table3[#All],12,FALSE)</f>
        <v>Mumbai</v>
      </c>
      <c r="M513" s="2" t="str">
        <f t="shared" si="7"/>
        <v>Not Eligible</v>
      </c>
    </row>
    <row r="514" spans="1:13" x14ac:dyDescent="0.25">
      <c r="A514" s="5" t="s">
        <v>334</v>
      </c>
      <c r="B514" s="2" t="str">
        <f>VLOOKUP(A514,Table3[#All],2,FALSE)</f>
        <v>Meena</v>
      </c>
      <c r="C514" s="2" t="str">
        <f>VLOOKUP(A514,Table3[#All],3,FALSE)</f>
        <v>Finance</v>
      </c>
      <c r="D514" s="2">
        <f>VLOOKUP(A514,Table3[#All],4,FALSE)</f>
        <v>35</v>
      </c>
      <c r="E514" s="2" t="str">
        <f>VLOOKUP(A514,Table3[#All],5,FALSE)</f>
        <v>Male</v>
      </c>
      <c r="F514" s="2">
        <f>VLOOKUP(A514,Table3[#All],6,FALSE)</f>
        <v>9</v>
      </c>
      <c r="G514" s="2">
        <f>VLOOKUP(A514,Table3[#All],7,FALSE)</f>
        <v>52185</v>
      </c>
      <c r="H514" s="2">
        <f>VLOOKUP(A514,Table3[#All],8,FALSE)</f>
        <v>10</v>
      </c>
      <c r="I514" s="2">
        <f>VLOOKUP(A514,Table3[#All],9,FALSE)</f>
        <v>46</v>
      </c>
      <c r="J514" s="2">
        <f>VLOOKUP(A514,Table3[#All],10,FALSE)</f>
        <v>4</v>
      </c>
      <c r="K514" s="2">
        <f>VLOOKUP(A514,Table3[#All],11,FALSE)</f>
        <v>92</v>
      </c>
      <c r="L514" s="2" t="str">
        <f>VLOOKUP(A514,Table3[#All],12,FALSE)</f>
        <v>Chennai</v>
      </c>
      <c r="M514" s="2" t="str">
        <f t="shared" ref="M514:M577" si="8">IF(K514&gt;=95,"Eligible","Not Eligible")</f>
        <v>Not Eligible</v>
      </c>
    </row>
    <row r="515" spans="1:13" hidden="1" x14ac:dyDescent="0.25">
      <c r="A515" s="6" t="s">
        <v>557</v>
      </c>
      <c r="B515" s="2" t="str">
        <f>VLOOKUP(A515,Table3[#All],2,FALSE)</f>
        <v>Arun</v>
      </c>
      <c r="C515" s="2" t="str">
        <f>VLOOKUP(A515,Table3[#All],3,FALSE)</f>
        <v>Sales</v>
      </c>
      <c r="D515" s="2">
        <f>VLOOKUP(A515,Table3[#All],4,FALSE)</f>
        <v>29</v>
      </c>
      <c r="E515" s="2" t="str">
        <f>VLOOKUP(A515,Table3[#All],5,FALSE)</f>
        <v>Male</v>
      </c>
      <c r="F515" s="2">
        <f>VLOOKUP(A515,Table3[#All],6,FALSE)</f>
        <v>4</v>
      </c>
      <c r="G515" s="2">
        <f>VLOOKUP(A515,Table3[#All],7,FALSE)</f>
        <v>30761</v>
      </c>
      <c r="H515" s="2">
        <f>VLOOKUP(A515,Table3[#All],8,FALSE)</f>
        <v>13</v>
      </c>
      <c r="I515" s="2">
        <f>VLOOKUP(A515,Table3[#All],9,FALSE)</f>
        <v>37</v>
      </c>
      <c r="J515" s="2">
        <f>VLOOKUP(A515,Table3[#All],10,FALSE)</f>
        <v>3</v>
      </c>
      <c r="K515" s="2">
        <f>VLOOKUP(A515,Table3[#All],11,FALSE)</f>
        <v>86</v>
      </c>
      <c r="L515" s="2" t="str">
        <f>VLOOKUP(A515,Table3[#All],12,FALSE)</f>
        <v>Bangalore</v>
      </c>
      <c r="M515" s="2" t="str">
        <f t="shared" si="8"/>
        <v>Not Eligible</v>
      </c>
    </row>
    <row r="516" spans="1:13" hidden="1" x14ac:dyDescent="0.25">
      <c r="A516" s="6" t="s">
        <v>195</v>
      </c>
      <c r="B516" s="2" t="str">
        <f>VLOOKUP(A516,Table3[#All],2,FALSE)</f>
        <v>Karthik</v>
      </c>
      <c r="C516" s="2" t="str">
        <f>VLOOKUP(A516,Table3[#All],3,FALSE)</f>
        <v>IT</v>
      </c>
      <c r="D516" s="2">
        <f>VLOOKUP(A516,Table3[#All],4,FALSE)</f>
        <v>24</v>
      </c>
      <c r="E516" s="2" t="str">
        <f>VLOOKUP(A516,Table3[#All],5,FALSE)</f>
        <v>Male</v>
      </c>
      <c r="F516" s="2">
        <f>VLOOKUP(A516,Table3[#All],6,FALSE)</f>
        <v>6</v>
      </c>
      <c r="G516" s="2">
        <f>VLOOKUP(A516,Table3[#All],7,FALSE)</f>
        <v>52290</v>
      </c>
      <c r="H516" s="2">
        <f>VLOOKUP(A516,Table3[#All],8,FALSE)</f>
        <v>3</v>
      </c>
      <c r="I516" s="2">
        <f>VLOOKUP(A516,Table3[#All],9,FALSE)</f>
        <v>37</v>
      </c>
      <c r="J516" s="2">
        <f>VLOOKUP(A516,Table3[#All],10,FALSE)</f>
        <v>3</v>
      </c>
      <c r="K516" s="2">
        <f>VLOOKUP(A516,Table3[#All],11,FALSE)</f>
        <v>89</v>
      </c>
      <c r="L516" s="2" t="str">
        <f>VLOOKUP(A516,Table3[#All],12,FALSE)</f>
        <v>Chennai</v>
      </c>
      <c r="M516" s="2" t="str">
        <f t="shared" si="8"/>
        <v>Not Eligible</v>
      </c>
    </row>
    <row r="517" spans="1:13" hidden="1" x14ac:dyDescent="0.25">
      <c r="A517" s="5" t="s">
        <v>800</v>
      </c>
      <c r="B517" s="2" t="str">
        <f>VLOOKUP(A517,Table3[#All],2,FALSE)</f>
        <v>Divya</v>
      </c>
      <c r="C517" s="2" t="str">
        <f>VLOOKUP(A517,Table3[#All],3,FALSE)</f>
        <v>Sales</v>
      </c>
      <c r="D517" s="2">
        <f>VLOOKUP(A517,Table3[#All],4,FALSE)</f>
        <v>25</v>
      </c>
      <c r="E517" s="2" t="str">
        <f>VLOOKUP(A517,Table3[#All],5,FALSE)</f>
        <v>Female</v>
      </c>
      <c r="F517" s="2">
        <f>VLOOKUP(A517,Table3[#All],6,FALSE)</f>
        <v>15</v>
      </c>
      <c r="G517" s="2">
        <f>VLOOKUP(A517,Table3[#All],7,FALSE)</f>
        <v>52308</v>
      </c>
      <c r="H517" s="2">
        <f>VLOOKUP(A517,Table3[#All],8,FALSE)</f>
        <v>12</v>
      </c>
      <c r="I517" s="2">
        <f>VLOOKUP(A517,Table3[#All],9,FALSE)</f>
        <v>43</v>
      </c>
      <c r="J517" s="2">
        <f>VLOOKUP(A517,Table3[#All],10,FALSE)</f>
        <v>5</v>
      </c>
      <c r="K517" s="2">
        <f>VLOOKUP(A517,Table3[#All],11,FALSE)</f>
        <v>90</v>
      </c>
      <c r="L517" s="2" t="str">
        <f>VLOOKUP(A517,Table3[#All],12,FALSE)</f>
        <v>Bangalore</v>
      </c>
      <c r="M517" s="2" t="str">
        <f t="shared" si="8"/>
        <v>Not Eligible</v>
      </c>
    </row>
    <row r="518" spans="1:13" hidden="1" x14ac:dyDescent="0.25">
      <c r="A518" s="5" t="s">
        <v>520</v>
      </c>
      <c r="B518" s="2" t="str">
        <f>VLOOKUP(A518,Table3[#All],2,FALSE)</f>
        <v>Ravi</v>
      </c>
      <c r="C518" s="2" t="str">
        <f>VLOOKUP(A518,Table3[#All],3,FALSE)</f>
        <v>IT</v>
      </c>
      <c r="D518" s="2">
        <f>VLOOKUP(A518,Table3[#All],4,FALSE)</f>
        <v>30</v>
      </c>
      <c r="E518" s="2" t="str">
        <f>VLOOKUP(A518,Table3[#All],5,FALSE)</f>
        <v>Female</v>
      </c>
      <c r="F518" s="2">
        <f>VLOOKUP(A518,Table3[#All],6,FALSE)</f>
        <v>6</v>
      </c>
      <c r="G518" s="2">
        <f>VLOOKUP(A518,Table3[#All],7,FALSE)</f>
        <v>52334</v>
      </c>
      <c r="H518" s="2">
        <f>VLOOKUP(A518,Table3[#All],8,FALSE)</f>
        <v>4</v>
      </c>
      <c r="I518" s="2">
        <f>VLOOKUP(A518,Table3[#All],9,FALSE)</f>
        <v>36</v>
      </c>
      <c r="J518" s="2">
        <f>VLOOKUP(A518,Table3[#All],10,FALSE)</f>
        <v>3</v>
      </c>
      <c r="K518" s="2">
        <f>VLOOKUP(A518,Table3[#All],11,FALSE)</f>
        <v>88</v>
      </c>
      <c r="L518" s="2" t="str">
        <f>VLOOKUP(A518,Table3[#All],12,FALSE)</f>
        <v>Pune</v>
      </c>
      <c r="M518" s="2" t="str">
        <f t="shared" si="8"/>
        <v>Not Eligible</v>
      </c>
    </row>
    <row r="519" spans="1:13" hidden="1" x14ac:dyDescent="0.25">
      <c r="A519" s="5" t="s">
        <v>866</v>
      </c>
      <c r="B519" s="2" t="str">
        <f>VLOOKUP(A519,Table3[#All],2,FALSE)</f>
        <v>Kavya</v>
      </c>
      <c r="C519" s="2" t="str">
        <f>VLOOKUP(A519,Table3[#All],3,FALSE)</f>
        <v>Sales</v>
      </c>
      <c r="D519" s="2">
        <f>VLOOKUP(A519,Table3[#All],4,FALSE)</f>
        <v>23</v>
      </c>
      <c r="E519" s="2" t="str">
        <f>VLOOKUP(A519,Table3[#All],5,FALSE)</f>
        <v>Male</v>
      </c>
      <c r="F519" s="2">
        <f>VLOOKUP(A519,Table3[#All],6,FALSE)</f>
        <v>6</v>
      </c>
      <c r="G519" s="2">
        <f>VLOOKUP(A519,Table3[#All],7,FALSE)</f>
        <v>52431</v>
      </c>
      <c r="H519" s="2">
        <f>VLOOKUP(A519,Table3[#All],8,FALSE)</f>
        <v>6</v>
      </c>
      <c r="I519" s="2">
        <f>VLOOKUP(A519,Table3[#All],9,FALSE)</f>
        <v>44</v>
      </c>
      <c r="J519" s="2">
        <f>VLOOKUP(A519,Table3[#All],10,FALSE)</f>
        <v>5</v>
      </c>
      <c r="K519" s="2">
        <f>VLOOKUP(A519,Table3[#All],11,FALSE)</f>
        <v>100</v>
      </c>
      <c r="L519" s="2" t="str">
        <f>VLOOKUP(A519,Table3[#All],12,FALSE)</f>
        <v>Mumbai</v>
      </c>
      <c r="M519" s="2" t="str">
        <f t="shared" si="8"/>
        <v>Eligible</v>
      </c>
    </row>
    <row r="520" spans="1:13" hidden="1" x14ac:dyDescent="0.25">
      <c r="A520" s="5" t="s">
        <v>986</v>
      </c>
      <c r="B520" s="2" t="str">
        <f>VLOOKUP(A520,Table3[#All],2,FALSE)</f>
        <v>Kavya</v>
      </c>
      <c r="C520" s="2" t="str">
        <f>VLOOKUP(A520,Table3[#All],3,FALSE)</f>
        <v>Sales</v>
      </c>
      <c r="D520" s="2">
        <f>VLOOKUP(A520,Table3[#All],4,FALSE)</f>
        <v>35</v>
      </c>
      <c r="E520" s="2" t="str">
        <f>VLOOKUP(A520,Table3[#All],5,FALSE)</f>
        <v>Male</v>
      </c>
      <c r="F520" s="2">
        <f>VLOOKUP(A520,Table3[#All],6,FALSE)</f>
        <v>14</v>
      </c>
      <c r="G520" s="2">
        <f>VLOOKUP(A520,Table3[#All],7,FALSE)</f>
        <v>52496</v>
      </c>
      <c r="H520" s="2">
        <f>VLOOKUP(A520,Table3[#All],8,FALSE)</f>
        <v>8</v>
      </c>
      <c r="I520" s="2">
        <f>VLOOKUP(A520,Table3[#All],9,FALSE)</f>
        <v>43</v>
      </c>
      <c r="J520" s="2">
        <f>VLOOKUP(A520,Table3[#All],10,FALSE)</f>
        <v>5</v>
      </c>
      <c r="K520" s="2">
        <f>VLOOKUP(A520,Table3[#All],11,FALSE)</f>
        <v>97</v>
      </c>
      <c r="L520" s="2" t="str">
        <f>VLOOKUP(A520,Table3[#All],12,FALSE)</f>
        <v>Hyderabad</v>
      </c>
      <c r="M520" s="2" t="str">
        <f t="shared" si="8"/>
        <v>Eligible</v>
      </c>
    </row>
    <row r="521" spans="1:13" hidden="1" x14ac:dyDescent="0.25">
      <c r="A521" s="5" t="s">
        <v>91</v>
      </c>
      <c r="B521" s="2" t="str">
        <f>VLOOKUP(A521,Table3[#All],2,FALSE)</f>
        <v>Rekha</v>
      </c>
      <c r="C521" s="2" t="str">
        <f>VLOOKUP(A521,Table3[#All],3,FALSE)</f>
        <v>Finance</v>
      </c>
      <c r="D521" s="2">
        <f>VLOOKUP(A521,Table3[#All],4,FALSE)</f>
        <v>31</v>
      </c>
      <c r="E521" s="2" t="str">
        <f>VLOOKUP(A521,Table3[#All],5,FALSE)</f>
        <v>Male</v>
      </c>
      <c r="F521" s="2">
        <f>VLOOKUP(A521,Table3[#All],6,FALSE)</f>
        <v>15</v>
      </c>
      <c r="G521" s="2">
        <f>VLOOKUP(A521,Table3[#All],7,FALSE)</f>
        <v>52538</v>
      </c>
      <c r="H521" s="2">
        <f>VLOOKUP(A521,Table3[#All],8,FALSE)</f>
        <v>6</v>
      </c>
      <c r="I521" s="2">
        <f>VLOOKUP(A521,Table3[#All],9,FALSE)</f>
        <v>42</v>
      </c>
      <c r="J521" s="2">
        <f>VLOOKUP(A521,Table3[#All],10,FALSE)</f>
        <v>5</v>
      </c>
      <c r="K521" s="2">
        <f>VLOOKUP(A521,Table3[#All],11,FALSE)</f>
        <v>86</v>
      </c>
      <c r="L521" s="2" t="str">
        <f>VLOOKUP(A521,Table3[#All],12,FALSE)</f>
        <v>Pune</v>
      </c>
      <c r="M521" s="2" t="str">
        <f t="shared" si="8"/>
        <v>Not Eligible</v>
      </c>
    </row>
    <row r="522" spans="1:13" hidden="1" x14ac:dyDescent="0.25">
      <c r="A522" s="5" t="s">
        <v>748</v>
      </c>
      <c r="B522" s="2" t="str">
        <f>VLOOKUP(A522,Table3[#All],2,FALSE)</f>
        <v>Deepa</v>
      </c>
      <c r="C522" s="2" t="str">
        <f>VLOOKUP(A522,Table3[#All],3,FALSE)</f>
        <v>Finance</v>
      </c>
      <c r="D522" s="2">
        <f>VLOOKUP(A522,Table3[#All],4,FALSE)</f>
        <v>28</v>
      </c>
      <c r="E522" s="2" t="str">
        <f>VLOOKUP(A522,Table3[#All],5,FALSE)</f>
        <v>Female</v>
      </c>
      <c r="F522" s="2">
        <f>VLOOKUP(A522,Table3[#All],6,FALSE)</f>
        <v>11</v>
      </c>
      <c r="G522" s="2">
        <f>VLOOKUP(A522,Table3[#All],7,FALSE)</f>
        <v>52581</v>
      </c>
      <c r="H522" s="2">
        <f>VLOOKUP(A522,Table3[#All],8,FALSE)</f>
        <v>3</v>
      </c>
      <c r="I522" s="2">
        <f>VLOOKUP(A522,Table3[#All],9,FALSE)</f>
        <v>45</v>
      </c>
      <c r="J522" s="2">
        <f>VLOOKUP(A522,Table3[#All],10,FALSE)</f>
        <v>3</v>
      </c>
      <c r="K522" s="2">
        <f>VLOOKUP(A522,Table3[#All],11,FALSE)</f>
        <v>100</v>
      </c>
      <c r="L522" s="2" t="str">
        <f>VLOOKUP(A522,Table3[#All],12,FALSE)</f>
        <v>Delhi</v>
      </c>
      <c r="M522" s="2" t="str">
        <f t="shared" si="8"/>
        <v>Eligible</v>
      </c>
    </row>
    <row r="523" spans="1:13" hidden="1" x14ac:dyDescent="0.25">
      <c r="A523" s="5" t="s">
        <v>576</v>
      </c>
      <c r="B523" s="2" t="str">
        <f>VLOOKUP(A523,Table3[#All],2,FALSE)</f>
        <v>Nisha</v>
      </c>
      <c r="C523" s="2" t="str">
        <f>VLOOKUP(A523,Table3[#All],3,FALSE)</f>
        <v>Finance</v>
      </c>
      <c r="D523" s="2">
        <f>VLOOKUP(A523,Table3[#All],4,FALSE)</f>
        <v>33</v>
      </c>
      <c r="E523" s="2" t="str">
        <f>VLOOKUP(A523,Table3[#All],5,FALSE)</f>
        <v>Male</v>
      </c>
      <c r="F523" s="2">
        <f>VLOOKUP(A523,Table3[#All],6,FALSE)</f>
        <v>8</v>
      </c>
      <c r="G523" s="2">
        <f>VLOOKUP(A523,Table3[#All],7,FALSE)</f>
        <v>52648</v>
      </c>
      <c r="H523" s="2">
        <f>VLOOKUP(A523,Table3[#All],8,FALSE)</f>
        <v>9</v>
      </c>
      <c r="I523" s="2">
        <f>VLOOKUP(A523,Table3[#All],9,FALSE)</f>
        <v>48</v>
      </c>
      <c r="J523" s="2">
        <f>VLOOKUP(A523,Table3[#All],10,FALSE)</f>
        <v>3</v>
      </c>
      <c r="K523" s="2">
        <f>VLOOKUP(A523,Table3[#All],11,FALSE)</f>
        <v>94</v>
      </c>
      <c r="L523" s="2" t="str">
        <f>VLOOKUP(A523,Table3[#All],12,FALSE)</f>
        <v>Pune</v>
      </c>
      <c r="M523" s="2" t="str">
        <f t="shared" si="8"/>
        <v>Not Eligible</v>
      </c>
    </row>
    <row r="524" spans="1:13" hidden="1" x14ac:dyDescent="0.25">
      <c r="A524" s="5" t="s">
        <v>566</v>
      </c>
      <c r="B524" s="2" t="str">
        <f>VLOOKUP(A524,Table3[#All],2,FALSE)</f>
        <v>Priya</v>
      </c>
      <c r="C524" s="2" t="str">
        <f>VLOOKUP(A524,Table3[#All],3,FALSE)</f>
        <v>IT</v>
      </c>
      <c r="D524" s="2">
        <f>VLOOKUP(A524,Table3[#All],4,FALSE)</f>
        <v>31</v>
      </c>
      <c r="E524" s="2" t="str">
        <f>VLOOKUP(A524,Table3[#All],5,FALSE)</f>
        <v>Male</v>
      </c>
      <c r="F524" s="2">
        <f>VLOOKUP(A524,Table3[#All],6,FALSE)</f>
        <v>4</v>
      </c>
      <c r="G524" s="2">
        <f>VLOOKUP(A524,Table3[#All],7,FALSE)</f>
        <v>69364</v>
      </c>
      <c r="H524" s="2">
        <f>VLOOKUP(A524,Table3[#All],8,FALSE)</f>
        <v>12</v>
      </c>
      <c r="I524" s="2">
        <f>VLOOKUP(A524,Table3[#All],9,FALSE)</f>
        <v>44</v>
      </c>
      <c r="J524" s="2">
        <f>VLOOKUP(A524,Table3[#All],10,FALSE)</f>
        <v>5</v>
      </c>
      <c r="K524" s="2">
        <f>VLOOKUP(A524,Table3[#All],11,FALSE)</f>
        <v>94</v>
      </c>
      <c r="L524" s="2" t="str">
        <f>VLOOKUP(A524,Table3[#All],12,FALSE)</f>
        <v>Delhi</v>
      </c>
      <c r="M524" s="2" t="str">
        <f t="shared" si="8"/>
        <v>Not Eligible</v>
      </c>
    </row>
    <row r="525" spans="1:13" hidden="1" x14ac:dyDescent="0.25">
      <c r="A525" s="6" t="s">
        <v>567</v>
      </c>
      <c r="B525" s="2" t="str">
        <f>VLOOKUP(A525,Table3[#All],2,FALSE)</f>
        <v>Ravi</v>
      </c>
      <c r="C525" s="2" t="str">
        <f>VLOOKUP(A525,Table3[#All],3,FALSE)</f>
        <v>Finance</v>
      </c>
      <c r="D525" s="2">
        <f>VLOOKUP(A525,Table3[#All],4,FALSE)</f>
        <v>33</v>
      </c>
      <c r="E525" s="2" t="str">
        <f>VLOOKUP(A525,Table3[#All],5,FALSE)</f>
        <v>Female</v>
      </c>
      <c r="F525" s="2">
        <f>VLOOKUP(A525,Table3[#All],6,FALSE)</f>
        <v>3</v>
      </c>
      <c r="G525" s="2">
        <f>VLOOKUP(A525,Table3[#All],7,FALSE)</f>
        <v>68178</v>
      </c>
      <c r="H525" s="2">
        <f>VLOOKUP(A525,Table3[#All],8,FALSE)</f>
        <v>12</v>
      </c>
      <c r="I525" s="2">
        <f>VLOOKUP(A525,Table3[#All],9,FALSE)</f>
        <v>50</v>
      </c>
      <c r="J525" s="2">
        <f>VLOOKUP(A525,Table3[#All],10,FALSE)</f>
        <v>2</v>
      </c>
      <c r="K525" s="2">
        <f>VLOOKUP(A525,Table3[#All],11,FALSE)</f>
        <v>91</v>
      </c>
      <c r="L525" s="2" t="str">
        <f>VLOOKUP(A525,Table3[#All],12,FALSE)</f>
        <v>Pune</v>
      </c>
      <c r="M525" s="2" t="str">
        <f t="shared" si="8"/>
        <v>Not Eligible</v>
      </c>
    </row>
    <row r="526" spans="1:13" x14ac:dyDescent="0.25">
      <c r="A526" s="6" t="s">
        <v>209</v>
      </c>
      <c r="B526" s="2" t="str">
        <f>VLOOKUP(A526,Table3[#All],2,FALSE)</f>
        <v>Deepa</v>
      </c>
      <c r="C526" s="2" t="str">
        <f>VLOOKUP(A526,Table3[#All],3,FALSE)</f>
        <v>Finance</v>
      </c>
      <c r="D526" s="2">
        <f>VLOOKUP(A526,Table3[#All],4,FALSE)</f>
        <v>34</v>
      </c>
      <c r="E526" s="2" t="str">
        <f>VLOOKUP(A526,Table3[#All],5,FALSE)</f>
        <v>Female</v>
      </c>
      <c r="F526" s="2">
        <f>VLOOKUP(A526,Table3[#All],6,FALSE)</f>
        <v>12</v>
      </c>
      <c r="G526" s="2">
        <f>VLOOKUP(A526,Table3[#All],7,FALSE)</f>
        <v>52685</v>
      </c>
      <c r="H526" s="2">
        <f>VLOOKUP(A526,Table3[#All],8,FALSE)</f>
        <v>14</v>
      </c>
      <c r="I526" s="2">
        <f>VLOOKUP(A526,Table3[#All],9,FALSE)</f>
        <v>49</v>
      </c>
      <c r="J526" s="2">
        <f>VLOOKUP(A526,Table3[#All],10,FALSE)</f>
        <v>5</v>
      </c>
      <c r="K526" s="2">
        <f>VLOOKUP(A526,Table3[#All],11,FALSE)</f>
        <v>93</v>
      </c>
      <c r="L526" s="2" t="str">
        <f>VLOOKUP(A526,Table3[#All],12,FALSE)</f>
        <v>Chennai</v>
      </c>
      <c r="M526" s="2" t="str">
        <f t="shared" si="8"/>
        <v>Not Eligible</v>
      </c>
    </row>
    <row r="527" spans="1:13" x14ac:dyDescent="0.25">
      <c r="A527" s="5" t="s">
        <v>330</v>
      </c>
      <c r="B527" s="2" t="str">
        <f>VLOOKUP(A527,Table3[#All],2,FALSE)</f>
        <v>Manoj</v>
      </c>
      <c r="C527" s="2" t="str">
        <f>VLOOKUP(A527,Table3[#All],3,FALSE)</f>
        <v>HR</v>
      </c>
      <c r="D527" s="2">
        <f>VLOOKUP(A527,Table3[#All],4,FALSE)</f>
        <v>22</v>
      </c>
      <c r="E527" s="2" t="str">
        <f>VLOOKUP(A527,Table3[#All],5,FALSE)</f>
        <v>Female</v>
      </c>
      <c r="F527" s="2">
        <f>VLOOKUP(A527,Table3[#All],6,FALSE)</f>
        <v>15</v>
      </c>
      <c r="G527" s="2">
        <f>VLOOKUP(A527,Table3[#All],7,FALSE)</f>
        <v>52695</v>
      </c>
      <c r="H527" s="2">
        <f>VLOOKUP(A527,Table3[#All],8,FALSE)</f>
        <v>14</v>
      </c>
      <c r="I527" s="2">
        <f>VLOOKUP(A527,Table3[#All],9,FALSE)</f>
        <v>37</v>
      </c>
      <c r="J527" s="2">
        <f>VLOOKUP(A527,Table3[#All],10,FALSE)</f>
        <v>1</v>
      </c>
      <c r="K527" s="2">
        <f>VLOOKUP(A527,Table3[#All],11,FALSE)</f>
        <v>96</v>
      </c>
      <c r="L527" s="2" t="str">
        <f>VLOOKUP(A527,Table3[#All],12,FALSE)</f>
        <v>Delhi</v>
      </c>
      <c r="M527" s="2" t="str">
        <f t="shared" si="8"/>
        <v>Eligible</v>
      </c>
    </row>
    <row r="528" spans="1:13" hidden="1" x14ac:dyDescent="0.25">
      <c r="A528" s="5" t="s">
        <v>914</v>
      </c>
      <c r="B528" s="2" t="str">
        <f>VLOOKUP(A528,Table3[#All],2,FALSE)</f>
        <v>Manoj</v>
      </c>
      <c r="C528" s="2" t="str">
        <f>VLOOKUP(A528,Table3[#All],3,FALSE)</f>
        <v>IT</v>
      </c>
      <c r="D528" s="2">
        <f>VLOOKUP(A528,Table3[#All],4,FALSE)</f>
        <v>36</v>
      </c>
      <c r="E528" s="2" t="str">
        <f>VLOOKUP(A528,Table3[#All],5,FALSE)</f>
        <v>Female</v>
      </c>
      <c r="F528" s="2">
        <f>VLOOKUP(A528,Table3[#All],6,FALSE)</f>
        <v>14</v>
      </c>
      <c r="G528" s="2">
        <f>VLOOKUP(A528,Table3[#All],7,FALSE)</f>
        <v>52708</v>
      </c>
      <c r="H528" s="2">
        <f>VLOOKUP(A528,Table3[#All],8,FALSE)</f>
        <v>8</v>
      </c>
      <c r="I528" s="2">
        <f>VLOOKUP(A528,Table3[#All],9,FALSE)</f>
        <v>42</v>
      </c>
      <c r="J528" s="2">
        <f>VLOOKUP(A528,Table3[#All],10,FALSE)</f>
        <v>2</v>
      </c>
      <c r="K528" s="2">
        <f>VLOOKUP(A528,Table3[#All],11,FALSE)</f>
        <v>89</v>
      </c>
      <c r="L528" s="2" t="str">
        <f>VLOOKUP(A528,Table3[#All],12,FALSE)</f>
        <v>Delhi</v>
      </c>
      <c r="M528" s="2" t="str">
        <f t="shared" si="8"/>
        <v>Not Eligible</v>
      </c>
    </row>
    <row r="529" spans="1:13" hidden="1" x14ac:dyDescent="0.25">
      <c r="A529" s="5" t="s">
        <v>654</v>
      </c>
      <c r="B529" s="2" t="str">
        <f>VLOOKUP(A529,Table3[#All],2,FALSE)</f>
        <v>Sanjay</v>
      </c>
      <c r="C529" s="2" t="str">
        <f>VLOOKUP(A529,Table3[#All],3,FALSE)</f>
        <v>HR</v>
      </c>
      <c r="D529" s="2">
        <f>VLOOKUP(A529,Table3[#All],4,FALSE)</f>
        <v>37</v>
      </c>
      <c r="E529" s="2" t="str">
        <f>VLOOKUP(A529,Table3[#All],5,FALSE)</f>
        <v>Male</v>
      </c>
      <c r="F529" s="2">
        <f>VLOOKUP(A529,Table3[#All],6,FALSE)</f>
        <v>14</v>
      </c>
      <c r="G529" s="2">
        <f>VLOOKUP(A529,Table3[#All],7,FALSE)</f>
        <v>52763</v>
      </c>
      <c r="H529" s="2">
        <f>VLOOKUP(A529,Table3[#All],8,FALSE)</f>
        <v>4</v>
      </c>
      <c r="I529" s="2">
        <f>VLOOKUP(A529,Table3[#All],9,FALSE)</f>
        <v>49</v>
      </c>
      <c r="J529" s="2">
        <f>VLOOKUP(A529,Table3[#All],10,FALSE)</f>
        <v>1</v>
      </c>
      <c r="K529" s="2">
        <f>VLOOKUP(A529,Table3[#All],11,FALSE)</f>
        <v>94</v>
      </c>
      <c r="L529" s="2" t="str">
        <f>VLOOKUP(A529,Table3[#All],12,FALSE)</f>
        <v>Hyderabad</v>
      </c>
      <c r="M529" s="2" t="str">
        <f t="shared" si="8"/>
        <v>Not Eligible</v>
      </c>
    </row>
    <row r="530" spans="1:13" hidden="1" x14ac:dyDescent="0.25">
      <c r="A530" s="5" t="s">
        <v>572</v>
      </c>
      <c r="B530" s="2" t="str">
        <f>VLOOKUP(A530,Table3[#All],2,FALSE)</f>
        <v>Sneha</v>
      </c>
      <c r="C530" s="2" t="str">
        <f>VLOOKUP(A530,Table3[#All],3,FALSE)</f>
        <v>IT</v>
      </c>
      <c r="D530" s="2">
        <f>VLOOKUP(A530,Table3[#All],4,FALSE)</f>
        <v>39</v>
      </c>
      <c r="E530" s="2" t="str">
        <f>VLOOKUP(A530,Table3[#All],5,FALSE)</f>
        <v>Female</v>
      </c>
      <c r="F530" s="2">
        <f>VLOOKUP(A530,Table3[#All],6,FALSE)</f>
        <v>4</v>
      </c>
      <c r="G530" s="2">
        <f>VLOOKUP(A530,Table3[#All],7,FALSE)</f>
        <v>64942</v>
      </c>
      <c r="H530" s="2">
        <f>VLOOKUP(A530,Table3[#All],8,FALSE)</f>
        <v>12</v>
      </c>
      <c r="I530" s="2">
        <f>VLOOKUP(A530,Table3[#All],9,FALSE)</f>
        <v>43</v>
      </c>
      <c r="J530" s="2">
        <f>VLOOKUP(A530,Table3[#All],10,FALSE)</f>
        <v>3</v>
      </c>
      <c r="K530" s="2">
        <f>VLOOKUP(A530,Table3[#All],11,FALSE)</f>
        <v>94</v>
      </c>
      <c r="L530" s="2" t="str">
        <f>VLOOKUP(A530,Table3[#All],12,FALSE)</f>
        <v>Bangalore</v>
      </c>
      <c r="M530" s="2" t="str">
        <f t="shared" si="8"/>
        <v>Not Eligible</v>
      </c>
    </row>
    <row r="531" spans="1:13" hidden="1" x14ac:dyDescent="0.25">
      <c r="A531" s="6" t="s">
        <v>573</v>
      </c>
      <c r="B531" s="2" t="str">
        <f>VLOOKUP(A531,Table3[#All],2,FALSE)</f>
        <v>Ramesh</v>
      </c>
      <c r="C531" s="2" t="str">
        <f>VLOOKUP(A531,Table3[#All],3,FALSE)</f>
        <v>HR</v>
      </c>
      <c r="D531" s="2">
        <f>VLOOKUP(A531,Table3[#All],4,FALSE)</f>
        <v>28</v>
      </c>
      <c r="E531" s="2" t="str">
        <f>VLOOKUP(A531,Table3[#All],5,FALSE)</f>
        <v>Male</v>
      </c>
      <c r="F531" s="2">
        <f>VLOOKUP(A531,Table3[#All],6,FALSE)</f>
        <v>1</v>
      </c>
      <c r="G531" s="2">
        <f>VLOOKUP(A531,Table3[#All],7,FALSE)</f>
        <v>49651</v>
      </c>
      <c r="H531" s="2">
        <f>VLOOKUP(A531,Table3[#All],8,FALSE)</f>
        <v>6</v>
      </c>
      <c r="I531" s="2">
        <f>VLOOKUP(A531,Table3[#All],9,FALSE)</f>
        <v>47</v>
      </c>
      <c r="J531" s="2">
        <f>VLOOKUP(A531,Table3[#All],10,FALSE)</f>
        <v>2</v>
      </c>
      <c r="K531" s="2">
        <f>VLOOKUP(A531,Table3[#All],11,FALSE)</f>
        <v>95</v>
      </c>
      <c r="L531" s="2" t="str">
        <f>VLOOKUP(A531,Table3[#All],12,FALSE)</f>
        <v>Delhi</v>
      </c>
      <c r="M531" s="2" t="str">
        <f t="shared" si="8"/>
        <v>Eligible</v>
      </c>
    </row>
    <row r="532" spans="1:13" hidden="1" x14ac:dyDescent="0.25">
      <c r="A532" s="5" t="s">
        <v>574</v>
      </c>
      <c r="B532" s="2" t="str">
        <f>VLOOKUP(A532,Table3[#All],2,FALSE)</f>
        <v>Suresh</v>
      </c>
      <c r="C532" s="2" t="str">
        <f>VLOOKUP(A532,Table3[#All],3,FALSE)</f>
        <v>IT</v>
      </c>
      <c r="D532" s="2">
        <f>VLOOKUP(A532,Table3[#All],4,FALSE)</f>
        <v>26</v>
      </c>
      <c r="E532" s="2" t="str">
        <f>VLOOKUP(A532,Table3[#All],5,FALSE)</f>
        <v>Male</v>
      </c>
      <c r="F532" s="2">
        <f>VLOOKUP(A532,Table3[#All],6,FALSE)</f>
        <v>2</v>
      </c>
      <c r="G532" s="2">
        <f>VLOOKUP(A532,Table3[#All],7,FALSE)</f>
        <v>48042</v>
      </c>
      <c r="H532" s="2">
        <f>VLOOKUP(A532,Table3[#All],8,FALSE)</f>
        <v>14</v>
      </c>
      <c r="I532" s="2">
        <f>VLOOKUP(A532,Table3[#All],9,FALSE)</f>
        <v>49</v>
      </c>
      <c r="J532" s="2">
        <f>VLOOKUP(A532,Table3[#All],10,FALSE)</f>
        <v>2</v>
      </c>
      <c r="K532" s="2">
        <f>VLOOKUP(A532,Table3[#All],11,FALSE)</f>
        <v>96</v>
      </c>
      <c r="L532" s="2" t="str">
        <f>VLOOKUP(A532,Table3[#All],12,FALSE)</f>
        <v>Pune</v>
      </c>
      <c r="M532" s="2" t="str">
        <f t="shared" si="8"/>
        <v>Eligible</v>
      </c>
    </row>
    <row r="533" spans="1:13" hidden="1" x14ac:dyDescent="0.25">
      <c r="A533" s="5" t="s">
        <v>850</v>
      </c>
      <c r="B533" s="2" t="str">
        <f>VLOOKUP(A533,Table3[#All],2,FALSE)</f>
        <v>Priya</v>
      </c>
      <c r="C533" s="2" t="str">
        <f>VLOOKUP(A533,Table3[#All],3,FALSE)</f>
        <v>Finance</v>
      </c>
      <c r="D533" s="2">
        <f>VLOOKUP(A533,Table3[#All],4,FALSE)</f>
        <v>33</v>
      </c>
      <c r="E533" s="2" t="str">
        <f>VLOOKUP(A533,Table3[#All],5,FALSE)</f>
        <v>Male</v>
      </c>
      <c r="F533" s="2">
        <f>VLOOKUP(A533,Table3[#All],6,FALSE)</f>
        <v>13</v>
      </c>
      <c r="G533" s="2">
        <f>VLOOKUP(A533,Table3[#All],7,FALSE)</f>
        <v>52816</v>
      </c>
      <c r="H533" s="2">
        <f>VLOOKUP(A533,Table3[#All],8,FALSE)</f>
        <v>10</v>
      </c>
      <c r="I533" s="2">
        <f>VLOOKUP(A533,Table3[#All],9,FALSE)</f>
        <v>36</v>
      </c>
      <c r="J533" s="2">
        <f>VLOOKUP(A533,Table3[#All],10,FALSE)</f>
        <v>4</v>
      </c>
      <c r="K533" s="2">
        <f>VLOOKUP(A533,Table3[#All],11,FALSE)</f>
        <v>85</v>
      </c>
      <c r="L533" s="2" t="str">
        <f>VLOOKUP(A533,Table3[#All],12,FALSE)</f>
        <v>Hyderabad</v>
      </c>
      <c r="M533" s="2" t="str">
        <f t="shared" si="8"/>
        <v>Not Eligible</v>
      </c>
    </row>
    <row r="534" spans="1:13" hidden="1" x14ac:dyDescent="0.25">
      <c r="A534" s="6" t="s">
        <v>35</v>
      </c>
      <c r="B534" s="2" t="str">
        <f>VLOOKUP(A534,Table3[#All],2,FALSE)</f>
        <v>Ravi</v>
      </c>
      <c r="C534" s="2" t="str">
        <f>VLOOKUP(A534,Table3[#All],3,FALSE)</f>
        <v>Finance</v>
      </c>
      <c r="D534" s="2">
        <f>VLOOKUP(A534,Table3[#All],4,FALSE)</f>
        <v>39</v>
      </c>
      <c r="E534" s="2" t="str">
        <f>VLOOKUP(A534,Table3[#All],5,FALSE)</f>
        <v>Male</v>
      </c>
      <c r="F534" s="2">
        <f>VLOOKUP(A534,Table3[#All],6,FALSE)</f>
        <v>14</v>
      </c>
      <c r="G534" s="2">
        <f>VLOOKUP(A534,Table3[#All],7,FALSE)</f>
        <v>52857</v>
      </c>
      <c r="H534" s="2">
        <f>VLOOKUP(A534,Table3[#All],8,FALSE)</f>
        <v>9</v>
      </c>
      <c r="I534" s="2">
        <f>VLOOKUP(A534,Table3[#All],9,FALSE)</f>
        <v>36</v>
      </c>
      <c r="J534" s="2">
        <f>VLOOKUP(A534,Table3[#All],10,FALSE)</f>
        <v>5</v>
      </c>
      <c r="K534" s="2">
        <f>VLOOKUP(A534,Table3[#All],11,FALSE)</f>
        <v>93</v>
      </c>
      <c r="L534" s="2" t="str">
        <f>VLOOKUP(A534,Table3[#All],12,FALSE)</f>
        <v>Mumbai</v>
      </c>
      <c r="M534" s="2" t="str">
        <f t="shared" si="8"/>
        <v>Not Eligible</v>
      </c>
    </row>
    <row r="535" spans="1:13" hidden="1" x14ac:dyDescent="0.25">
      <c r="A535" s="5" t="s">
        <v>730</v>
      </c>
      <c r="B535" s="2" t="str">
        <f>VLOOKUP(A535,Table3[#All],2,FALSE)</f>
        <v>Divya</v>
      </c>
      <c r="C535" s="2" t="str">
        <f>VLOOKUP(A535,Table3[#All],3,FALSE)</f>
        <v>Sales</v>
      </c>
      <c r="D535" s="2">
        <f>VLOOKUP(A535,Table3[#All],4,FALSE)</f>
        <v>28</v>
      </c>
      <c r="E535" s="2" t="str">
        <f>VLOOKUP(A535,Table3[#All],5,FALSE)</f>
        <v>Male</v>
      </c>
      <c r="F535" s="2">
        <f>VLOOKUP(A535,Table3[#All],6,FALSE)</f>
        <v>11</v>
      </c>
      <c r="G535" s="2">
        <f>VLOOKUP(A535,Table3[#All],7,FALSE)</f>
        <v>52868</v>
      </c>
      <c r="H535" s="2">
        <f>VLOOKUP(A535,Table3[#All],8,FALSE)</f>
        <v>4</v>
      </c>
      <c r="I535" s="2">
        <f>VLOOKUP(A535,Table3[#All],9,FALSE)</f>
        <v>48</v>
      </c>
      <c r="J535" s="2">
        <f>VLOOKUP(A535,Table3[#All],10,FALSE)</f>
        <v>1</v>
      </c>
      <c r="K535" s="2">
        <f>VLOOKUP(A535,Table3[#All],11,FALSE)</f>
        <v>88</v>
      </c>
      <c r="L535" s="2" t="str">
        <f>VLOOKUP(A535,Table3[#All],12,FALSE)</f>
        <v>Pune</v>
      </c>
      <c r="M535" s="2" t="str">
        <f t="shared" si="8"/>
        <v>Not Eligible</v>
      </c>
    </row>
    <row r="536" spans="1:13" hidden="1" x14ac:dyDescent="0.25">
      <c r="A536" s="5" t="s">
        <v>578</v>
      </c>
      <c r="B536" s="2" t="str">
        <f>VLOOKUP(A536,Table3[#All],2,FALSE)</f>
        <v>Deepa</v>
      </c>
      <c r="C536" s="2" t="str">
        <f>VLOOKUP(A536,Table3[#All],3,FALSE)</f>
        <v>Sales</v>
      </c>
      <c r="D536" s="2">
        <f>VLOOKUP(A536,Table3[#All],4,FALSE)</f>
        <v>30</v>
      </c>
      <c r="E536" s="2" t="str">
        <f>VLOOKUP(A536,Table3[#All],5,FALSE)</f>
        <v>Female</v>
      </c>
      <c r="F536" s="2">
        <f>VLOOKUP(A536,Table3[#All],6,FALSE)</f>
        <v>4</v>
      </c>
      <c r="G536" s="2">
        <f>VLOOKUP(A536,Table3[#All],7,FALSE)</f>
        <v>77846</v>
      </c>
      <c r="H536" s="2">
        <f>VLOOKUP(A536,Table3[#All],8,FALSE)</f>
        <v>11</v>
      </c>
      <c r="I536" s="2">
        <f>VLOOKUP(A536,Table3[#All],9,FALSE)</f>
        <v>46</v>
      </c>
      <c r="J536" s="2">
        <f>VLOOKUP(A536,Table3[#All],10,FALSE)</f>
        <v>3</v>
      </c>
      <c r="K536" s="2">
        <f>VLOOKUP(A536,Table3[#All],11,FALSE)</f>
        <v>92</v>
      </c>
      <c r="L536" s="2" t="str">
        <f>VLOOKUP(A536,Table3[#All],12,FALSE)</f>
        <v>Chennai</v>
      </c>
      <c r="M536" s="2" t="str">
        <f t="shared" si="8"/>
        <v>Not Eligible</v>
      </c>
    </row>
    <row r="537" spans="1:13" hidden="1" x14ac:dyDescent="0.25">
      <c r="A537" s="6" t="s">
        <v>563</v>
      </c>
      <c r="B537" s="2" t="str">
        <f>VLOOKUP(A537,Table3[#All],2,FALSE)</f>
        <v>Lakshmi</v>
      </c>
      <c r="C537" s="2" t="str">
        <f>VLOOKUP(A537,Table3[#All],3,FALSE)</f>
        <v>Finance</v>
      </c>
      <c r="D537" s="2">
        <f>VLOOKUP(A537,Table3[#All],4,FALSE)</f>
        <v>22</v>
      </c>
      <c r="E537" s="2" t="str">
        <f>VLOOKUP(A537,Table3[#All],5,FALSE)</f>
        <v>Female</v>
      </c>
      <c r="F537" s="2">
        <f>VLOOKUP(A537,Table3[#All],6,FALSE)</f>
        <v>13</v>
      </c>
      <c r="G537" s="2">
        <f>VLOOKUP(A537,Table3[#All],7,FALSE)</f>
        <v>53047</v>
      </c>
      <c r="H537" s="2">
        <f>VLOOKUP(A537,Table3[#All],8,FALSE)</f>
        <v>14</v>
      </c>
      <c r="I537" s="2">
        <f>VLOOKUP(A537,Table3[#All],9,FALSE)</f>
        <v>49</v>
      </c>
      <c r="J537" s="2">
        <f>VLOOKUP(A537,Table3[#All],10,FALSE)</f>
        <v>5</v>
      </c>
      <c r="K537" s="2">
        <f>VLOOKUP(A537,Table3[#All],11,FALSE)</f>
        <v>85</v>
      </c>
      <c r="L537" s="2" t="str">
        <f>VLOOKUP(A537,Table3[#All],12,FALSE)</f>
        <v>Mumbai</v>
      </c>
      <c r="M537" s="2" t="str">
        <f t="shared" si="8"/>
        <v>Not Eligible</v>
      </c>
    </row>
    <row r="538" spans="1:13" hidden="1" x14ac:dyDescent="0.25">
      <c r="A538" s="5" t="s">
        <v>580</v>
      </c>
      <c r="B538" s="2" t="str">
        <f>VLOOKUP(A538,Table3[#All],2,FALSE)</f>
        <v>Divya</v>
      </c>
      <c r="C538" s="2" t="str">
        <f>VLOOKUP(A538,Table3[#All],3,FALSE)</f>
        <v>Finance</v>
      </c>
      <c r="D538" s="2">
        <f>VLOOKUP(A538,Table3[#All],4,FALSE)</f>
        <v>30</v>
      </c>
      <c r="E538" s="2" t="str">
        <f>VLOOKUP(A538,Table3[#All],5,FALSE)</f>
        <v>Male</v>
      </c>
      <c r="F538" s="2">
        <f>VLOOKUP(A538,Table3[#All],6,FALSE)</f>
        <v>4</v>
      </c>
      <c r="G538" s="2">
        <f>VLOOKUP(A538,Table3[#All],7,FALSE)</f>
        <v>62805</v>
      </c>
      <c r="H538" s="2">
        <f>VLOOKUP(A538,Table3[#All],8,FALSE)</f>
        <v>15</v>
      </c>
      <c r="I538" s="2">
        <f>VLOOKUP(A538,Table3[#All],9,FALSE)</f>
        <v>47</v>
      </c>
      <c r="J538" s="2">
        <f>VLOOKUP(A538,Table3[#All],10,FALSE)</f>
        <v>2</v>
      </c>
      <c r="K538" s="2">
        <f>VLOOKUP(A538,Table3[#All],11,FALSE)</f>
        <v>93</v>
      </c>
      <c r="L538" s="2" t="str">
        <f>VLOOKUP(A538,Table3[#All],12,FALSE)</f>
        <v>Chennai</v>
      </c>
      <c r="M538" s="2" t="str">
        <f t="shared" si="8"/>
        <v>Not Eligible</v>
      </c>
    </row>
    <row r="539" spans="1:13" hidden="1" x14ac:dyDescent="0.25">
      <c r="A539" s="5" t="s">
        <v>552</v>
      </c>
      <c r="B539" s="2" t="str">
        <f>VLOOKUP(A539,Table3[#All],2,FALSE)</f>
        <v>Ramesh</v>
      </c>
      <c r="C539" s="2" t="str">
        <f>VLOOKUP(A539,Table3[#All],3,FALSE)</f>
        <v>HR</v>
      </c>
      <c r="D539" s="2">
        <f>VLOOKUP(A539,Table3[#All],4,FALSE)</f>
        <v>33</v>
      </c>
      <c r="E539" s="2" t="str">
        <f>VLOOKUP(A539,Table3[#All],5,FALSE)</f>
        <v>Female</v>
      </c>
      <c r="F539" s="2">
        <f>VLOOKUP(A539,Table3[#All],6,FALSE)</f>
        <v>5</v>
      </c>
      <c r="G539" s="2">
        <f>VLOOKUP(A539,Table3[#All],7,FALSE)</f>
        <v>53049</v>
      </c>
      <c r="H539" s="2">
        <f>VLOOKUP(A539,Table3[#All],8,FALSE)</f>
        <v>15</v>
      </c>
      <c r="I539" s="2">
        <f>VLOOKUP(A539,Table3[#All],9,FALSE)</f>
        <v>43</v>
      </c>
      <c r="J539" s="2">
        <f>VLOOKUP(A539,Table3[#All],10,FALSE)</f>
        <v>3</v>
      </c>
      <c r="K539" s="2">
        <f>VLOOKUP(A539,Table3[#All],11,FALSE)</f>
        <v>89</v>
      </c>
      <c r="L539" s="2" t="str">
        <f>VLOOKUP(A539,Table3[#All],12,FALSE)</f>
        <v>Bangalore</v>
      </c>
      <c r="M539" s="2" t="str">
        <f t="shared" si="8"/>
        <v>Not Eligible</v>
      </c>
    </row>
    <row r="540" spans="1:13" hidden="1" x14ac:dyDescent="0.25">
      <c r="A540" s="6" t="s">
        <v>371</v>
      </c>
      <c r="B540" s="2" t="str">
        <f>VLOOKUP(A540,Table3[#All],2,FALSE)</f>
        <v>Kavya</v>
      </c>
      <c r="C540" s="2" t="str">
        <f>VLOOKUP(A540,Table3[#All],3,FALSE)</f>
        <v>Finance</v>
      </c>
      <c r="D540" s="2">
        <f>VLOOKUP(A540,Table3[#All],4,FALSE)</f>
        <v>25</v>
      </c>
      <c r="E540" s="2" t="str">
        <f>VLOOKUP(A540,Table3[#All],5,FALSE)</f>
        <v>Male</v>
      </c>
      <c r="F540" s="2">
        <f>VLOOKUP(A540,Table3[#All],6,FALSE)</f>
        <v>10</v>
      </c>
      <c r="G540" s="2">
        <f>VLOOKUP(A540,Table3[#All],7,FALSE)</f>
        <v>53098</v>
      </c>
      <c r="H540" s="2">
        <f>VLOOKUP(A540,Table3[#All],8,FALSE)</f>
        <v>15</v>
      </c>
      <c r="I540" s="2">
        <f>VLOOKUP(A540,Table3[#All],9,FALSE)</f>
        <v>45</v>
      </c>
      <c r="J540" s="2">
        <f>VLOOKUP(A540,Table3[#All],10,FALSE)</f>
        <v>4</v>
      </c>
      <c r="K540" s="2">
        <f>VLOOKUP(A540,Table3[#All],11,FALSE)</f>
        <v>85</v>
      </c>
      <c r="L540" s="2" t="str">
        <f>VLOOKUP(A540,Table3[#All],12,FALSE)</f>
        <v>Pune</v>
      </c>
      <c r="M540" s="2" t="str">
        <f t="shared" si="8"/>
        <v>Not Eligible</v>
      </c>
    </row>
    <row r="541" spans="1:13" hidden="1" x14ac:dyDescent="0.25">
      <c r="A541" s="6" t="s">
        <v>653</v>
      </c>
      <c r="B541" s="2" t="str">
        <f>VLOOKUP(A541,Table3[#All],2,FALSE)</f>
        <v>Ramesh</v>
      </c>
      <c r="C541" s="2" t="str">
        <f>VLOOKUP(A541,Table3[#All],3,FALSE)</f>
        <v>Sales</v>
      </c>
      <c r="D541" s="2">
        <f>VLOOKUP(A541,Table3[#All],4,FALSE)</f>
        <v>32</v>
      </c>
      <c r="E541" s="2" t="str">
        <f>VLOOKUP(A541,Table3[#All],5,FALSE)</f>
        <v>Female</v>
      </c>
      <c r="F541" s="2">
        <f>VLOOKUP(A541,Table3[#All],6,FALSE)</f>
        <v>7</v>
      </c>
      <c r="G541" s="2">
        <f>VLOOKUP(A541,Table3[#All],7,FALSE)</f>
        <v>53244</v>
      </c>
      <c r="H541" s="2">
        <f>VLOOKUP(A541,Table3[#All],8,FALSE)</f>
        <v>9</v>
      </c>
      <c r="I541" s="2">
        <f>VLOOKUP(A541,Table3[#All],9,FALSE)</f>
        <v>37</v>
      </c>
      <c r="J541" s="2">
        <f>VLOOKUP(A541,Table3[#All],10,FALSE)</f>
        <v>3</v>
      </c>
      <c r="K541" s="2">
        <f>VLOOKUP(A541,Table3[#All],11,FALSE)</f>
        <v>88</v>
      </c>
      <c r="L541" s="2" t="str">
        <f>VLOOKUP(A541,Table3[#All],12,FALSE)</f>
        <v>Chennai</v>
      </c>
      <c r="M541" s="2" t="str">
        <f t="shared" si="8"/>
        <v>Not Eligible</v>
      </c>
    </row>
    <row r="542" spans="1:13" hidden="1" x14ac:dyDescent="0.25">
      <c r="A542" s="6" t="s">
        <v>673</v>
      </c>
      <c r="B542" s="2" t="str">
        <f>VLOOKUP(A542,Table3[#All],2,FALSE)</f>
        <v>Sneha</v>
      </c>
      <c r="C542" s="2" t="str">
        <f>VLOOKUP(A542,Table3[#All],3,FALSE)</f>
        <v>Sales</v>
      </c>
      <c r="D542" s="2">
        <f>VLOOKUP(A542,Table3[#All],4,FALSE)</f>
        <v>35</v>
      </c>
      <c r="E542" s="2" t="str">
        <f>VLOOKUP(A542,Table3[#All],5,FALSE)</f>
        <v>Male</v>
      </c>
      <c r="F542" s="2">
        <f>VLOOKUP(A542,Table3[#All],6,FALSE)</f>
        <v>11</v>
      </c>
      <c r="G542" s="2">
        <f>VLOOKUP(A542,Table3[#All],7,FALSE)</f>
        <v>53316</v>
      </c>
      <c r="H542" s="2">
        <f>VLOOKUP(A542,Table3[#All],8,FALSE)</f>
        <v>8</v>
      </c>
      <c r="I542" s="2">
        <f>VLOOKUP(A542,Table3[#All],9,FALSE)</f>
        <v>39</v>
      </c>
      <c r="J542" s="2">
        <f>VLOOKUP(A542,Table3[#All],10,FALSE)</f>
        <v>5</v>
      </c>
      <c r="K542" s="2">
        <f>VLOOKUP(A542,Table3[#All],11,FALSE)</f>
        <v>97</v>
      </c>
      <c r="L542" s="2" t="str">
        <f>VLOOKUP(A542,Table3[#All],12,FALSE)</f>
        <v>Mumbai</v>
      </c>
      <c r="M542" s="2" t="str">
        <f t="shared" si="8"/>
        <v>Eligible</v>
      </c>
    </row>
    <row r="543" spans="1:13" hidden="1" x14ac:dyDescent="0.25">
      <c r="A543" s="5" t="s">
        <v>712</v>
      </c>
      <c r="B543" s="2" t="str">
        <f>VLOOKUP(A543,Table3[#All],2,FALSE)</f>
        <v>Suresh</v>
      </c>
      <c r="C543" s="2" t="str">
        <f>VLOOKUP(A543,Table3[#All],3,FALSE)</f>
        <v>Sales</v>
      </c>
      <c r="D543" s="2">
        <f>VLOOKUP(A543,Table3[#All],4,FALSE)</f>
        <v>31</v>
      </c>
      <c r="E543" s="2" t="str">
        <f>VLOOKUP(A543,Table3[#All],5,FALSE)</f>
        <v>Male</v>
      </c>
      <c r="F543" s="2">
        <f>VLOOKUP(A543,Table3[#All],6,FALSE)</f>
        <v>13</v>
      </c>
      <c r="G543" s="2">
        <f>VLOOKUP(A543,Table3[#All],7,FALSE)</f>
        <v>53453</v>
      </c>
      <c r="H543" s="2">
        <f>VLOOKUP(A543,Table3[#All],8,FALSE)</f>
        <v>9</v>
      </c>
      <c r="I543" s="2">
        <f>VLOOKUP(A543,Table3[#All],9,FALSE)</f>
        <v>42</v>
      </c>
      <c r="J543" s="2">
        <f>VLOOKUP(A543,Table3[#All],10,FALSE)</f>
        <v>1</v>
      </c>
      <c r="K543" s="2">
        <f>VLOOKUP(A543,Table3[#All],11,FALSE)</f>
        <v>100</v>
      </c>
      <c r="L543" s="2" t="str">
        <f>VLOOKUP(A543,Table3[#All],12,FALSE)</f>
        <v>Mumbai</v>
      </c>
      <c r="M543" s="2" t="str">
        <f t="shared" si="8"/>
        <v>Eligible</v>
      </c>
    </row>
    <row r="544" spans="1:13" hidden="1" x14ac:dyDescent="0.25">
      <c r="A544" s="5" t="s">
        <v>586</v>
      </c>
      <c r="B544" s="2" t="str">
        <f>VLOOKUP(A544,Table3[#All],2,FALSE)</f>
        <v>Meena</v>
      </c>
      <c r="C544" s="2" t="str">
        <f>VLOOKUP(A544,Table3[#All],3,FALSE)</f>
        <v>HR</v>
      </c>
      <c r="D544" s="2">
        <f>VLOOKUP(A544,Table3[#All],4,FALSE)</f>
        <v>29</v>
      </c>
      <c r="E544" s="2" t="str">
        <f>VLOOKUP(A544,Table3[#All],5,FALSE)</f>
        <v>Female</v>
      </c>
      <c r="F544" s="2">
        <f>VLOOKUP(A544,Table3[#All],6,FALSE)</f>
        <v>2</v>
      </c>
      <c r="G544" s="2">
        <f>VLOOKUP(A544,Table3[#All],7,FALSE)</f>
        <v>77066</v>
      </c>
      <c r="H544" s="2">
        <f>VLOOKUP(A544,Table3[#All],8,FALSE)</f>
        <v>5</v>
      </c>
      <c r="I544" s="2">
        <f>VLOOKUP(A544,Table3[#All],9,FALSE)</f>
        <v>36</v>
      </c>
      <c r="J544" s="2">
        <f>VLOOKUP(A544,Table3[#All],10,FALSE)</f>
        <v>1</v>
      </c>
      <c r="K544" s="2">
        <f>VLOOKUP(A544,Table3[#All],11,FALSE)</f>
        <v>99</v>
      </c>
      <c r="L544" s="2" t="str">
        <f>VLOOKUP(A544,Table3[#All],12,FALSE)</f>
        <v>Delhi</v>
      </c>
      <c r="M544" s="2" t="str">
        <f t="shared" si="8"/>
        <v>Eligible</v>
      </c>
    </row>
    <row r="545" spans="1:13" hidden="1" x14ac:dyDescent="0.25">
      <c r="A545" s="5" t="s">
        <v>172</v>
      </c>
      <c r="B545" s="2" t="str">
        <f>VLOOKUP(A545,Table3[#All],2,FALSE)</f>
        <v>Hari</v>
      </c>
      <c r="C545" s="2" t="str">
        <f>VLOOKUP(A545,Table3[#All],3,FALSE)</f>
        <v>HR</v>
      </c>
      <c r="D545" s="2">
        <f>VLOOKUP(A545,Table3[#All],4,FALSE)</f>
        <v>22</v>
      </c>
      <c r="E545" s="2" t="str">
        <f>VLOOKUP(A545,Table3[#All],5,FALSE)</f>
        <v>Female</v>
      </c>
      <c r="F545" s="2">
        <f>VLOOKUP(A545,Table3[#All],6,FALSE)</f>
        <v>12</v>
      </c>
      <c r="G545" s="2">
        <f>VLOOKUP(A545,Table3[#All],7,FALSE)</f>
        <v>53454</v>
      </c>
      <c r="H545" s="2">
        <f>VLOOKUP(A545,Table3[#All],8,FALSE)</f>
        <v>8</v>
      </c>
      <c r="I545" s="2">
        <f>VLOOKUP(A545,Table3[#All],9,FALSE)</f>
        <v>35</v>
      </c>
      <c r="J545" s="2">
        <f>VLOOKUP(A545,Table3[#All],10,FALSE)</f>
        <v>3</v>
      </c>
      <c r="K545" s="2">
        <f>VLOOKUP(A545,Table3[#All],11,FALSE)</f>
        <v>85</v>
      </c>
      <c r="L545" s="2" t="str">
        <f>VLOOKUP(A545,Table3[#All],12,FALSE)</f>
        <v>Chennai</v>
      </c>
      <c r="M545" s="2" t="str">
        <f t="shared" si="8"/>
        <v>Not Eligible</v>
      </c>
    </row>
    <row r="546" spans="1:13" hidden="1" x14ac:dyDescent="0.25">
      <c r="A546" s="5" t="s">
        <v>588</v>
      </c>
      <c r="B546" s="2" t="str">
        <f>VLOOKUP(A546,Table3[#All],2,FALSE)</f>
        <v>Arun</v>
      </c>
      <c r="C546" s="2" t="str">
        <f>VLOOKUP(A546,Table3[#All],3,FALSE)</f>
        <v>IT</v>
      </c>
      <c r="D546" s="2">
        <f>VLOOKUP(A546,Table3[#All],4,FALSE)</f>
        <v>25</v>
      </c>
      <c r="E546" s="2" t="str">
        <f>VLOOKUP(A546,Table3[#All],5,FALSE)</f>
        <v>Male</v>
      </c>
      <c r="F546" s="2">
        <f>VLOOKUP(A546,Table3[#All],6,FALSE)</f>
        <v>2</v>
      </c>
      <c r="G546" s="2">
        <f>VLOOKUP(A546,Table3[#All],7,FALSE)</f>
        <v>66424</v>
      </c>
      <c r="H546" s="2">
        <f>VLOOKUP(A546,Table3[#All],8,FALSE)</f>
        <v>6</v>
      </c>
      <c r="I546" s="2">
        <f>VLOOKUP(A546,Table3[#All],9,FALSE)</f>
        <v>43</v>
      </c>
      <c r="J546" s="2">
        <f>VLOOKUP(A546,Table3[#All],10,FALSE)</f>
        <v>5</v>
      </c>
      <c r="K546" s="2">
        <f>VLOOKUP(A546,Table3[#All],11,FALSE)</f>
        <v>91</v>
      </c>
      <c r="L546" s="2" t="str">
        <f>VLOOKUP(A546,Table3[#All],12,FALSE)</f>
        <v>Pune</v>
      </c>
      <c r="M546" s="2" t="str">
        <f t="shared" si="8"/>
        <v>Not Eligible</v>
      </c>
    </row>
    <row r="547" spans="1:13" hidden="1" x14ac:dyDescent="0.25">
      <c r="A547" s="6" t="s">
        <v>589</v>
      </c>
      <c r="B547" s="2" t="str">
        <f>VLOOKUP(A547,Table3[#All],2,FALSE)</f>
        <v>Karthik</v>
      </c>
      <c r="C547" s="2" t="str">
        <f>VLOOKUP(A547,Table3[#All],3,FALSE)</f>
        <v>HR</v>
      </c>
      <c r="D547" s="2">
        <f>VLOOKUP(A547,Table3[#All],4,FALSE)</f>
        <v>25</v>
      </c>
      <c r="E547" s="2" t="str">
        <f>VLOOKUP(A547,Table3[#All],5,FALSE)</f>
        <v>Male</v>
      </c>
      <c r="F547" s="2">
        <f>VLOOKUP(A547,Table3[#All],6,FALSE)</f>
        <v>4</v>
      </c>
      <c r="G547" s="2">
        <f>VLOOKUP(A547,Table3[#All],7,FALSE)</f>
        <v>44139</v>
      </c>
      <c r="H547" s="2">
        <f>VLOOKUP(A547,Table3[#All],8,FALSE)</f>
        <v>14</v>
      </c>
      <c r="I547" s="2">
        <f>VLOOKUP(A547,Table3[#All],9,FALSE)</f>
        <v>50</v>
      </c>
      <c r="J547" s="2">
        <f>VLOOKUP(A547,Table3[#All],10,FALSE)</f>
        <v>5</v>
      </c>
      <c r="K547" s="2">
        <f>VLOOKUP(A547,Table3[#All],11,FALSE)</f>
        <v>89</v>
      </c>
      <c r="L547" s="2" t="str">
        <f>VLOOKUP(A547,Table3[#All],12,FALSE)</f>
        <v>Delhi</v>
      </c>
      <c r="M547" s="2" t="str">
        <f t="shared" si="8"/>
        <v>Not Eligible</v>
      </c>
    </row>
    <row r="548" spans="1:13" hidden="1" x14ac:dyDescent="0.25">
      <c r="A548" s="6" t="s">
        <v>99</v>
      </c>
      <c r="B548" s="2" t="str">
        <f>VLOOKUP(A548,Table3[#All],2,FALSE)</f>
        <v>Karthik</v>
      </c>
      <c r="C548" s="2" t="str">
        <f>VLOOKUP(A548,Table3[#All],3,FALSE)</f>
        <v>IT</v>
      </c>
      <c r="D548" s="2">
        <f>VLOOKUP(A548,Table3[#All],4,FALSE)</f>
        <v>23</v>
      </c>
      <c r="E548" s="2" t="str">
        <f>VLOOKUP(A548,Table3[#All],5,FALSE)</f>
        <v>Female</v>
      </c>
      <c r="F548" s="2">
        <f>VLOOKUP(A548,Table3[#All],6,FALSE)</f>
        <v>5</v>
      </c>
      <c r="G548" s="2">
        <f>VLOOKUP(A548,Table3[#All],7,FALSE)</f>
        <v>53855</v>
      </c>
      <c r="H548" s="2">
        <f>VLOOKUP(A548,Table3[#All],8,FALSE)</f>
        <v>10</v>
      </c>
      <c r="I548" s="2">
        <f>VLOOKUP(A548,Table3[#All],9,FALSE)</f>
        <v>37</v>
      </c>
      <c r="J548" s="2">
        <f>VLOOKUP(A548,Table3[#All],10,FALSE)</f>
        <v>1</v>
      </c>
      <c r="K548" s="2">
        <f>VLOOKUP(A548,Table3[#All],11,FALSE)</f>
        <v>88</v>
      </c>
      <c r="L548" s="2" t="str">
        <f>VLOOKUP(A548,Table3[#All],12,FALSE)</f>
        <v>Delhi</v>
      </c>
      <c r="M548" s="2" t="str">
        <f t="shared" si="8"/>
        <v>Not Eligible</v>
      </c>
    </row>
    <row r="549" spans="1:13" hidden="1" x14ac:dyDescent="0.25">
      <c r="A549" s="6" t="s">
        <v>431</v>
      </c>
      <c r="B549" s="2" t="str">
        <f>VLOOKUP(A549,Table3[#All],2,FALSE)</f>
        <v>Meena</v>
      </c>
      <c r="C549" s="2" t="str">
        <f>VLOOKUP(A549,Table3[#All],3,FALSE)</f>
        <v>Sales</v>
      </c>
      <c r="D549" s="2">
        <f>VLOOKUP(A549,Table3[#All],4,FALSE)</f>
        <v>33</v>
      </c>
      <c r="E549" s="2" t="str">
        <f>VLOOKUP(A549,Table3[#All],5,FALSE)</f>
        <v>Male</v>
      </c>
      <c r="F549" s="2">
        <f>VLOOKUP(A549,Table3[#All],6,FALSE)</f>
        <v>5</v>
      </c>
      <c r="G549" s="2">
        <f>VLOOKUP(A549,Table3[#All],7,FALSE)</f>
        <v>53985</v>
      </c>
      <c r="H549" s="2">
        <f>VLOOKUP(A549,Table3[#All],8,FALSE)</f>
        <v>15</v>
      </c>
      <c r="I549" s="2">
        <f>VLOOKUP(A549,Table3[#All],9,FALSE)</f>
        <v>48</v>
      </c>
      <c r="J549" s="2">
        <f>VLOOKUP(A549,Table3[#All],10,FALSE)</f>
        <v>2</v>
      </c>
      <c r="K549" s="2">
        <f>VLOOKUP(A549,Table3[#All],11,FALSE)</f>
        <v>85</v>
      </c>
      <c r="L549" s="2" t="str">
        <f>VLOOKUP(A549,Table3[#All],12,FALSE)</f>
        <v>Delhi</v>
      </c>
      <c r="M549" s="2" t="str">
        <f t="shared" si="8"/>
        <v>Not Eligible</v>
      </c>
    </row>
    <row r="550" spans="1:13" hidden="1" x14ac:dyDescent="0.25">
      <c r="A550" s="6" t="s">
        <v>459</v>
      </c>
      <c r="B550" s="2" t="str">
        <f>VLOOKUP(A550,Table3[#All],2,FALSE)</f>
        <v>Priya</v>
      </c>
      <c r="C550" s="2" t="str">
        <f>VLOOKUP(A550,Table3[#All],3,FALSE)</f>
        <v>Sales</v>
      </c>
      <c r="D550" s="2">
        <f>VLOOKUP(A550,Table3[#All],4,FALSE)</f>
        <v>23</v>
      </c>
      <c r="E550" s="2" t="str">
        <f>VLOOKUP(A550,Table3[#All],5,FALSE)</f>
        <v>Male</v>
      </c>
      <c r="F550" s="2">
        <f>VLOOKUP(A550,Table3[#All],6,FALSE)</f>
        <v>12</v>
      </c>
      <c r="G550" s="2">
        <f>VLOOKUP(A550,Table3[#All],7,FALSE)</f>
        <v>54057</v>
      </c>
      <c r="H550" s="2">
        <f>VLOOKUP(A550,Table3[#All],8,FALSE)</f>
        <v>10</v>
      </c>
      <c r="I550" s="2">
        <f>VLOOKUP(A550,Table3[#All],9,FALSE)</f>
        <v>47</v>
      </c>
      <c r="J550" s="2">
        <f>VLOOKUP(A550,Table3[#All],10,FALSE)</f>
        <v>2</v>
      </c>
      <c r="K550" s="2">
        <f>VLOOKUP(A550,Table3[#All],11,FALSE)</f>
        <v>85</v>
      </c>
      <c r="L550" s="2" t="str">
        <f>VLOOKUP(A550,Table3[#All],12,FALSE)</f>
        <v>Bangalore</v>
      </c>
      <c r="M550" s="2" t="str">
        <f t="shared" si="8"/>
        <v>Not Eligible</v>
      </c>
    </row>
    <row r="551" spans="1:13" hidden="1" x14ac:dyDescent="0.25">
      <c r="A551" s="5" t="s">
        <v>1018</v>
      </c>
      <c r="B551" s="2" t="str">
        <f>VLOOKUP(A551,Table3[#All],2,FALSE)</f>
        <v>Sneha</v>
      </c>
      <c r="C551" s="2" t="str">
        <f>VLOOKUP(A551,Table3[#All],3,FALSE)</f>
        <v>Finance</v>
      </c>
      <c r="D551" s="2">
        <f>VLOOKUP(A551,Table3[#All],4,FALSE)</f>
        <v>34</v>
      </c>
      <c r="E551" s="2" t="str">
        <f>VLOOKUP(A551,Table3[#All],5,FALSE)</f>
        <v>Female</v>
      </c>
      <c r="F551" s="2">
        <f>VLOOKUP(A551,Table3[#All],6,FALSE)</f>
        <v>10</v>
      </c>
      <c r="G551" s="2">
        <f>VLOOKUP(A551,Table3[#All],7,FALSE)</f>
        <v>54085</v>
      </c>
      <c r="H551" s="2">
        <f>VLOOKUP(A551,Table3[#All],8,FALSE)</f>
        <v>14</v>
      </c>
      <c r="I551" s="2">
        <f>VLOOKUP(A551,Table3[#All],9,FALSE)</f>
        <v>40</v>
      </c>
      <c r="J551" s="2">
        <f>VLOOKUP(A551,Table3[#All],10,FALSE)</f>
        <v>2</v>
      </c>
      <c r="K551" s="2">
        <f>VLOOKUP(A551,Table3[#All],11,FALSE)</f>
        <v>86</v>
      </c>
      <c r="L551" s="2" t="str">
        <f>VLOOKUP(A551,Table3[#All],12,FALSE)</f>
        <v>Chennai</v>
      </c>
      <c r="M551" s="2" t="str">
        <f t="shared" si="8"/>
        <v>Not Eligible</v>
      </c>
    </row>
    <row r="552" spans="1:13" hidden="1" x14ac:dyDescent="0.25">
      <c r="A552" s="6" t="s">
        <v>24</v>
      </c>
      <c r="B552" s="2" t="str">
        <f>VLOOKUP(A552,Table3[#All],2,FALSE)</f>
        <v>Manoj</v>
      </c>
      <c r="C552" s="2" t="str">
        <f>VLOOKUP(A552,Table3[#All],3,FALSE)</f>
        <v>Finance</v>
      </c>
      <c r="D552" s="2">
        <f>VLOOKUP(A552,Table3[#All],4,FALSE)</f>
        <v>33</v>
      </c>
      <c r="E552" s="2" t="str">
        <f>VLOOKUP(A552,Table3[#All],5,FALSE)</f>
        <v>Male</v>
      </c>
      <c r="F552" s="2">
        <f>VLOOKUP(A552,Table3[#All],6,FALSE)</f>
        <v>8</v>
      </c>
      <c r="G552" s="2">
        <f>VLOOKUP(A552,Table3[#All],7,FALSE)</f>
        <v>54136</v>
      </c>
      <c r="H552" s="2">
        <f>VLOOKUP(A552,Table3[#All],8,FALSE)</f>
        <v>5</v>
      </c>
      <c r="I552" s="2">
        <f>VLOOKUP(A552,Table3[#All],9,FALSE)</f>
        <v>46</v>
      </c>
      <c r="J552" s="2">
        <f>VLOOKUP(A552,Table3[#All],10,FALSE)</f>
        <v>1</v>
      </c>
      <c r="K552" s="2">
        <f>VLOOKUP(A552,Table3[#All],11,FALSE)</f>
        <v>85</v>
      </c>
      <c r="L552" s="2" t="str">
        <f>VLOOKUP(A552,Table3[#All],12,FALSE)</f>
        <v>Hyderabad</v>
      </c>
      <c r="M552" s="2" t="str">
        <f t="shared" si="8"/>
        <v>Not Eligible</v>
      </c>
    </row>
    <row r="553" spans="1:13" hidden="1" x14ac:dyDescent="0.25">
      <c r="A553" s="6" t="s">
        <v>595</v>
      </c>
      <c r="B553" s="2" t="str">
        <f>VLOOKUP(A553,Table3[#All],2,FALSE)</f>
        <v>Hari</v>
      </c>
      <c r="C553" s="2" t="str">
        <f>VLOOKUP(A553,Table3[#All],3,FALSE)</f>
        <v>Finance</v>
      </c>
      <c r="D553" s="2">
        <f>VLOOKUP(A553,Table3[#All],4,FALSE)</f>
        <v>38</v>
      </c>
      <c r="E553" s="2" t="str">
        <f>VLOOKUP(A553,Table3[#All],5,FALSE)</f>
        <v>Male</v>
      </c>
      <c r="F553" s="2">
        <f>VLOOKUP(A553,Table3[#All],6,FALSE)</f>
        <v>1</v>
      </c>
      <c r="G553" s="2">
        <f>VLOOKUP(A553,Table3[#All],7,FALSE)</f>
        <v>31910</v>
      </c>
      <c r="H553" s="2">
        <f>VLOOKUP(A553,Table3[#All],8,FALSE)</f>
        <v>12</v>
      </c>
      <c r="I553" s="2">
        <f>VLOOKUP(A553,Table3[#All],9,FALSE)</f>
        <v>41</v>
      </c>
      <c r="J553" s="2">
        <f>VLOOKUP(A553,Table3[#All],10,FALSE)</f>
        <v>1</v>
      </c>
      <c r="K553" s="2">
        <f>VLOOKUP(A553,Table3[#All],11,FALSE)</f>
        <v>98</v>
      </c>
      <c r="L553" s="2" t="str">
        <f>VLOOKUP(A553,Table3[#All],12,FALSE)</f>
        <v>Delhi</v>
      </c>
      <c r="M553" s="2" t="str">
        <f t="shared" si="8"/>
        <v>Eligible</v>
      </c>
    </row>
    <row r="554" spans="1:13" hidden="1" x14ac:dyDescent="0.25">
      <c r="A554" s="6" t="s">
        <v>249</v>
      </c>
      <c r="B554" s="2" t="str">
        <f>VLOOKUP(A554,Table3[#All],2,FALSE)</f>
        <v>Manoj</v>
      </c>
      <c r="C554" s="2" t="str">
        <f>VLOOKUP(A554,Table3[#All],3,FALSE)</f>
        <v>Finance</v>
      </c>
      <c r="D554" s="2">
        <f>VLOOKUP(A554,Table3[#All],4,FALSE)</f>
        <v>37</v>
      </c>
      <c r="E554" s="2" t="str">
        <f>VLOOKUP(A554,Table3[#All],5,FALSE)</f>
        <v>Male</v>
      </c>
      <c r="F554" s="2">
        <f>VLOOKUP(A554,Table3[#All],6,FALSE)</f>
        <v>8</v>
      </c>
      <c r="G554" s="2">
        <f>VLOOKUP(A554,Table3[#All],7,FALSE)</f>
        <v>54449</v>
      </c>
      <c r="H554" s="2">
        <f>VLOOKUP(A554,Table3[#All],8,FALSE)</f>
        <v>8</v>
      </c>
      <c r="I554" s="2">
        <f>VLOOKUP(A554,Table3[#All],9,FALSE)</f>
        <v>38</v>
      </c>
      <c r="J554" s="2">
        <f>VLOOKUP(A554,Table3[#All],10,FALSE)</f>
        <v>2</v>
      </c>
      <c r="K554" s="2">
        <f>VLOOKUP(A554,Table3[#All],11,FALSE)</f>
        <v>89</v>
      </c>
      <c r="L554" s="2" t="str">
        <f>VLOOKUP(A554,Table3[#All],12,FALSE)</f>
        <v>Delhi</v>
      </c>
      <c r="M554" s="2" t="str">
        <f t="shared" si="8"/>
        <v>Not Eligible</v>
      </c>
    </row>
    <row r="555" spans="1:13" hidden="1" x14ac:dyDescent="0.25">
      <c r="A555" s="6" t="s">
        <v>597</v>
      </c>
      <c r="B555" s="2" t="str">
        <f>VLOOKUP(A555,Table3[#All],2,FALSE)</f>
        <v>Hari</v>
      </c>
      <c r="C555" s="2" t="str">
        <f>VLOOKUP(A555,Table3[#All],3,FALSE)</f>
        <v>IT</v>
      </c>
      <c r="D555" s="2">
        <f>VLOOKUP(A555,Table3[#All],4,FALSE)</f>
        <v>30</v>
      </c>
      <c r="E555" s="2" t="str">
        <f>VLOOKUP(A555,Table3[#All],5,FALSE)</f>
        <v>Female</v>
      </c>
      <c r="F555" s="2">
        <f>VLOOKUP(A555,Table3[#All],6,FALSE)</f>
        <v>3</v>
      </c>
      <c r="G555" s="2">
        <f>VLOOKUP(A555,Table3[#All],7,FALSE)</f>
        <v>58426</v>
      </c>
      <c r="H555" s="2">
        <f>VLOOKUP(A555,Table3[#All],8,FALSE)</f>
        <v>6</v>
      </c>
      <c r="I555" s="2">
        <f>VLOOKUP(A555,Table3[#All],9,FALSE)</f>
        <v>35</v>
      </c>
      <c r="J555" s="2">
        <f>VLOOKUP(A555,Table3[#All],10,FALSE)</f>
        <v>1</v>
      </c>
      <c r="K555" s="2">
        <f>VLOOKUP(A555,Table3[#All],11,FALSE)</f>
        <v>85</v>
      </c>
      <c r="L555" s="2" t="str">
        <f>VLOOKUP(A555,Table3[#All],12,FALSE)</f>
        <v>Bangalore</v>
      </c>
      <c r="M555" s="2" t="str">
        <f t="shared" si="8"/>
        <v>Not Eligible</v>
      </c>
    </row>
    <row r="556" spans="1:13" hidden="1" x14ac:dyDescent="0.25">
      <c r="A556" s="5" t="s">
        <v>268</v>
      </c>
      <c r="B556" s="2" t="str">
        <f>VLOOKUP(A556,Table3[#All],2,FALSE)</f>
        <v>Ajay</v>
      </c>
      <c r="C556" s="2" t="str">
        <f>VLOOKUP(A556,Table3[#All],3,FALSE)</f>
        <v>Sales</v>
      </c>
      <c r="D556" s="2">
        <f>VLOOKUP(A556,Table3[#All],4,FALSE)</f>
        <v>39</v>
      </c>
      <c r="E556" s="2" t="str">
        <f>VLOOKUP(A556,Table3[#All],5,FALSE)</f>
        <v>Male</v>
      </c>
      <c r="F556" s="2">
        <f>VLOOKUP(A556,Table3[#All],6,FALSE)</f>
        <v>9</v>
      </c>
      <c r="G556" s="2">
        <f>VLOOKUP(A556,Table3[#All],7,FALSE)</f>
        <v>54495</v>
      </c>
      <c r="H556" s="2">
        <f>VLOOKUP(A556,Table3[#All],8,FALSE)</f>
        <v>12</v>
      </c>
      <c r="I556" s="2">
        <f>VLOOKUP(A556,Table3[#All],9,FALSE)</f>
        <v>49</v>
      </c>
      <c r="J556" s="2">
        <f>VLOOKUP(A556,Table3[#All],10,FALSE)</f>
        <v>3</v>
      </c>
      <c r="K556" s="2">
        <f>VLOOKUP(A556,Table3[#All],11,FALSE)</f>
        <v>90</v>
      </c>
      <c r="L556" s="2" t="str">
        <f>VLOOKUP(A556,Table3[#All],12,FALSE)</f>
        <v>Mumbai</v>
      </c>
      <c r="M556" s="2" t="str">
        <f t="shared" si="8"/>
        <v>Not Eligible</v>
      </c>
    </row>
    <row r="557" spans="1:13" hidden="1" x14ac:dyDescent="0.25">
      <c r="A557" s="6" t="s">
        <v>367</v>
      </c>
      <c r="B557" s="2" t="str">
        <f>VLOOKUP(A557,Table3[#All],2,FALSE)</f>
        <v>Manoj</v>
      </c>
      <c r="C557" s="2" t="str">
        <f>VLOOKUP(A557,Table3[#All],3,FALSE)</f>
        <v>HR</v>
      </c>
      <c r="D557" s="2">
        <f>VLOOKUP(A557,Table3[#All],4,FALSE)</f>
        <v>37</v>
      </c>
      <c r="E557" s="2" t="str">
        <f>VLOOKUP(A557,Table3[#All],5,FALSE)</f>
        <v>Male</v>
      </c>
      <c r="F557" s="2">
        <f>VLOOKUP(A557,Table3[#All],6,FALSE)</f>
        <v>10</v>
      </c>
      <c r="G557" s="2">
        <f>VLOOKUP(A557,Table3[#All],7,FALSE)</f>
        <v>54611</v>
      </c>
      <c r="H557" s="2">
        <f>VLOOKUP(A557,Table3[#All],8,FALSE)</f>
        <v>7</v>
      </c>
      <c r="I557" s="2">
        <f>VLOOKUP(A557,Table3[#All],9,FALSE)</f>
        <v>39</v>
      </c>
      <c r="J557" s="2">
        <f>VLOOKUP(A557,Table3[#All],10,FALSE)</f>
        <v>5</v>
      </c>
      <c r="K557" s="2">
        <f>VLOOKUP(A557,Table3[#All],11,FALSE)</f>
        <v>95</v>
      </c>
      <c r="L557" s="2" t="str">
        <f>VLOOKUP(A557,Table3[#All],12,FALSE)</f>
        <v>Hyderabad</v>
      </c>
      <c r="M557" s="2" t="str">
        <f t="shared" si="8"/>
        <v>Eligible</v>
      </c>
    </row>
    <row r="558" spans="1:13" hidden="1" x14ac:dyDescent="0.25">
      <c r="A558" s="5" t="s">
        <v>226</v>
      </c>
      <c r="B558" s="2" t="str">
        <f>VLOOKUP(A558,Table3[#All],2,FALSE)</f>
        <v>Kavya</v>
      </c>
      <c r="C558" s="2" t="str">
        <f>VLOOKUP(A558,Table3[#All],3,FALSE)</f>
        <v>HR</v>
      </c>
      <c r="D558" s="2">
        <f>VLOOKUP(A558,Table3[#All],4,FALSE)</f>
        <v>38</v>
      </c>
      <c r="E558" s="2" t="str">
        <f>VLOOKUP(A558,Table3[#All],5,FALSE)</f>
        <v>Female</v>
      </c>
      <c r="F558" s="2">
        <f>VLOOKUP(A558,Table3[#All],6,FALSE)</f>
        <v>7</v>
      </c>
      <c r="G558" s="2">
        <f>VLOOKUP(A558,Table3[#All],7,FALSE)</f>
        <v>54630</v>
      </c>
      <c r="H558" s="2">
        <f>VLOOKUP(A558,Table3[#All],8,FALSE)</f>
        <v>15</v>
      </c>
      <c r="I558" s="2">
        <f>VLOOKUP(A558,Table3[#All],9,FALSE)</f>
        <v>48</v>
      </c>
      <c r="J558" s="2">
        <f>VLOOKUP(A558,Table3[#All],10,FALSE)</f>
        <v>4</v>
      </c>
      <c r="K558" s="2">
        <f>VLOOKUP(A558,Table3[#All],11,FALSE)</f>
        <v>85</v>
      </c>
      <c r="L558" s="2" t="str">
        <f>VLOOKUP(A558,Table3[#All],12,FALSE)</f>
        <v>Bangalore</v>
      </c>
      <c r="M558" s="2" t="str">
        <f t="shared" si="8"/>
        <v>Not Eligible</v>
      </c>
    </row>
    <row r="559" spans="1:13" hidden="1" x14ac:dyDescent="0.25">
      <c r="A559" s="5" t="s">
        <v>182</v>
      </c>
      <c r="B559" s="2" t="str">
        <f>VLOOKUP(A559,Table3[#All],2,FALSE)</f>
        <v>Sneha</v>
      </c>
      <c r="C559" s="2" t="str">
        <f>VLOOKUP(A559,Table3[#All],3,FALSE)</f>
        <v>Sales</v>
      </c>
      <c r="D559" s="2">
        <f>VLOOKUP(A559,Table3[#All],4,FALSE)</f>
        <v>27</v>
      </c>
      <c r="E559" s="2" t="str">
        <f>VLOOKUP(A559,Table3[#All],5,FALSE)</f>
        <v>Female</v>
      </c>
      <c r="F559" s="2">
        <f>VLOOKUP(A559,Table3[#All],6,FALSE)</f>
        <v>6</v>
      </c>
      <c r="G559" s="2">
        <f>VLOOKUP(A559,Table3[#All],7,FALSE)</f>
        <v>54654</v>
      </c>
      <c r="H559" s="2">
        <f>VLOOKUP(A559,Table3[#All],8,FALSE)</f>
        <v>9</v>
      </c>
      <c r="I559" s="2">
        <f>VLOOKUP(A559,Table3[#All],9,FALSE)</f>
        <v>40</v>
      </c>
      <c r="J559" s="2">
        <f>VLOOKUP(A559,Table3[#All],10,FALSE)</f>
        <v>2</v>
      </c>
      <c r="K559" s="2">
        <f>VLOOKUP(A559,Table3[#All],11,FALSE)</f>
        <v>98</v>
      </c>
      <c r="L559" s="2" t="str">
        <f>VLOOKUP(A559,Table3[#All],12,FALSE)</f>
        <v>Bangalore</v>
      </c>
      <c r="M559" s="2" t="str">
        <f t="shared" si="8"/>
        <v>Eligible</v>
      </c>
    </row>
    <row r="560" spans="1:13" hidden="1" x14ac:dyDescent="0.25">
      <c r="A560" s="5" t="s">
        <v>1008</v>
      </c>
      <c r="B560" s="2" t="str">
        <f>VLOOKUP(A560,Table3[#All],2,FALSE)</f>
        <v>Arun</v>
      </c>
      <c r="C560" s="2" t="str">
        <f>VLOOKUP(A560,Table3[#All],3,FALSE)</f>
        <v>IT</v>
      </c>
      <c r="D560" s="2">
        <f>VLOOKUP(A560,Table3[#All],4,FALSE)</f>
        <v>38</v>
      </c>
      <c r="E560" s="2" t="str">
        <f>VLOOKUP(A560,Table3[#All],5,FALSE)</f>
        <v>Male</v>
      </c>
      <c r="F560" s="2">
        <f>VLOOKUP(A560,Table3[#All],6,FALSE)</f>
        <v>6</v>
      </c>
      <c r="G560" s="2">
        <f>VLOOKUP(A560,Table3[#All],7,FALSE)</f>
        <v>54672</v>
      </c>
      <c r="H560" s="2">
        <f>VLOOKUP(A560,Table3[#All],8,FALSE)</f>
        <v>7</v>
      </c>
      <c r="I560" s="2">
        <f>VLOOKUP(A560,Table3[#All],9,FALSE)</f>
        <v>46</v>
      </c>
      <c r="J560" s="2">
        <f>VLOOKUP(A560,Table3[#All],10,FALSE)</f>
        <v>1</v>
      </c>
      <c r="K560" s="2">
        <f>VLOOKUP(A560,Table3[#All],11,FALSE)</f>
        <v>87</v>
      </c>
      <c r="L560" s="2" t="str">
        <f>VLOOKUP(A560,Table3[#All],12,FALSE)</f>
        <v>Chennai</v>
      </c>
      <c r="M560" s="2" t="str">
        <f t="shared" si="8"/>
        <v>Not Eligible</v>
      </c>
    </row>
    <row r="561" spans="1:13" hidden="1" x14ac:dyDescent="0.25">
      <c r="A561" s="6" t="s">
        <v>521</v>
      </c>
      <c r="B561" s="2" t="str">
        <f>VLOOKUP(A561,Table3[#All],2,FALSE)</f>
        <v>Ravi</v>
      </c>
      <c r="C561" s="2" t="str">
        <f>VLOOKUP(A561,Table3[#All],3,FALSE)</f>
        <v>IT</v>
      </c>
      <c r="D561" s="2">
        <f>VLOOKUP(A561,Table3[#All],4,FALSE)</f>
        <v>30</v>
      </c>
      <c r="E561" s="2" t="str">
        <f>VLOOKUP(A561,Table3[#All],5,FALSE)</f>
        <v>Male</v>
      </c>
      <c r="F561" s="2">
        <f>VLOOKUP(A561,Table3[#All],6,FALSE)</f>
        <v>8</v>
      </c>
      <c r="G561" s="2">
        <f>VLOOKUP(A561,Table3[#All],7,FALSE)</f>
        <v>54721</v>
      </c>
      <c r="H561" s="2">
        <f>VLOOKUP(A561,Table3[#All],8,FALSE)</f>
        <v>5</v>
      </c>
      <c r="I561" s="2">
        <f>VLOOKUP(A561,Table3[#All],9,FALSE)</f>
        <v>35</v>
      </c>
      <c r="J561" s="2">
        <f>VLOOKUP(A561,Table3[#All],10,FALSE)</f>
        <v>1</v>
      </c>
      <c r="K561" s="2">
        <f>VLOOKUP(A561,Table3[#All],11,FALSE)</f>
        <v>89</v>
      </c>
      <c r="L561" s="2" t="str">
        <f>VLOOKUP(A561,Table3[#All],12,FALSE)</f>
        <v>Pune</v>
      </c>
      <c r="M561" s="2" t="str">
        <f t="shared" si="8"/>
        <v>Not Eligible</v>
      </c>
    </row>
    <row r="562" spans="1:13" hidden="1" x14ac:dyDescent="0.25">
      <c r="A562" s="5" t="s">
        <v>1034</v>
      </c>
      <c r="B562" s="2" t="str">
        <f>VLOOKUP(A562,Table3[#All],2,FALSE)</f>
        <v>Manoj</v>
      </c>
      <c r="C562" s="2" t="str">
        <f>VLOOKUP(A562,Table3[#All],3,FALSE)</f>
        <v>IT</v>
      </c>
      <c r="D562" s="2">
        <f>VLOOKUP(A562,Table3[#All],4,FALSE)</f>
        <v>25</v>
      </c>
      <c r="E562" s="2" t="str">
        <f>VLOOKUP(A562,Table3[#All],5,FALSE)</f>
        <v>Male</v>
      </c>
      <c r="F562" s="2">
        <f>VLOOKUP(A562,Table3[#All],6,FALSE)</f>
        <v>8</v>
      </c>
      <c r="G562" s="2">
        <f>VLOOKUP(A562,Table3[#All],7,FALSE)</f>
        <v>54822</v>
      </c>
      <c r="H562" s="2">
        <f>VLOOKUP(A562,Table3[#All],8,FALSE)</f>
        <v>5</v>
      </c>
      <c r="I562" s="2">
        <f>VLOOKUP(A562,Table3[#All],9,FALSE)</f>
        <v>40</v>
      </c>
      <c r="J562" s="2">
        <f>VLOOKUP(A562,Table3[#All],10,FALSE)</f>
        <v>2</v>
      </c>
      <c r="K562" s="2">
        <f>VLOOKUP(A562,Table3[#All],11,FALSE)</f>
        <v>92</v>
      </c>
      <c r="L562" s="2" t="str">
        <f>VLOOKUP(A562,Table3[#All],12,FALSE)</f>
        <v>Chennai</v>
      </c>
      <c r="M562" s="2" t="str">
        <f t="shared" si="8"/>
        <v>Not Eligible</v>
      </c>
    </row>
    <row r="563" spans="1:13" hidden="1" x14ac:dyDescent="0.25">
      <c r="A563" s="6" t="s">
        <v>889</v>
      </c>
      <c r="B563" s="2" t="str">
        <f>VLOOKUP(A563,Table3[#All],2,FALSE)</f>
        <v>Lakshmi</v>
      </c>
      <c r="C563" s="2" t="str">
        <f>VLOOKUP(A563,Table3[#All],3,FALSE)</f>
        <v>Sales</v>
      </c>
      <c r="D563" s="2">
        <f>VLOOKUP(A563,Table3[#All],4,FALSE)</f>
        <v>28</v>
      </c>
      <c r="E563" s="2" t="str">
        <f>VLOOKUP(A563,Table3[#All],5,FALSE)</f>
        <v>Female</v>
      </c>
      <c r="F563" s="2">
        <f>VLOOKUP(A563,Table3[#All],6,FALSE)</f>
        <v>5</v>
      </c>
      <c r="G563" s="2">
        <f>VLOOKUP(A563,Table3[#All],7,FALSE)</f>
        <v>54843</v>
      </c>
      <c r="H563" s="2">
        <f>VLOOKUP(A563,Table3[#All],8,FALSE)</f>
        <v>8</v>
      </c>
      <c r="I563" s="2">
        <f>VLOOKUP(A563,Table3[#All],9,FALSE)</f>
        <v>44</v>
      </c>
      <c r="J563" s="2">
        <f>VLOOKUP(A563,Table3[#All],10,FALSE)</f>
        <v>1</v>
      </c>
      <c r="K563" s="2">
        <f>VLOOKUP(A563,Table3[#All],11,FALSE)</f>
        <v>100</v>
      </c>
      <c r="L563" s="2" t="str">
        <f>VLOOKUP(A563,Table3[#All],12,FALSE)</f>
        <v>Chennai</v>
      </c>
      <c r="M563" s="2" t="str">
        <f t="shared" si="8"/>
        <v>Eligible</v>
      </c>
    </row>
    <row r="564" spans="1:13" hidden="1" x14ac:dyDescent="0.25">
      <c r="A564" s="6" t="s">
        <v>599</v>
      </c>
      <c r="B564" s="2" t="str">
        <f>VLOOKUP(A564,Table3[#All],2,FALSE)</f>
        <v>Sneha</v>
      </c>
      <c r="C564" s="2" t="str">
        <f>VLOOKUP(A564,Table3[#All],3,FALSE)</f>
        <v>IT</v>
      </c>
      <c r="D564" s="2">
        <f>VLOOKUP(A564,Table3[#All],4,FALSE)</f>
        <v>23</v>
      </c>
      <c r="E564" s="2" t="str">
        <f>VLOOKUP(A564,Table3[#All],5,FALSE)</f>
        <v>Female</v>
      </c>
      <c r="F564" s="2">
        <f>VLOOKUP(A564,Table3[#All],6,FALSE)</f>
        <v>7</v>
      </c>
      <c r="G564" s="2">
        <f>VLOOKUP(A564,Table3[#All],7,FALSE)</f>
        <v>54945</v>
      </c>
      <c r="H564" s="2">
        <f>VLOOKUP(A564,Table3[#All],8,FALSE)</f>
        <v>3</v>
      </c>
      <c r="I564" s="2">
        <f>VLOOKUP(A564,Table3[#All],9,FALSE)</f>
        <v>40</v>
      </c>
      <c r="J564" s="2">
        <f>VLOOKUP(A564,Table3[#All],10,FALSE)</f>
        <v>4</v>
      </c>
      <c r="K564" s="2">
        <f>VLOOKUP(A564,Table3[#All],11,FALSE)</f>
        <v>90</v>
      </c>
      <c r="L564" s="2" t="str">
        <f>VLOOKUP(A564,Table3[#All],12,FALSE)</f>
        <v>Mumbai</v>
      </c>
      <c r="M564" s="2" t="str">
        <f t="shared" si="8"/>
        <v>Not Eligible</v>
      </c>
    </row>
    <row r="565" spans="1:13" x14ac:dyDescent="0.25">
      <c r="A565" s="6" t="s">
        <v>189</v>
      </c>
      <c r="B565" s="2" t="str">
        <f>VLOOKUP(A565,Table3[#All],2,FALSE)</f>
        <v>Suresh</v>
      </c>
      <c r="C565" s="2" t="str">
        <f>VLOOKUP(A565,Table3[#All],3,FALSE)</f>
        <v>Finance</v>
      </c>
      <c r="D565" s="2">
        <f>VLOOKUP(A565,Table3[#All],4,FALSE)</f>
        <v>40</v>
      </c>
      <c r="E565" s="2" t="str">
        <f>VLOOKUP(A565,Table3[#All],5,FALSE)</f>
        <v>Female</v>
      </c>
      <c r="F565" s="2">
        <f>VLOOKUP(A565,Table3[#All],6,FALSE)</f>
        <v>10</v>
      </c>
      <c r="G565" s="2">
        <f>VLOOKUP(A565,Table3[#All],7,FALSE)</f>
        <v>55023</v>
      </c>
      <c r="H565" s="2">
        <f>VLOOKUP(A565,Table3[#All],8,FALSE)</f>
        <v>14</v>
      </c>
      <c r="I565" s="2">
        <f>VLOOKUP(A565,Table3[#All],9,FALSE)</f>
        <v>48</v>
      </c>
      <c r="J565" s="2">
        <f>VLOOKUP(A565,Table3[#All],10,FALSE)</f>
        <v>5</v>
      </c>
      <c r="K565" s="2">
        <f>VLOOKUP(A565,Table3[#All],11,FALSE)</f>
        <v>95</v>
      </c>
      <c r="L565" s="2" t="str">
        <f>VLOOKUP(A565,Table3[#All],12,FALSE)</f>
        <v>Bangalore</v>
      </c>
      <c r="M565" s="2" t="str">
        <f t="shared" si="8"/>
        <v>Eligible</v>
      </c>
    </row>
    <row r="566" spans="1:13" hidden="1" x14ac:dyDescent="0.25">
      <c r="A566" s="5" t="s">
        <v>608</v>
      </c>
      <c r="B566" s="2" t="str">
        <f>VLOOKUP(A566,Table3[#All],2,FALSE)</f>
        <v>Divya</v>
      </c>
      <c r="C566" s="2" t="str">
        <f>VLOOKUP(A566,Table3[#All],3,FALSE)</f>
        <v>IT</v>
      </c>
      <c r="D566" s="2">
        <f>VLOOKUP(A566,Table3[#All],4,FALSE)</f>
        <v>38</v>
      </c>
      <c r="E566" s="2" t="str">
        <f>VLOOKUP(A566,Table3[#All],5,FALSE)</f>
        <v>Male</v>
      </c>
      <c r="F566" s="2">
        <f>VLOOKUP(A566,Table3[#All],6,FALSE)</f>
        <v>3</v>
      </c>
      <c r="G566" s="2">
        <f>VLOOKUP(A566,Table3[#All],7,FALSE)</f>
        <v>51572</v>
      </c>
      <c r="H566" s="2">
        <f>VLOOKUP(A566,Table3[#All],8,FALSE)</f>
        <v>6</v>
      </c>
      <c r="I566" s="2">
        <f>VLOOKUP(A566,Table3[#All],9,FALSE)</f>
        <v>37</v>
      </c>
      <c r="J566" s="2">
        <f>VLOOKUP(A566,Table3[#All],10,FALSE)</f>
        <v>4</v>
      </c>
      <c r="K566" s="2">
        <f>VLOOKUP(A566,Table3[#All],11,FALSE)</f>
        <v>99</v>
      </c>
      <c r="L566" s="2" t="str">
        <f>VLOOKUP(A566,Table3[#All],12,FALSE)</f>
        <v>Chennai</v>
      </c>
      <c r="M566" s="2" t="str">
        <f t="shared" si="8"/>
        <v>Eligible</v>
      </c>
    </row>
    <row r="567" spans="1:13" hidden="1" x14ac:dyDescent="0.25">
      <c r="A567" s="5" t="s">
        <v>154</v>
      </c>
      <c r="B567" s="2" t="str">
        <f>VLOOKUP(A567,Table3[#All],2,FALSE)</f>
        <v>Lakshmi</v>
      </c>
      <c r="C567" s="2" t="str">
        <f>VLOOKUP(A567,Table3[#All],3,FALSE)</f>
        <v>HR</v>
      </c>
      <c r="D567" s="2">
        <f>VLOOKUP(A567,Table3[#All],4,FALSE)</f>
        <v>32</v>
      </c>
      <c r="E567" s="2" t="str">
        <f>VLOOKUP(A567,Table3[#All],5,FALSE)</f>
        <v>Male</v>
      </c>
      <c r="F567" s="2">
        <f>VLOOKUP(A567,Table3[#All],6,FALSE)</f>
        <v>10</v>
      </c>
      <c r="G567" s="2">
        <f>VLOOKUP(A567,Table3[#All],7,FALSE)</f>
        <v>55119</v>
      </c>
      <c r="H567" s="2">
        <f>VLOOKUP(A567,Table3[#All],8,FALSE)</f>
        <v>6</v>
      </c>
      <c r="I567" s="2">
        <f>VLOOKUP(A567,Table3[#All],9,FALSE)</f>
        <v>45</v>
      </c>
      <c r="J567" s="2">
        <f>VLOOKUP(A567,Table3[#All],10,FALSE)</f>
        <v>3</v>
      </c>
      <c r="K567" s="2">
        <f>VLOOKUP(A567,Table3[#All],11,FALSE)</f>
        <v>99</v>
      </c>
      <c r="L567" s="2" t="str">
        <f>VLOOKUP(A567,Table3[#All],12,FALSE)</f>
        <v>Chennai</v>
      </c>
      <c r="M567" s="2" t="str">
        <f t="shared" si="8"/>
        <v>Eligible</v>
      </c>
    </row>
    <row r="568" spans="1:13" hidden="1" x14ac:dyDescent="0.25">
      <c r="A568" s="5" t="s">
        <v>364</v>
      </c>
      <c r="B568" s="2" t="str">
        <f>VLOOKUP(A568,Table3[#All],2,FALSE)</f>
        <v>Ravi</v>
      </c>
      <c r="C568" s="2" t="str">
        <f>VLOOKUP(A568,Table3[#All],3,FALSE)</f>
        <v>Finance</v>
      </c>
      <c r="D568" s="2">
        <f>VLOOKUP(A568,Table3[#All],4,FALSE)</f>
        <v>24</v>
      </c>
      <c r="E568" s="2" t="str">
        <f>VLOOKUP(A568,Table3[#All],5,FALSE)</f>
        <v>Male</v>
      </c>
      <c r="F568" s="2">
        <f>VLOOKUP(A568,Table3[#All],6,FALSE)</f>
        <v>7</v>
      </c>
      <c r="G568" s="2">
        <f>VLOOKUP(A568,Table3[#All],7,FALSE)</f>
        <v>55142</v>
      </c>
      <c r="H568" s="2">
        <f>VLOOKUP(A568,Table3[#All],8,FALSE)</f>
        <v>9</v>
      </c>
      <c r="I568" s="2">
        <f>VLOOKUP(A568,Table3[#All],9,FALSE)</f>
        <v>35</v>
      </c>
      <c r="J568" s="2">
        <f>VLOOKUP(A568,Table3[#All],10,FALSE)</f>
        <v>2</v>
      </c>
      <c r="K568" s="2">
        <f>VLOOKUP(A568,Table3[#All],11,FALSE)</f>
        <v>97</v>
      </c>
      <c r="L568" s="2" t="str">
        <f>VLOOKUP(A568,Table3[#All],12,FALSE)</f>
        <v>Delhi</v>
      </c>
      <c r="M568" s="2" t="str">
        <f t="shared" si="8"/>
        <v>Eligible</v>
      </c>
    </row>
    <row r="569" spans="1:13" hidden="1" x14ac:dyDescent="0.25">
      <c r="A569" s="6" t="s">
        <v>445</v>
      </c>
      <c r="B569" s="2" t="str">
        <f>VLOOKUP(A569,Table3[#All],2,FALSE)</f>
        <v>Rekha</v>
      </c>
      <c r="C569" s="2" t="str">
        <f>VLOOKUP(A569,Table3[#All],3,FALSE)</f>
        <v>Finance</v>
      </c>
      <c r="D569" s="2">
        <f>VLOOKUP(A569,Table3[#All],4,FALSE)</f>
        <v>27</v>
      </c>
      <c r="E569" s="2" t="str">
        <f>VLOOKUP(A569,Table3[#All],5,FALSE)</f>
        <v>Female</v>
      </c>
      <c r="F569" s="2">
        <f>VLOOKUP(A569,Table3[#All],6,FALSE)</f>
        <v>9</v>
      </c>
      <c r="G569" s="2">
        <f>VLOOKUP(A569,Table3[#All],7,FALSE)</f>
        <v>55207</v>
      </c>
      <c r="H569" s="2">
        <f>VLOOKUP(A569,Table3[#All],8,FALSE)</f>
        <v>3</v>
      </c>
      <c r="I569" s="2">
        <f>VLOOKUP(A569,Table3[#All],9,FALSE)</f>
        <v>47</v>
      </c>
      <c r="J569" s="2">
        <f>VLOOKUP(A569,Table3[#All],10,FALSE)</f>
        <v>2</v>
      </c>
      <c r="K569" s="2">
        <f>VLOOKUP(A569,Table3[#All],11,FALSE)</f>
        <v>99</v>
      </c>
      <c r="L569" s="2" t="str">
        <f>VLOOKUP(A569,Table3[#All],12,FALSE)</f>
        <v>Bangalore</v>
      </c>
      <c r="M569" s="2" t="str">
        <f t="shared" si="8"/>
        <v>Eligible</v>
      </c>
    </row>
    <row r="570" spans="1:13" hidden="1" x14ac:dyDescent="0.25">
      <c r="A570" s="5" t="s">
        <v>612</v>
      </c>
      <c r="B570" s="2" t="str">
        <f>VLOOKUP(A570,Table3[#All],2,FALSE)</f>
        <v>Priya</v>
      </c>
      <c r="C570" s="2" t="str">
        <f>VLOOKUP(A570,Table3[#All],3,FALSE)</f>
        <v>Finance</v>
      </c>
      <c r="D570" s="2">
        <f>VLOOKUP(A570,Table3[#All],4,FALSE)</f>
        <v>31</v>
      </c>
      <c r="E570" s="2" t="str">
        <f>VLOOKUP(A570,Table3[#All],5,FALSE)</f>
        <v>Male</v>
      </c>
      <c r="F570" s="2">
        <f>VLOOKUP(A570,Table3[#All],6,FALSE)</f>
        <v>4</v>
      </c>
      <c r="G570" s="2">
        <f>VLOOKUP(A570,Table3[#All],7,FALSE)</f>
        <v>43779</v>
      </c>
      <c r="H570" s="2">
        <f>VLOOKUP(A570,Table3[#All],8,FALSE)</f>
        <v>15</v>
      </c>
      <c r="I570" s="2">
        <f>VLOOKUP(A570,Table3[#All],9,FALSE)</f>
        <v>38</v>
      </c>
      <c r="J570" s="2">
        <f>VLOOKUP(A570,Table3[#All],10,FALSE)</f>
        <v>1</v>
      </c>
      <c r="K570" s="2">
        <f>VLOOKUP(A570,Table3[#All],11,FALSE)</f>
        <v>90</v>
      </c>
      <c r="L570" s="2" t="str">
        <f>VLOOKUP(A570,Table3[#All],12,FALSE)</f>
        <v>Chennai</v>
      </c>
      <c r="M570" s="2" t="str">
        <f t="shared" si="8"/>
        <v>Not Eligible</v>
      </c>
    </row>
    <row r="571" spans="1:13" hidden="1" x14ac:dyDescent="0.25">
      <c r="A571" s="6" t="s">
        <v>613</v>
      </c>
      <c r="B571" s="2" t="str">
        <f>VLOOKUP(A571,Table3[#All],2,FALSE)</f>
        <v>Manoj</v>
      </c>
      <c r="C571" s="2" t="str">
        <f>VLOOKUP(A571,Table3[#All],3,FALSE)</f>
        <v>Sales</v>
      </c>
      <c r="D571" s="2">
        <f>VLOOKUP(A571,Table3[#All],4,FALSE)</f>
        <v>29</v>
      </c>
      <c r="E571" s="2" t="str">
        <f>VLOOKUP(A571,Table3[#All],5,FALSE)</f>
        <v>Male</v>
      </c>
      <c r="F571" s="2">
        <f>VLOOKUP(A571,Table3[#All],6,FALSE)</f>
        <v>1</v>
      </c>
      <c r="G571" s="2">
        <f>VLOOKUP(A571,Table3[#All],7,FALSE)</f>
        <v>41921</v>
      </c>
      <c r="H571" s="2">
        <f>VLOOKUP(A571,Table3[#All],8,FALSE)</f>
        <v>9</v>
      </c>
      <c r="I571" s="2">
        <f>VLOOKUP(A571,Table3[#All],9,FALSE)</f>
        <v>35</v>
      </c>
      <c r="J571" s="2">
        <f>VLOOKUP(A571,Table3[#All],10,FALSE)</f>
        <v>5</v>
      </c>
      <c r="K571" s="2">
        <f>VLOOKUP(A571,Table3[#All],11,FALSE)</f>
        <v>92</v>
      </c>
      <c r="L571" s="2" t="str">
        <f>VLOOKUP(A571,Table3[#All],12,FALSE)</f>
        <v>Bangalore</v>
      </c>
      <c r="M571" s="2" t="str">
        <f t="shared" si="8"/>
        <v>Not Eligible</v>
      </c>
    </row>
    <row r="572" spans="1:13" x14ac:dyDescent="0.25">
      <c r="A572" s="5" t="s">
        <v>210</v>
      </c>
      <c r="B572" s="2" t="str">
        <f>VLOOKUP(A572,Table3[#All],2,FALSE)</f>
        <v>Rekha</v>
      </c>
      <c r="C572" s="2" t="str">
        <f>VLOOKUP(A572,Table3[#All],3,FALSE)</f>
        <v>IT</v>
      </c>
      <c r="D572" s="2">
        <f>VLOOKUP(A572,Table3[#All],4,FALSE)</f>
        <v>35</v>
      </c>
      <c r="E572" s="2" t="str">
        <f>VLOOKUP(A572,Table3[#All],5,FALSE)</f>
        <v>Female</v>
      </c>
      <c r="F572" s="2">
        <f>VLOOKUP(A572,Table3[#All],6,FALSE)</f>
        <v>12</v>
      </c>
      <c r="G572" s="2">
        <f>VLOOKUP(A572,Table3[#All],7,FALSE)</f>
        <v>55273</v>
      </c>
      <c r="H572" s="2">
        <f>VLOOKUP(A572,Table3[#All],8,FALSE)</f>
        <v>14</v>
      </c>
      <c r="I572" s="2">
        <f>VLOOKUP(A572,Table3[#All],9,FALSE)</f>
        <v>41</v>
      </c>
      <c r="J572" s="2">
        <f>VLOOKUP(A572,Table3[#All],10,FALSE)</f>
        <v>1</v>
      </c>
      <c r="K572" s="2">
        <f>VLOOKUP(A572,Table3[#All],11,FALSE)</f>
        <v>98</v>
      </c>
      <c r="L572" s="2" t="str">
        <f>VLOOKUP(A572,Table3[#All],12,FALSE)</f>
        <v>Hyderabad</v>
      </c>
      <c r="M572" s="2" t="str">
        <f t="shared" si="8"/>
        <v>Eligible</v>
      </c>
    </row>
    <row r="573" spans="1:13" hidden="1" x14ac:dyDescent="0.25">
      <c r="A573" s="6" t="s">
        <v>615</v>
      </c>
      <c r="B573" s="2" t="str">
        <f>VLOOKUP(A573,Table3[#All],2,FALSE)</f>
        <v>Ramesh</v>
      </c>
      <c r="C573" s="2" t="str">
        <f>VLOOKUP(A573,Table3[#All],3,FALSE)</f>
        <v>IT</v>
      </c>
      <c r="D573" s="2">
        <f>VLOOKUP(A573,Table3[#All],4,FALSE)</f>
        <v>38</v>
      </c>
      <c r="E573" s="2" t="str">
        <f>VLOOKUP(A573,Table3[#All],5,FALSE)</f>
        <v>Female</v>
      </c>
      <c r="F573" s="2">
        <f>VLOOKUP(A573,Table3[#All],6,FALSE)</f>
        <v>3</v>
      </c>
      <c r="G573" s="2">
        <f>VLOOKUP(A573,Table3[#All],7,FALSE)</f>
        <v>34896</v>
      </c>
      <c r="H573" s="2">
        <f>VLOOKUP(A573,Table3[#All],8,FALSE)</f>
        <v>5</v>
      </c>
      <c r="I573" s="2">
        <f>VLOOKUP(A573,Table3[#All],9,FALSE)</f>
        <v>36</v>
      </c>
      <c r="J573" s="2">
        <f>VLOOKUP(A573,Table3[#All],10,FALSE)</f>
        <v>1</v>
      </c>
      <c r="K573" s="2">
        <f>VLOOKUP(A573,Table3[#All],11,FALSE)</f>
        <v>100</v>
      </c>
      <c r="L573" s="2" t="str">
        <f>VLOOKUP(A573,Table3[#All],12,FALSE)</f>
        <v>Chennai</v>
      </c>
      <c r="M573" s="2" t="str">
        <f t="shared" si="8"/>
        <v>Eligible</v>
      </c>
    </row>
    <row r="574" spans="1:13" hidden="1" x14ac:dyDescent="0.25">
      <c r="A574" s="6" t="s">
        <v>311</v>
      </c>
      <c r="B574" s="2" t="str">
        <f>VLOOKUP(A574,Table3[#All],2,FALSE)</f>
        <v>Sneha</v>
      </c>
      <c r="C574" s="2" t="str">
        <f>VLOOKUP(A574,Table3[#All],3,FALSE)</f>
        <v>HR</v>
      </c>
      <c r="D574" s="2">
        <f>VLOOKUP(A574,Table3[#All],4,FALSE)</f>
        <v>37</v>
      </c>
      <c r="E574" s="2" t="str">
        <f>VLOOKUP(A574,Table3[#All],5,FALSE)</f>
        <v>Male</v>
      </c>
      <c r="F574" s="2">
        <f>VLOOKUP(A574,Table3[#All],6,FALSE)</f>
        <v>12</v>
      </c>
      <c r="G574" s="2">
        <f>VLOOKUP(A574,Table3[#All],7,FALSE)</f>
        <v>55287</v>
      </c>
      <c r="H574" s="2">
        <f>VLOOKUP(A574,Table3[#All],8,FALSE)</f>
        <v>5</v>
      </c>
      <c r="I574" s="2">
        <f>VLOOKUP(A574,Table3[#All],9,FALSE)</f>
        <v>49</v>
      </c>
      <c r="J574" s="2">
        <f>VLOOKUP(A574,Table3[#All],10,FALSE)</f>
        <v>5</v>
      </c>
      <c r="K574" s="2">
        <f>VLOOKUP(A574,Table3[#All],11,FALSE)</f>
        <v>85</v>
      </c>
      <c r="L574" s="2" t="str">
        <f>VLOOKUP(A574,Table3[#All],12,FALSE)</f>
        <v>Chennai</v>
      </c>
      <c r="M574" s="2" t="str">
        <f t="shared" si="8"/>
        <v>Not Eligible</v>
      </c>
    </row>
    <row r="575" spans="1:13" hidden="1" x14ac:dyDescent="0.25">
      <c r="A575" s="5" t="s">
        <v>342</v>
      </c>
      <c r="B575" s="2" t="str">
        <f>VLOOKUP(A575,Table3[#All],2,FALSE)</f>
        <v>Rekha</v>
      </c>
      <c r="C575" s="2" t="str">
        <f>VLOOKUP(A575,Table3[#All],3,FALSE)</f>
        <v>HR</v>
      </c>
      <c r="D575" s="2">
        <f>VLOOKUP(A575,Table3[#All],4,FALSE)</f>
        <v>37</v>
      </c>
      <c r="E575" s="2" t="str">
        <f>VLOOKUP(A575,Table3[#All],5,FALSE)</f>
        <v>Male</v>
      </c>
      <c r="F575" s="2">
        <f>VLOOKUP(A575,Table3[#All],6,FALSE)</f>
        <v>12</v>
      </c>
      <c r="G575" s="2">
        <f>VLOOKUP(A575,Table3[#All],7,FALSE)</f>
        <v>55382</v>
      </c>
      <c r="H575" s="2">
        <f>VLOOKUP(A575,Table3[#All],8,FALSE)</f>
        <v>4</v>
      </c>
      <c r="I575" s="2">
        <f>VLOOKUP(A575,Table3[#All],9,FALSE)</f>
        <v>35</v>
      </c>
      <c r="J575" s="2">
        <f>VLOOKUP(A575,Table3[#All],10,FALSE)</f>
        <v>2</v>
      </c>
      <c r="K575" s="2">
        <f>VLOOKUP(A575,Table3[#All],11,FALSE)</f>
        <v>91</v>
      </c>
      <c r="L575" s="2" t="str">
        <f>VLOOKUP(A575,Table3[#All],12,FALSE)</f>
        <v>Delhi</v>
      </c>
      <c r="M575" s="2" t="str">
        <f t="shared" si="8"/>
        <v>Not Eligible</v>
      </c>
    </row>
    <row r="576" spans="1:13" hidden="1" x14ac:dyDescent="0.25">
      <c r="A576" s="5" t="s">
        <v>618</v>
      </c>
      <c r="B576" s="2" t="str">
        <f>VLOOKUP(A576,Table3[#All],2,FALSE)</f>
        <v>Deepa</v>
      </c>
      <c r="C576" s="2" t="str">
        <f>VLOOKUP(A576,Table3[#All],3,FALSE)</f>
        <v>Finance</v>
      </c>
      <c r="D576" s="2">
        <f>VLOOKUP(A576,Table3[#All],4,FALSE)</f>
        <v>26</v>
      </c>
      <c r="E576" s="2" t="str">
        <f>VLOOKUP(A576,Table3[#All],5,FALSE)</f>
        <v>Female</v>
      </c>
      <c r="F576" s="2">
        <f>VLOOKUP(A576,Table3[#All],6,FALSE)</f>
        <v>3</v>
      </c>
      <c r="G576" s="2">
        <f>VLOOKUP(A576,Table3[#All],7,FALSE)</f>
        <v>58756</v>
      </c>
      <c r="H576" s="2">
        <f>VLOOKUP(A576,Table3[#All],8,FALSE)</f>
        <v>3</v>
      </c>
      <c r="I576" s="2">
        <f>VLOOKUP(A576,Table3[#All],9,FALSE)</f>
        <v>50</v>
      </c>
      <c r="J576" s="2">
        <f>VLOOKUP(A576,Table3[#All],10,FALSE)</f>
        <v>1</v>
      </c>
      <c r="K576" s="2">
        <f>VLOOKUP(A576,Table3[#All],11,FALSE)</f>
        <v>93</v>
      </c>
      <c r="L576" s="2" t="str">
        <f>VLOOKUP(A576,Table3[#All],12,FALSE)</f>
        <v>Bangalore</v>
      </c>
      <c r="M576" s="2" t="str">
        <f t="shared" si="8"/>
        <v>Not Eligible</v>
      </c>
    </row>
    <row r="577" spans="1:13" hidden="1" x14ac:dyDescent="0.25">
      <c r="A577" s="6" t="s">
        <v>617</v>
      </c>
      <c r="B577" s="2" t="str">
        <f>VLOOKUP(A577,Table3[#All],2,FALSE)</f>
        <v>Ramesh</v>
      </c>
      <c r="C577" s="2" t="str">
        <f>VLOOKUP(A577,Table3[#All],3,FALSE)</f>
        <v>HR</v>
      </c>
      <c r="D577" s="2">
        <f>VLOOKUP(A577,Table3[#All],4,FALSE)</f>
        <v>31</v>
      </c>
      <c r="E577" s="2" t="str">
        <f>VLOOKUP(A577,Table3[#All],5,FALSE)</f>
        <v>Male</v>
      </c>
      <c r="F577" s="2">
        <f>VLOOKUP(A577,Table3[#All],6,FALSE)</f>
        <v>7</v>
      </c>
      <c r="G577" s="2">
        <f>VLOOKUP(A577,Table3[#All],7,FALSE)</f>
        <v>55410</v>
      </c>
      <c r="H577" s="2">
        <f>VLOOKUP(A577,Table3[#All],8,FALSE)</f>
        <v>3</v>
      </c>
      <c r="I577" s="2">
        <f>VLOOKUP(A577,Table3[#All],9,FALSE)</f>
        <v>37</v>
      </c>
      <c r="J577" s="2">
        <f>VLOOKUP(A577,Table3[#All],10,FALSE)</f>
        <v>1</v>
      </c>
      <c r="K577" s="2">
        <f>VLOOKUP(A577,Table3[#All],11,FALSE)</f>
        <v>98</v>
      </c>
      <c r="L577" s="2" t="str">
        <f>VLOOKUP(A577,Table3[#All],12,FALSE)</f>
        <v>Hyderabad</v>
      </c>
      <c r="M577" s="2" t="str">
        <f t="shared" si="8"/>
        <v>Eligible</v>
      </c>
    </row>
    <row r="578" spans="1:13" x14ac:dyDescent="0.25">
      <c r="A578" s="5" t="s">
        <v>234</v>
      </c>
      <c r="B578" s="2" t="str">
        <f>VLOOKUP(A578,Table3[#All],2,FALSE)</f>
        <v>Deepa</v>
      </c>
      <c r="C578" s="2" t="str">
        <f>VLOOKUP(A578,Table3[#All],3,FALSE)</f>
        <v>Finance</v>
      </c>
      <c r="D578" s="2">
        <f>VLOOKUP(A578,Table3[#All],4,FALSE)</f>
        <v>23</v>
      </c>
      <c r="E578" s="2" t="str">
        <f>VLOOKUP(A578,Table3[#All],5,FALSE)</f>
        <v>Male</v>
      </c>
      <c r="F578" s="2">
        <f>VLOOKUP(A578,Table3[#All],6,FALSE)</f>
        <v>7</v>
      </c>
      <c r="G578" s="2">
        <f>VLOOKUP(A578,Table3[#All],7,FALSE)</f>
        <v>55413</v>
      </c>
      <c r="H578" s="2">
        <f>VLOOKUP(A578,Table3[#All],8,FALSE)</f>
        <v>12</v>
      </c>
      <c r="I578" s="2">
        <f>VLOOKUP(A578,Table3[#All],9,FALSE)</f>
        <v>40</v>
      </c>
      <c r="J578" s="2">
        <f>VLOOKUP(A578,Table3[#All],10,FALSE)</f>
        <v>5</v>
      </c>
      <c r="K578" s="2">
        <f>VLOOKUP(A578,Table3[#All],11,FALSE)</f>
        <v>100</v>
      </c>
      <c r="L578" s="2" t="str">
        <f>VLOOKUP(A578,Table3[#All],12,FALSE)</f>
        <v>Delhi</v>
      </c>
      <c r="M578" s="2" t="str">
        <f t="shared" ref="M578:M641" si="9">IF(K578&gt;=95,"Eligible","Not Eligible")</f>
        <v>Eligible</v>
      </c>
    </row>
    <row r="579" spans="1:13" hidden="1" x14ac:dyDescent="0.25">
      <c r="A579" s="6" t="s">
        <v>621</v>
      </c>
      <c r="B579" s="2" t="str">
        <f>VLOOKUP(A579,Table3[#All],2,FALSE)</f>
        <v>Anitha</v>
      </c>
      <c r="C579" s="2" t="str">
        <f>VLOOKUP(A579,Table3[#All],3,FALSE)</f>
        <v>HR</v>
      </c>
      <c r="D579" s="2">
        <f>VLOOKUP(A579,Table3[#All],4,FALSE)</f>
        <v>40</v>
      </c>
      <c r="E579" s="2" t="str">
        <f>VLOOKUP(A579,Table3[#All],5,FALSE)</f>
        <v>Female</v>
      </c>
      <c r="F579" s="2">
        <f>VLOOKUP(A579,Table3[#All],6,FALSE)</f>
        <v>3</v>
      </c>
      <c r="G579" s="2">
        <f>VLOOKUP(A579,Table3[#All],7,FALSE)</f>
        <v>46506</v>
      </c>
      <c r="H579" s="2">
        <f>VLOOKUP(A579,Table3[#All],8,FALSE)</f>
        <v>6</v>
      </c>
      <c r="I579" s="2">
        <f>VLOOKUP(A579,Table3[#All],9,FALSE)</f>
        <v>38</v>
      </c>
      <c r="J579" s="2">
        <f>VLOOKUP(A579,Table3[#All],10,FALSE)</f>
        <v>1</v>
      </c>
      <c r="K579" s="2">
        <f>VLOOKUP(A579,Table3[#All],11,FALSE)</f>
        <v>100</v>
      </c>
      <c r="L579" s="2" t="str">
        <f>VLOOKUP(A579,Table3[#All],12,FALSE)</f>
        <v>Bangalore</v>
      </c>
      <c r="M579" s="2" t="str">
        <f t="shared" si="9"/>
        <v>Eligible</v>
      </c>
    </row>
    <row r="580" spans="1:13" hidden="1" x14ac:dyDescent="0.25">
      <c r="A580" s="6" t="s">
        <v>90</v>
      </c>
      <c r="B580" s="2" t="str">
        <f>VLOOKUP(A580,Table3[#All],2,FALSE)</f>
        <v>Ajay</v>
      </c>
      <c r="C580" s="2" t="str">
        <f>VLOOKUP(A580,Table3[#All],3,FALSE)</f>
        <v>IT</v>
      </c>
      <c r="D580" s="2">
        <f>VLOOKUP(A580,Table3[#All],4,FALSE)</f>
        <v>38</v>
      </c>
      <c r="E580" s="2" t="str">
        <f>VLOOKUP(A580,Table3[#All],5,FALSE)</f>
        <v>Female</v>
      </c>
      <c r="F580" s="2">
        <f>VLOOKUP(A580,Table3[#All],6,FALSE)</f>
        <v>13</v>
      </c>
      <c r="G580" s="2">
        <f>VLOOKUP(A580,Table3[#All],7,FALSE)</f>
        <v>55439</v>
      </c>
      <c r="H580" s="2">
        <f>VLOOKUP(A580,Table3[#All],8,FALSE)</f>
        <v>6</v>
      </c>
      <c r="I580" s="2">
        <f>VLOOKUP(A580,Table3[#All],9,FALSE)</f>
        <v>44</v>
      </c>
      <c r="J580" s="2">
        <f>VLOOKUP(A580,Table3[#All],10,FALSE)</f>
        <v>5</v>
      </c>
      <c r="K580" s="2">
        <f>VLOOKUP(A580,Table3[#All],11,FALSE)</f>
        <v>98</v>
      </c>
      <c r="L580" s="2" t="str">
        <f>VLOOKUP(A580,Table3[#All],12,FALSE)</f>
        <v>Hyderabad</v>
      </c>
      <c r="M580" s="2" t="str">
        <f t="shared" si="9"/>
        <v>Eligible</v>
      </c>
    </row>
    <row r="581" spans="1:13" hidden="1" x14ac:dyDescent="0.25">
      <c r="A581" s="6" t="s">
        <v>735</v>
      </c>
      <c r="B581" s="2" t="str">
        <f>VLOOKUP(A581,Table3[#All],2,FALSE)</f>
        <v>Rekha</v>
      </c>
      <c r="C581" s="2" t="str">
        <f>VLOOKUP(A581,Table3[#All],3,FALSE)</f>
        <v>Finance</v>
      </c>
      <c r="D581" s="2">
        <f>VLOOKUP(A581,Table3[#All],4,FALSE)</f>
        <v>38</v>
      </c>
      <c r="E581" s="2" t="str">
        <f>VLOOKUP(A581,Table3[#All],5,FALSE)</f>
        <v>Female</v>
      </c>
      <c r="F581" s="2">
        <f>VLOOKUP(A581,Table3[#All],6,FALSE)</f>
        <v>9</v>
      </c>
      <c r="G581" s="2">
        <f>VLOOKUP(A581,Table3[#All],7,FALSE)</f>
        <v>55487</v>
      </c>
      <c r="H581" s="2">
        <f>VLOOKUP(A581,Table3[#All],8,FALSE)</f>
        <v>8</v>
      </c>
      <c r="I581" s="2">
        <f>VLOOKUP(A581,Table3[#All],9,FALSE)</f>
        <v>42</v>
      </c>
      <c r="J581" s="2">
        <f>VLOOKUP(A581,Table3[#All],10,FALSE)</f>
        <v>3</v>
      </c>
      <c r="K581" s="2">
        <f>VLOOKUP(A581,Table3[#All],11,FALSE)</f>
        <v>96</v>
      </c>
      <c r="L581" s="2" t="str">
        <f>VLOOKUP(A581,Table3[#All],12,FALSE)</f>
        <v>Mumbai</v>
      </c>
      <c r="M581" s="2" t="str">
        <f t="shared" si="9"/>
        <v>Eligible</v>
      </c>
    </row>
    <row r="582" spans="1:13" hidden="1" x14ac:dyDescent="0.25">
      <c r="A582" s="5" t="s">
        <v>86</v>
      </c>
      <c r="B582" s="2" t="str">
        <f>VLOOKUP(A582,Table3[#All],2,FALSE)</f>
        <v>Karthik</v>
      </c>
      <c r="C582" s="2" t="str">
        <f>VLOOKUP(A582,Table3[#All],3,FALSE)</f>
        <v>Sales</v>
      </c>
      <c r="D582" s="2">
        <f>VLOOKUP(A582,Table3[#All],4,FALSE)</f>
        <v>36</v>
      </c>
      <c r="E582" s="2" t="str">
        <f>VLOOKUP(A582,Table3[#All],5,FALSE)</f>
        <v>Female</v>
      </c>
      <c r="F582" s="2">
        <f>VLOOKUP(A582,Table3[#All],6,FALSE)</f>
        <v>15</v>
      </c>
      <c r="G582" s="2">
        <f>VLOOKUP(A582,Table3[#All],7,FALSE)</f>
        <v>55514</v>
      </c>
      <c r="H582" s="2">
        <f>VLOOKUP(A582,Table3[#All],8,FALSE)</f>
        <v>3</v>
      </c>
      <c r="I582" s="2">
        <f>VLOOKUP(A582,Table3[#All],9,FALSE)</f>
        <v>38</v>
      </c>
      <c r="J582" s="2">
        <f>VLOOKUP(A582,Table3[#All],10,FALSE)</f>
        <v>3</v>
      </c>
      <c r="K582" s="2">
        <f>VLOOKUP(A582,Table3[#All],11,FALSE)</f>
        <v>100</v>
      </c>
      <c r="L582" s="2" t="str">
        <f>VLOOKUP(A582,Table3[#All],12,FALSE)</f>
        <v>Bangalore</v>
      </c>
      <c r="M582" s="2" t="str">
        <f t="shared" si="9"/>
        <v>Eligible</v>
      </c>
    </row>
    <row r="583" spans="1:13" hidden="1" x14ac:dyDescent="0.25">
      <c r="A583" s="6" t="s">
        <v>347</v>
      </c>
      <c r="B583" s="2" t="str">
        <f>VLOOKUP(A583,Table3[#All],2,FALSE)</f>
        <v>Ramesh</v>
      </c>
      <c r="C583" s="2" t="str">
        <f>VLOOKUP(A583,Table3[#All],3,FALSE)</f>
        <v>HR</v>
      </c>
      <c r="D583" s="2">
        <f>VLOOKUP(A583,Table3[#All],4,FALSE)</f>
        <v>35</v>
      </c>
      <c r="E583" s="2" t="str">
        <f>VLOOKUP(A583,Table3[#All],5,FALSE)</f>
        <v>Male</v>
      </c>
      <c r="F583" s="2">
        <f>VLOOKUP(A583,Table3[#All],6,FALSE)</f>
        <v>12</v>
      </c>
      <c r="G583" s="2">
        <f>VLOOKUP(A583,Table3[#All],7,FALSE)</f>
        <v>55540</v>
      </c>
      <c r="H583" s="2">
        <f>VLOOKUP(A583,Table3[#All],8,FALSE)</f>
        <v>7</v>
      </c>
      <c r="I583" s="2">
        <f>VLOOKUP(A583,Table3[#All],9,FALSE)</f>
        <v>49</v>
      </c>
      <c r="J583" s="2">
        <f>VLOOKUP(A583,Table3[#All],10,FALSE)</f>
        <v>2</v>
      </c>
      <c r="K583" s="2">
        <f>VLOOKUP(A583,Table3[#All],11,FALSE)</f>
        <v>88</v>
      </c>
      <c r="L583" s="2" t="str">
        <f>VLOOKUP(A583,Table3[#All],12,FALSE)</f>
        <v>Pune</v>
      </c>
      <c r="M583" s="2" t="str">
        <f t="shared" si="9"/>
        <v>Not Eligible</v>
      </c>
    </row>
    <row r="584" spans="1:13" hidden="1" x14ac:dyDescent="0.25">
      <c r="A584" s="5" t="s">
        <v>852</v>
      </c>
      <c r="B584" s="2" t="str">
        <f>VLOOKUP(A584,Table3[#All],2,FALSE)</f>
        <v>Rekha</v>
      </c>
      <c r="C584" s="2" t="str">
        <f>VLOOKUP(A584,Table3[#All],3,FALSE)</f>
        <v>IT</v>
      </c>
      <c r="D584" s="2">
        <f>VLOOKUP(A584,Table3[#All],4,FALSE)</f>
        <v>40</v>
      </c>
      <c r="E584" s="2" t="str">
        <f>VLOOKUP(A584,Table3[#All],5,FALSE)</f>
        <v>Female</v>
      </c>
      <c r="F584" s="2">
        <f>VLOOKUP(A584,Table3[#All],6,FALSE)</f>
        <v>6</v>
      </c>
      <c r="G584" s="2">
        <f>VLOOKUP(A584,Table3[#All],7,FALSE)</f>
        <v>55610</v>
      </c>
      <c r="H584" s="2">
        <f>VLOOKUP(A584,Table3[#All],8,FALSE)</f>
        <v>10</v>
      </c>
      <c r="I584" s="2">
        <f>VLOOKUP(A584,Table3[#All],9,FALSE)</f>
        <v>47</v>
      </c>
      <c r="J584" s="2">
        <f>VLOOKUP(A584,Table3[#All],10,FALSE)</f>
        <v>1</v>
      </c>
      <c r="K584" s="2">
        <f>VLOOKUP(A584,Table3[#All],11,FALSE)</f>
        <v>90</v>
      </c>
      <c r="L584" s="2" t="str">
        <f>VLOOKUP(A584,Table3[#All],12,FALSE)</f>
        <v>Mumbai</v>
      </c>
      <c r="M584" s="2" t="str">
        <f t="shared" si="9"/>
        <v>Not Eligible</v>
      </c>
    </row>
    <row r="585" spans="1:13" hidden="1" x14ac:dyDescent="0.25">
      <c r="A585" s="6" t="s">
        <v>627</v>
      </c>
      <c r="B585" s="2" t="str">
        <f>VLOOKUP(A585,Table3[#All],2,FALSE)</f>
        <v>Arun</v>
      </c>
      <c r="C585" s="2" t="str">
        <f>VLOOKUP(A585,Table3[#All],3,FALSE)</f>
        <v>IT</v>
      </c>
      <c r="D585" s="2">
        <f>VLOOKUP(A585,Table3[#All],4,FALSE)</f>
        <v>32</v>
      </c>
      <c r="E585" s="2" t="str">
        <f>VLOOKUP(A585,Table3[#All],5,FALSE)</f>
        <v>Female</v>
      </c>
      <c r="F585" s="2">
        <f>VLOOKUP(A585,Table3[#All],6,FALSE)</f>
        <v>2</v>
      </c>
      <c r="G585" s="2">
        <f>VLOOKUP(A585,Table3[#All],7,FALSE)</f>
        <v>74105</v>
      </c>
      <c r="H585" s="2">
        <f>VLOOKUP(A585,Table3[#All],8,FALSE)</f>
        <v>12</v>
      </c>
      <c r="I585" s="2">
        <f>VLOOKUP(A585,Table3[#All],9,FALSE)</f>
        <v>45</v>
      </c>
      <c r="J585" s="2">
        <f>VLOOKUP(A585,Table3[#All],10,FALSE)</f>
        <v>2</v>
      </c>
      <c r="K585" s="2">
        <f>VLOOKUP(A585,Table3[#All],11,FALSE)</f>
        <v>97</v>
      </c>
      <c r="L585" s="2" t="str">
        <f>VLOOKUP(A585,Table3[#All],12,FALSE)</f>
        <v>Delhi</v>
      </c>
      <c r="M585" s="2" t="str">
        <f t="shared" si="9"/>
        <v>Eligible</v>
      </c>
    </row>
    <row r="586" spans="1:13" hidden="1" x14ac:dyDescent="0.25">
      <c r="A586" s="5" t="s">
        <v>628</v>
      </c>
      <c r="B586" s="2" t="str">
        <f>VLOOKUP(A586,Table3[#All],2,FALSE)</f>
        <v>Deepa</v>
      </c>
      <c r="C586" s="2" t="str">
        <f>VLOOKUP(A586,Table3[#All],3,FALSE)</f>
        <v>HR</v>
      </c>
      <c r="D586" s="2">
        <f>VLOOKUP(A586,Table3[#All],4,FALSE)</f>
        <v>29</v>
      </c>
      <c r="E586" s="2" t="str">
        <f>VLOOKUP(A586,Table3[#All],5,FALSE)</f>
        <v>Male</v>
      </c>
      <c r="F586" s="2">
        <f>VLOOKUP(A586,Table3[#All],6,FALSE)</f>
        <v>4</v>
      </c>
      <c r="G586" s="2">
        <f>VLOOKUP(A586,Table3[#All],7,FALSE)</f>
        <v>43096</v>
      </c>
      <c r="H586" s="2">
        <f>VLOOKUP(A586,Table3[#All],8,FALSE)</f>
        <v>10</v>
      </c>
      <c r="I586" s="2">
        <f>VLOOKUP(A586,Table3[#All],9,FALSE)</f>
        <v>37</v>
      </c>
      <c r="J586" s="2">
        <f>VLOOKUP(A586,Table3[#All],10,FALSE)</f>
        <v>5</v>
      </c>
      <c r="K586" s="2">
        <f>VLOOKUP(A586,Table3[#All],11,FALSE)</f>
        <v>90</v>
      </c>
      <c r="L586" s="2" t="str">
        <f>VLOOKUP(A586,Table3[#All],12,FALSE)</f>
        <v>Hyderabad</v>
      </c>
      <c r="M586" s="2" t="str">
        <f t="shared" si="9"/>
        <v>Not Eligible</v>
      </c>
    </row>
    <row r="587" spans="1:13" x14ac:dyDescent="0.25">
      <c r="A587" s="6" t="s">
        <v>401</v>
      </c>
      <c r="B587" s="2" t="str">
        <f>VLOOKUP(A587,Table3[#All],2,FALSE)</f>
        <v>Sneha</v>
      </c>
      <c r="C587" s="2" t="str">
        <f>VLOOKUP(A587,Table3[#All],3,FALSE)</f>
        <v>IT</v>
      </c>
      <c r="D587" s="2">
        <f>VLOOKUP(A587,Table3[#All],4,FALSE)</f>
        <v>33</v>
      </c>
      <c r="E587" s="2" t="str">
        <f>VLOOKUP(A587,Table3[#All],5,FALSE)</f>
        <v>Male</v>
      </c>
      <c r="F587" s="2">
        <f>VLOOKUP(A587,Table3[#All],6,FALSE)</f>
        <v>10</v>
      </c>
      <c r="G587" s="2">
        <f>VLOOKUP(A587,Table3[#All],7,FALSE)</f>
        <v>55647</v>
      </c>
      <c r="H587" s="2">
        <f>VLOOKUP(A587,Table3[#All],8,FALSE)</f>
        <v>15</v>
      </c>
      <c r="I587" s="2">
        <f>VLOOKUP(A587,Table3[#All],9,FALSE)</f>
        <v>45</v>
      </c>
      <c r="J587" s="2">
        <f>VLOOKUP(A587,Table3[#All],10,FALSE)</f>
        <v>2</v>
      </c>
      <c r="K587" s="2">
        <f>VLOOKUP(A587,Table3[#All],11,FALSE)</f>
        <v>100</v>
      </c>
      <c r="L587" s="2" t="str">
        <f>VLOOKUP(A587,Table3[#All],12,FALSE)</f>
        <v>Hyderabad</v>
      </c>
      <c r="M587" s="2" t="str">
        <f t="shared" si="9"/>
        <v>Eligible</v>
      </c>
    </row>
    <row r="588" spans="1:13" x14ac:dyDescent="0.25">
      <c r="A588" s="5" t="s">
        <v>470</v>
      </c>
      <c r="B588" s="2" t="str">
        <f>VLOOKUP(A588,Table3[#All],2,FALSE)</f>
        <v>Lakshmi</v>
      </c>
      <c r="C588" s="2" t="str">
        <f>VLOOKUP(A588,Table3[#All],3,FALSE)</f>
        <v>Finance</v>
      </c>
      <c r="D588" s="2">
        <f>VLOOKUP(A588,Table3[#All],4,FALSE)</f>
        <v>32</v>
      </c>
      <c r="E588" s="2" t="str">
        <f>VLOOKUP(A588,Table3[#All],5,FALSE)</f>
        <v>Male</v>
      </c>
      <c r="F588" s="2">
        <f>VLOOKUP(A588,Table3[#All],6,FALSE)</f>
        <v>6</v>
      </c>
      <c r="G588" s="2">
        <f>VLOOKUP(A588,Table3[#All],7,FALSE)</f>
        <v>55647</v>
      </c>
      <c r="H588" s="2">
        <f>VLOOKUP(A588,Table3[#All],8,FALSE)</f>
        <v>13</v>
      </c>
      <c r="I588" s="2">
        <f>VLOOKUP(A588,Table3[#All],9,FALSE)</f>
        <v>47</v>
      </c>
      <c r="J588" s="2">
        <f>VLOOKUP(A588,Table3[#All],10,FALSE)</f>
        <v>5</v>
      </c>
      <c r="K588" s="2">
        <f>VLOOKUP(A588,Table3[#All],11,FALSE)</f>
        <v>94</v>
      </c>
      <c r="L588" s="2" t="str">
        <f>VLOOKUP(A588,Table3[#All],12,FALSE)</f>
        <v>Bangalore</v>
      </c>
      <c r="M588" s="2" t="str">
        <f t="shared" si="9"/>
        <v>Not Eligible</v>
      </c>
    </row>
    <row r="589" spans="1:13" hidden="1" x14ac:dyDescent="0.25">
      <c r="A589" s="6" t="s">
        <v>267</v>
      </c>
      <c r="B589" s="2" t="str">
        <f>VLOOKUP(A589,Table3[#All],2,FALSE)</f>
        <v>Sneha</v>
      </c>
      <c r="C589" s="2" t="str">
        <f>VLOOKUP(A589,Table3[#All],3,FALSE)</f>
        <v>HR</v>
      </c>
      <c r="D589" s="2">
        <f>VLOOKUP(A589,Table3[#All],4,FALSE)</f>
        <v>27</v>
      </c>
      <c r="E589" s="2" t="str">
        <f>VLOOKUP(A589,Table3[#All],5,FALSE)</f>
        <v>Male</v>
      </c>
      <c r="F589" s="2">
        <f>VLOOKUP(A589,Table3[#All],6,FALSE)</f>
        <v>10</v>
      </c>
      <c r="G589" s="2">
        <f>VLOOKUP(A589,Table3[#All],7,FALSE)</f>
        <v>55668</v>
      </c>
      <c r="H589" s="2">
        <f>VLOOKUP(A589,Table3[#All],8,FALSE)</f>
        <v>6</v>
      </c>
      <c r="I589" s="2">
        <f>VLOOKUP(A589,Table3[#All],9,FALSE)</f>
        <v>37</v>
      </c>
      <c r="J589" s="2">
        <f>VLOOKUP(A589,Table3[#All],10,FALSE)</f>
        <v>2</v>
      </c>
      <c r="K589" s="2">
        <f>VLOOKUP(A589,Table3[#All],11,FALSE)</f>
        <v>98</v>
      </c>
      <c r="L589" s="2" t="str">
        <f>VLOOKUP(A589,Table3[#All],12,FALSE)</f>
        <v>Delhi</v>
      </c>
      <c r="M589" s="2" t="str">
        <f t="shared" si="9"/>
        <v>Eligible</v>
      </c>
    </row>
    <row r="590" spans="1:13" hidden="1" x14ac:dyDescent="0.25">
      <c r="A590" s="5" t="s">
        <v>632</v>
      </c>
      <c r="B590" s="2" t="str">
        <f>VLOOKUP(A590,Table3[#All],2,FALSE)</f>
        <v>Karthik</v>
      </c>
      <c r="C590" s="2" t="str">
        <f>VLOOKUP(A590,Table3[#All],3,FALSE)</f>
        <v>IT</v>
      </c>
      <c r="D590" s="2">
        <f>VLOOKUP(A590,Table3[#All],4,FALSE)</f>
        <v>35</v>
      </c>
      <c r="E590" s="2" t="str">
        <f>VLOOKUP(A590,Table3[#All],5,FALSE)</f>
        <v>Female</v>
      </c>
      <c r="F590" s="2">
        <f>VLOOKUP(A590,Table3[#All],6,FALSE)</f>
        <v>4</v>
      </c>
      <c r="G590" s="2">
        <f>VLOOKUP(A590,Table3[#All],7,FALSE)</f>
        <v>51421</v>
      </c>
      <c r="H590" s="2">
        <f>VLOOKUP(A590,Table3[#All],8,FALSE)</f>
        <v>10</v>
      </c>
      <c r="I590" s="2">
        <f>VLOOKUP(A590,Table3[#All],9,FALSE)</f>
        <v>37</v>
      </c>
      <c r="J590" s="2">
        <f>VLOOKUP(A590,Table3[#All],10,FALSE)</f>
        <v>3</v>
      </c>
      <c r="K590" s="2">
        <f>VLOOKUP(A590,Table3[#All],11,FALSE)</f>
        <v>96</v>
      </c>
      <c r="L590" s="2" t="str">
        <f>VLOOKUP(A590,Table3[#All],12,FALSE)</f>
        <v>Mumbai</v>
      </c>
      <c r="M590" s="2" t="str">
        <f t="shared" si="9"/>
        <v>Eligible</v>
      </c>
    </row>
    <row r="591" spans="1:13" hidden="1" x14ac:dyDescent="0.25">
      <c r="A591" s="6" t="s">
        <v>859</v>
      </c>
      <c r="B591" s="2" t="str">
        <f>VLOOKUP(A591,Table3[#All],2,FALSE)</f>
        <v>Divya</v>
      </c>
      <c r="C591" s="2" t="str">
        <f>VLOOKUP(A591,Table3[#All],3,FALSE)</f>
        <v>Sales</v>
      </c>
      <c r="D591" s="2">
        <f>VLOOKUP(A591,Table3[#All],4,FALSE)</f>
        <v>26</v>
      </c>
      <c r="E591" s="2" t="str">
        <f>VLOOKUP(A591,Table3[#All],5,FALSE)</f>
        <v>Female</v>
      </c>
      <c r="F591" s="2">
        <f>VLOOKUP(A591,Table3[#All],6,FALSE)</f>
        <v>13</v>
      </c>
      <c r="G591" s="2">
        <f>VLOOKUP(A591,Table3[#All],7,FALSE)</f>
        <v>55717</v>
      </c>
      <c r="H591" s="2">
        <f>VLOOKUP(A591,Table3[#All],8,FALSE)</f>
        <v>14</v>
      </c>
      <c r="I591" s="2">
        <f>VLOOKUP(A591,Table3[#All],9,FALSE)</f>
        <v>42</v>
      </c>
      <c r="J591" s="2">
        <f>VLOOKUP(A591,Table3[#All],10,FALSE)</f>
        <v>4</v>
      </c>
      <c r="K591" s="2">
        <f>VLOOKUP(A591,Table3[#All],11,FALSE)</f>
        <v>87</v>
      </c>
      <c r="L591" s="2" t="str">
        <f>VLOOKUP(A591,Table3[#All],12,FALSE)</f>
        <v>Pune</v>
      </c>
      <c r="M591" s="2" t="str">
        <f t="shared" si="9"/>
        <v>Not Eligible</v>
      </c>
    </row>
    <row r="592" spans="1:13" hidden="1" x14ac:dyDescent="0.25">
      <c r="A592" s="5" t="s">
        <v>604</v>
      </c>
      <c r="B592" s="2" t="str">
        <f>VLOOKUP(A592,Table3[#All],2,FALSE)</f>
        <v>Divya</v>
      </c>
      <c r="C592" s="2" t="str">
        <f>VLOOKUP(A592,Table3[#All],3,FALSE)</f>
        <v>Finance</v>
      </c>
      <c r="D592" s="2">
        <f>VLOOKUP(A592,Table3[#All],4,FALSE)</f>
        <v>33</v>
      </c>
      <c r="E592" s="2" t="str">
        <f>VLOOKUP(A592,Table3[#All],5,FALSE)</f>
        <v>Male</v>
      </c>
      <c r="F592" s="2">
        <f>VLOOKUP(A592,Table3[#All],6,FALSE)</f>
        <v>12</v>
      </c>
      <c r="G592" s="2">
        <f>VLOOKUP(A592,Table3[#All],7,FALSE)</f>
        <v>55753</v>
      </c>
      <c r="H592" s="2">
        <f>VLOOKUP(A592,Table3[#All],8,FALSE)</f>
        <v>4</v>
      </c>
      <c r="I592" s="2">
        <f>VLOOKUP(A592,Table3[#All],9,FALSE)</f>
        <v>42</v>
      </c>
      <c r="J592" s="2">
        <f>VLOOKUP(A592,Table3[#All],10,FALSE)</f>
        <v>2</v>
      </c>
      <c r="K592" s="2">
        <f>VLOOKUP(A592,Table3[#All],11,FALSE)</f>
        <v>90</v>
      </c>
      <c r="L592" s="2" t="str">
        <f>VLOOKUP(A592,Table3[#All],12,FALSE)</f>
        <v>Mumbai</v>
      </c>
      <c r="M592" s="2" t="str">
        <f t="shared" si="9"/>
        <v>Not Eligible</v>
      </c>
    </row>
    <row r="593" spans="1:13" hidden="1" x14ac:dyDescent="0.25">
      <c r="A593" s="6" t="s">
        <v>635</v>
      </c>
      <c r="B593" s="2" t="str">
        <f>VLOOKUP(A593,Table3[#All],2,FALSE)</f>
        <v>Meena</v>
      </c>
      <c r="C593" s="2" t="str">
        <f>VLOOKUP(A593,Table3[#All],3,FALSE)</f>
        <v>Sales</v>
      </c>
      <c r="D593" s="2">
        <f>VLOOKUP(A593,Table3[#All],4,FALSE)</f>
        <v>37</v>
      </c>
      <c r="E593" s="2" t="str">
        <f>VLOOKUP(A593,Table3[#All],5,FALSE)</f>
        <v>Male</v>
      </c>
      <c r="F593" s="2">
        <f>VLOOKUP(A593,Table3[#All],6,FALSE)</f>
        <v>1</v>
      </c>
      <c r="G593" s="2">
        <f>VLOOKUP(A593,Table3[#All],7,FALSE)</f>
        <v>47113</v>
      </c>
      <c r="H593" s="2">
        <f>VLOOKUP(A593,Table3[#All],8,FALSE)</f>
        <v>4</v>
      </c>
      <c r="I593" s="2">
        <f>VLOOKUP(A593,Table3[#All],9,FALSE)</f>
        <v>47</v>
      </c>
      <c r="J593" s="2">
        <f>VLOOKUP(A593,Table3[#All],10,FALSE)</f>
        <v>2</v>
      </c>
      <c r="K593" s="2">
        <f>VLOOKUP(A593,Table3[#All],11,FALSE)</f>
        <v>99</v>
      </c>
      <c r="L593" s="2" t="str">
        <f>VLOOKUP(A593,Table3[#All],12,FALSE)</f>
        <v>Mumbai</v>
      </c>
      <c r="M593" s="2" t="str">
        <f t="shared" si="9"/>
        <v>Eligible</v>
      </c>
    </row>
    <row r="594" spans="1:13" hidden="1" x14ac:dyDescent="0.25">
      <c r="A594" s="6" t="s">
        <v>837</v>
      </c>
      <c r="B594" s="2" t="str">
        <f>VLOOKUP(A594,Table3[#All],2,FALSE)</f>
        <v>Karthik</v>
      </c>
      <c r="C594" s="2" t="str">
        <f>VLOOKUP(A594,Table3[#All],3,FALSE)</f>
        <v>Finance</v>
      </c>
      <c r="D594" s="2">
        <f>VLOOKUP(A594,Table3[#All],4,FALSE)</f>
        <v>25</v>
      </c>
      <c r="E594" s="2" t="str">
        <f>VLOOKUP(A594,Table3[#All],5,FALSE)</f>
        <v>Male</v>
      </c>
      <c r="F594" s="2">
        <f>VLOOKUP(A594,Table3[#All],6,FALSE)</f>
        <v>7</v>
      </c>
      <c r="G594" s="2">
        <f>VLOOKUP(A594,Table3[#All],7,FALSE)</f>
        <v>55753</v>
      </c>
      <c r="H594" s="2">
        <f>VLOOKUP(A594,Table3[#All],8,FALSE)</f>
        <v>6</v>
      </c>
      <c r="I594" s="2">
        <f>VLOOKUP(A594,Table3[#All],9,FALSE)</f>
        <v>49</v>
      </c>
      <c r="J594" s="2">
        <f>VLOOKUP(A594,Table3[#All],10,FALSE)</f>
        <v>1</v>
      </c>
      <c r="K594" s="2">
        <f>VLOOKUP(A594,Table3[#All],11,FALSE)</f>
        <v>96</v>
      </c>
      <c r="L594" s="2" t="str">
        <f>VLOOKUP(A594,Table3[#All],12,FALSE)</f>
        <v>Chennai</v>
      </c>
      <c r="M594" s="2" t="str">
        <f t="shared" si="9"/>
        <v>Eligible</v>
      </c>
    </row>
    <row r="595" spans="1:13" hidden="1" x14ac:dyDescent="0.25">
      <c r="A595" s="6" t="s">
        <v>637</v>
      </c>
      <c r="B595" s="2" t="str">
        <f>VLOOKUP(A595,Table3[#All],2,FALSE)</f>
        <v>Deepa</v>
      </c>
      <c r="C595" s="2" t="str">
        <f>VLOOKUP(A595,Table3[#All],3,FALSE)</f>
        <v>HR</v>
      </c>
      <c r="D595" s="2">
        <f>VLOOKUP(A595,Table3[#All],4,FALSE)</f>
        <v>31</v>
      </c>
      <c r="E595" s="2" t="str">
        <f>VLOOKUP(A595,Table3[#All],5,FALSE)</f>
        <v>Female</v>
      </c>
      <c r="F595" s="2">
        <f>VLOOKUP(A595,Table3[#All],6,FALSE)</f>
        <v>4</v>
      </c>
      <c r="G595" s="2">
        <f>VLOOKUP(A595,Table3[#All],7,FALSE)</f>
        <v>49119</v>
      </c>
      <c r="H595" s="2">
        <f>VLOOKUP(A595,Table3[#All],8,FALSE)</f>
        <v>11</v>
      </c>
      <c r="I595" s="2">
        <f>VLOOKUP(A595,Table3[#All],9,FALSE)</f>
        <v>39</v>
      </c>
      <c r="J595" s="2">
        <f>VLOOKUP(A595,Table3[#All],10,FALSE)</f>
        <v>2</v>
      </c>
      <c r="K595" s="2">
        <f>VLOOKUP(A595,Table3[#All],11,FALSE)</f>
        <v>90</v>
      </c>
      <c r="L595" s="2" t="str">
        <f>VLOOKUP(A595,Table3[#All],12,FALSE)</f>
        <v>Hyderabad</v>
      </c>
      <c r="M595" s="2" t="str">
        <f t="shared" si="9"/>
        <v>Not Eligible</v>
      </c>
    </row>
    <row r="596" spans="1:13" hidden="1" x14ac:dyDescent="0.25">
      <c r="A596" s="5" t="s">
        <v>638</v>
      </c>
      <c r="B596" s="2" t="str">
        <f>VLOOKUP(A596,Table3[#All],2,FALSE)</f>
        <v>Divya</v>
      </c>
      <c r="C596" s="2" t="str">
        <f>VLOOKUP(A596,Table3[#All],3,FALSE)</f>
        <v>Finance</v>
      </c>
      <c r="D596" s="2">
        <f>VLOOKUP(A596,Table3[#All],4,FALSE)</f>
        <v>29</v>
      </c>
      <c r="E596" s="2" t="str">
        <f>VLOOKUP(A596,Table3[#All],5,FALSE)</f>
        <v>Female</v>
      </c>
      <c r="F596" s="2">
        <f>VLOOKUP(A596,Table3[#All],6,FALSE)</f>
        <v>3</v>
      </c>
      <c r="G596" s="2">
        <f>VLOOKUP(A596,Table3[#All],7,FALSE)</f>
        <v>27788</v>
      </c>
      <c r="H596" s="2">
        <f>VLOOKUP(A596,Table3[#All],8,FALSE)</f>
        <v>12</v>
      </c>
      <c r="I596" s="2">
        <f>VLOOKUP(A596,Table3[#All],9,FALSE)</f>
        <v>41</v>
      </c>
      <c r="J596" s="2">
        <f>VLOOKUP(A596,Table3[#All],10,FALSE)</f>
        <v>3</v>
      </c>
      <c r="K596" s="2">
        <f>VLOOKUP(A596,Table3[#All],11,FALSE)</f>
        <v>88</v>
      </c>
      <c r="L596" s="2" t="str">
        <f>VLOOKUP(A596,Table3[#All],12,FALSE)</f>
        <v>Bangalore</v>
      </c>
      <c r="M596" s="2" t="str">
        <f t="shared" si="9"/>
        <v>Not Eligible</v>
      </c>
    </row>
    <row r="597" spans="1:13" hidden="1" x14ac:dyDescent="0.25">
      <c r="A597" s="6" t="s">
        <v>643</v>
      </c>
      <c r="B597" s="2" t="str">
        <f>VLOOKUP(A597,Table3[#All],2,FALSE)</f>
        <v>Ravi</v>
      </c>
      <c r="C597" s="2" t="str">
        <f>VLOOKUP(A597,Table3[#All],3,FALSE)</f>
        <v>Sales</v>
      </c>
      <c r="D597" s="2">
        <f>VLOOKUP(A597,Table3[#All],4,FALSE)</f>
        <v>39</v>
      </c>
      <c r="E597" s="2" t="str">
        <f>VLOOKUP(A597,Table3[#All],5,FALSE)</f>
        <v>Male</v>
      </c>
      <c r="F597" s="2">
        <f>VLOOKUP(A597,Table3[#All],6,FALSE)</f>
        <v>9</v>
      </c>
      <c r="G597" s="2">
        <f>VLOOKUP(A597,Table3[#All],7,FALSE)</f>
        <v>55784</v>
      </c>
      <c r="H597" s="2">
        <f>VLOOKUP(A597,Table3[#All],8,FALSE)</f>
        <v>13</v>
      </c>
      <c r="I597" s="2">
        <f>VLOOKUP(A597,Table3[#All],9,FALSE)</f>
        <v>49</v>
      </c>
      <c r="J597" s="2">
        <f>VLOOKUP(A597,Table3[#All],10,FALSE)</f>
        <v>5</v>
      </c>
      <c r="K597" s="2">
        <f>VLOOKUP(A597,Table3[#All],11,FALSE)</f>
        <v>85</v>
      </c>
      <c r="L597" s="2" t="str">
        <f>VLOOKUP(A597,Table3[#All],12,FALSE)</f>
        <v>Hyderabad</v>
      </c>
      <c r="M597" s="2" t="str">
        <f t="shared" si="9"/>
        <v>Not Eligible</v>
      </c>
    </row>
    <row r="598" spans="1:13" x14ac:dyDescent="0.25">
      <c r="A598" s="5" t="s">
        <v>452</v>
      </c>
      <c r="B598" s="2" t="str">
        <f>VLOOKUP(A598,Table3[#All],2,FALSE)</f>
        <v>Kavya</v>
      </c>
      <c r="C598" s="2" t="str">
        <f>VLOOKUP(A598,Table3[#All],3,FALSE)</f>
        <v>Sales</v>
      </c>
      <c r="D598" s="2">
        <f>VLOOKUP(A598,Table3[#All],4,FALSE)</f>
        <v>26</v>
      </c>
      <c r="E598" s="2" t="str">
        <f>VLOOKUP(A598,Table3[#All],5,FALSE)</f>
        <v>Female</v>
      </c>
      <c r="F598" s="2">
        <f>VLOOKUP(A598,Table3[#All],6,FALSE)</f>
        <v>12</v>
      </c>
      <c r="G598" s="2">
        <f>VLOOKUP(A598,Table3[#All],7,FALSE)</f>
        <v>55889</v>
      </c>
      <c r="H598" s="2">
        <f>VLOOKUP(A598,Table3[#All],8,FALSE)</f>
        <v>12</v>
      </c>
      <c r="I598" s="2">
        <f>VLOOKUP(A598,Table3[#All],9,FALSE)</f>
        <v>35</v>
      </c>
      <c r="J598" s="2">
        <f>VLOOKUP(A598,Table3[#All],10,FALSE)</f>
        <v>3</v>
      </c>
      <c r="K598" s="2">
        <f>VLOOKUP(A598,Table3[#All],11,FALSE)</f>
        <v>95</v>
      </c>
      <c r="L598" s="2" t="str">
        <f>VLOOKUP(A598,Table3[#All],12,FALSE)</f>
        <v>Mumbai</v>
      </c>
      <c r="M598" s="2" t="str">
        <f t="shared" si="9"/>
        <v>Eligible</v>
      </c>
    </row>
    <row r="599" spans="1:13" hidden="1" x14ac:dyDescent="0.25">
      <c r="A599" s="6" t="s">
        <v>1025</v>
      </c>
      <c r="B599" s="2" t="str">
        <f>VLOOKUP(A599,Table3[#All],2,FALSE)</f>
        <v>Nisha</v>
      </c>
      <c r="C599" s="2" t="str">
        <f>VLOOKUP(A599,Table3[#All],3,FALSE)</f>
        <v>HR</v>
      </c>
      <c r="D599" s="2">
        <f>VLOOKUP(A599,Table3[#All],4,FALSE)</f>
        <v>40</v>
      </c>
      <c r="E599" s="2" t="str">
        <f>VLOOKUP(A599,Table3[#All],5,FALSE)</f>
        <v>Male</v>
      </c>
      <c r="F599" s="2">
        <f>VLOOKUP(A599,Table3[#All],6,FALSE)</f>
        <v>11</v>
      </c>
      <c r="G599" s="2">
        <f>VLOOKUP(A599,Table3[#All],7,FALSE)</f>
        <v>55919</v>
      </c>
      <c r="H599" s="2">
        <f>VLOOKUP(A599,Table3[#All],8,FALSE)</f>
        <v>5</v>
      </c>
      <c r="I599" s="2">
        <f>VLOOKUP(A599,Table3[#All],9,FALSE)</f>
        <v>40</v>
      </c>
      <c r="J599" s="2">
        <f>VLOOKUP(A599,Table3[#All],10,FALSE)</f>
        <v>5</v>
      </c>
      <c r="K599" s="2">
        <f>VLOOKUP(A599,Table3[#All],11,FALSE)</f>
        <v>92</v>
      </c>
      <c r="L599" s="2" t="str">
        <f>VLOOKUP(A599,Table3[#All],12,FALSE)</f>
        <v>Bangalore</v>
      </c>
      <c r="M599" s="2" t="str">
        <f t="shared" si="9"/>
        <v>Not Eligible</v>
      </c>
    </row>
    <row r="600" spans="1:13" hidden="1" x14ac:dyDescent="0.25">
      <c r="A600" s="5" t="s">
        <v>642</v>
      </c>
      <c r="B600" s="2" t="str">
        <f>VLOOKUP(A600,Table3[#All],2,FALSE)</f>
        <v>Karthik</v>
      </c>
      <c r="C600" s="2" t="str">
        <f>VLOOKUP(A600,Table3[#All],3,FALSE)</f>
        <v>HR</v>
      </c>
      <c r="D600" s="2">
        <f>VLOOKUP(A600,Table3[#All],4,FALSE)</f>
        <v>30</v>
      </c>
      <c r="E600" s="2" t="str">
        <f>VLOOKUP(A600,Table3[#All],5,FALSE)</f>
        <v>Female</v>
      </c>
      <c r="F600" s="2">
        <f>VLOOKUP(A600,Table3[#All],6,FALSE)</f>
        <v>1</v>
      </c>
      <c r="G600" s="2">
        <f>VLOOKUP(A600,Table3[#All],7,FALSE)</f>
        <v>28491</v>
      </c>
      <c r="H600" s="2">
        <f>VLOOKUP(A600,Table3[#All],8,FALSE)</f>
        <v>10</v>
      </c>
      <c r="I600" s="2">
        <f>VLOOKUP(A600,Table3[#All],9,FALSE)</f>
        <v>36</v>
      </c>
      <c r="J600" s="2">
        <f>VLOOKUP(A600,Table3[#All],10,FALSE)</f>
        <v>1</v>
      </c>
      <c r="K600" s="2">
        <f>VLOOKUP(A600,Table3[#All],11,FALSE)</f>
        <v>86</v>
      </c>
      <c r="L600" s="2" t="str">
        <f>VLOOKUP(A600,Table3[#All],12,FALSE)</f>
        <v>Mumbai</v>
      </c>
      <c r="M600" s="2" t="str">
        <f t="shared" si="9"/>
        <v>Not Eligible</v>
      </c>
    </row>
    <row r="601" spans="1:13" hidden="1" x14ac:dyDescent="0.25">
      <c r="A601" s="5" t="s">
        <v>404</v>
      </c>
      <c r="B601" s="2" t="str">
        <f>VLOOKUP(A601,Table3[#All],2,FALSE)</f>
        <v>Arun</v>
      </c>
      <c r="C601" s="2" t="str">
        <f>VLOOKUP(A601,Table3[#All],3,FALSE)</f>
        <v>Finance</v>
      </c>
      <c r="D601" s="2">
        <f>VLOOKUP(A601,Table3[#All],4,FALSE)</f>
        <v>39</v>
      </c>
      <c r="E601" s="2" t="str">
        <f>VLOOKUP(A601,Table3[#All],5,FALSE)</f>
        <v>Female</v>
      </c>
      <c r="F601" s="2">
        <f>VLOOKUP(A601,Table3[#All],6,FALSE)</f>
        <v>15</v>
      </c>
      <c r="G601" s="2">
        <f>VLOOKUP(A601,Table3[#All],7,FALSE)</f>
        <v>55974</v>
      </c>
      <c r="H601" s="2">
        <f>VLOOKUP(A601,Table3[#All],8,FALSE)</f>
        <v>6</v>
      </c>
      <c r="I601" s="2">
        <f>VLOOKUP(A601,Table3[#All],9,FALSE)</f>
        <v>41</v>
      </c>
      <c r="J601" s="2">
        <f>VLOOKUP(A601,Table3[#All],10,FALSE)</f>
        <v>3</v>
      </c>
      <c r="K601" s="2">
        <f>VLOOKUP(A601,Table3[#All],11,FALSE)</f>
        <v>89</v>
      </c>
      <c r="L601" s="2" t="str">
        <f>VLOOKUP(A601,Table3[#All],12,FALSE)</f>
        <v>Mumbai</v>
      </c>
      <c r="M601" s="2" t="str">
        <f t="shared" si="9"/>
        <v>Not Eligible</v>
      </c>
    </row>
    <row r="602" spans="1:13" hidden="1" x14ac:dyDescent="0.25">
      <c r="A602" s="5" t="s">
        <v>644</v>
      </c>
      <c r="B602" s="2" t="str">
        <f>VLOOKUP(A602,Table3[#All],2,FALSE)</f>
        <v>Suresh</v>
      </c>
      <c r="C602" s="2" t="str">
        <f>VLOOKUP(A602,Table3[#All],3,FALSE)</f>
        <v>IT</v>
      </c>
      <c r="D602" s="2">
        <f>VLOOKUP(A602,Table3[#All],4,FALSE)</f>
        <v>36</v>
      </c>
      <c r="E602" s="2" t="str">
        <f>VLOOKUP(A602,Table3[#All],5,FALSE)</f>
        <v>Female</v>
      </c>
      <c r="F602" s="2">
        <f>VLOOKUP(A602,Table3[#All],6,FALSE)</f>
        <v>1</v>
      </c>
      <c r="G602" s="2">
        <f>VLOOKUP(A602,Table3[#All],7,FALSE)</f>
        <v>75488</v>
      </c>
      <c r="H602" s="2">
        <f>VLOOKUP(A602,Table3[#All],8,FALSE)</f>
        <v>8</v>
      </c>
      <c r="I602" s="2">
        <f>VLOOKUP(A602,Table3[#All],9,FALSE)</f>
        <v>40</v>
      </c>
      <c r="J602" s="2">
        <f>VLOOKUP(A602,Table3[#All],10,FALSE)</f>
        <v>3</v>
      </c>
      <c r="K602" s="2">
        <f>VLOOKUP(A602,Table3[#All],11,FALSE)</f>
        <v>87</v>
      </c>
      <c r="L602" s="2" t="str">
        <f>VLOOKUP(A602,Table3[#All],12,FALSE)</f>
        <v>Chennai</v>
      </c>
      <c r="M602" s="2" t="str">
        <f t="shared" si="9"/>
        <v>Not Eligible</v>
      </c>
    </row>
    <row r="603" spans="1:13" hidden="1" x14ac:dyDescent="0.25">
      <c r="A603" s="5" t="s">
        <v>920</v>
      </c>
      <c r="B603" s="2" t="str">
        <f>VLOOKUP(A603,Table3[#All],2,FALSE)</f>
        <v>Ramesh</v>
      </c>
      <c r="C603" s="2" t="str">
        <f>VLOOKUP(A603,Table3[#All],3,FALSE)</f>
        <v>Finance</v>
      </c>
      <c r="D603" s="2">
        <f>VLOOKUP(A603,Table3[#All],4,FALSE)</f>
        <v>34</v>
      </c>
      <c r="E603" s="2" t="str">
        <f>VLOOKUP(A603,Table3[#All],5,FALSE)</f>
        <v>Female</v>
      </c>
      <c r="F603" s="2">
        <f>VLOOKUP(A603,Table3[#All],6,FALSE)</f>
        <v>10</v>
      </c>
      <c r="G603" s="2">
        <f>VLOOKUP(A603,Table3[#All],7,FALSE)</f>
        <v>56170</v>
      </c>
      <c r="H603" s="2">
        <f>VLOOKUP(A603,Table3[#All],8,FALSE)</f>
        <v>12</v>
      </c>
      <c r="I603" s="2">
        <f>VLOOKUP(A603,Table3[#All],9,FALSE)</f>
        <v>43</v>
      </c>
      <c r="J603" s="2">
        <f>VLOOKUP(A603,Table3[#All],10,FALSE)</f>
        <v>3</v>
      </c>
      <c r="K603" s="2">
        <f>VLOOKUP(A603,Table3[#All],11,FALSE)</f>
        <v>89</v>
      </c>
      <c r="L603" s="2" t="str">
        <f>VLOOKUP(A603,Table3[#All],12,FALSE)</f>
        <v>Delhi</v>
      </c>
      <c r="M603" s="2" t="str">
        <f t="shared" si="9"/>
        <v>Not Eligible</v>
      </c>
    </row>
    <row r="604" spans="1:13" hidden="1" x14ac:dyDescent="0.25">
      <c r="A604" s="6" t="s">
        <v>687</v>
      </c>
      <c r="B604" s="2" t="str">
        <f>VLOOKUP(A604,Table3[#All],2,FALSE)</f>
        <v>Divya</v>
      </c>
      <c r="C604" s="2" t="str">
        <f>VLOOKUP(A604,Table3[#All],3,FALSE)</f>
        <v>HR</v>
      </c>
      <c r="D604" s="2">
        <f>VLOOKUP(A604,Table3[#All],4,FALSE)</f>
        <v>35</v>
      </c>
      <c r="E604" s="2" t="str">
        <f>VLOOKUP(A604,Table3[#All],5,FALSE)</f>
        <v>Female</v>
      </c>
      <c r="F604" s="2">
        <f>VLOOKUP(A604,Table3[#All],6,FALSE)</f>
        <v>14</v>
      </c>
      <c r="G604" s="2">
        <f>VLOOKUP(A604,Table3[#All],7,FALSE)</f>
        <v>56191</v>
      </c>
      <c r="H604" s="2">
        <f>VLOOKUP(A604,Table3[#All],8,FALSE)</f>
        <v>9</v>
      </c>
      <c r="I604" s="2">
        <f>VLOOKUP(A604,Table3[#All],9,FALSE)</f>
        <v>37</v>
      </c>
      <c r="J604" s="2">
        <f>VLOOKUP(A604,Table3[#All],10,FALSE)</f>
        <v>1</v>
      </c>
      <c r="K604" s="2">
        <f>VLOOKUP(A604,Table3[#All],11,FALSE)</f>
        <v>93</v>
      </c>
      <c r="L604" s="2" t="str">
        <f>VLOOKUP(A604,Table3[#All],12,FALSE)</f>
        <v>Pune</v>
      </c>
      <c r="M604" s="2" t="str">
        <f t="shared" si="9"/>
        <v>Not Eligible</v>
      </c>
    </row>
    <row r="605" spans="1:13" hidden="1" x14ac:dyDescent="0.25">
      <c r="A605" s="6" t="s">
        <v>185</v>
      </c>
      <c r="B605" s="2" t="str">
        <f>VLOOKUP(A605,Table3[#All],2,FALSE)</f>
        <v>Deepa</v>
      </c>
      <c r="C605" s="2" t="str">
        <f>VLOOKUP(A605,Table3[#All],3,FALSE)</f>
        <v>IT</v>
      </c>
      <c r="D605" s="2">
        <f>VLOOKUP(A605,Table3[#All],4,FALSE)</f>
        <v>37</v>
      </c>
      <c r="E605" s="2" t="str">
        <f>VLOOKUP(A605,Table3[#All],5,FALSE)</f>
        <v>Male</v>
      </c>
      <c r="F605" s="2">
        <f>VLOOKUP(A605,Table3[#All],6,FALSE)</f>
        <v>12</v>
      </c>
      <c r="G605" s="2">
        <f>VLOOKUP(A605,Table3[#All],7,FALSE)</f>
        <v>56352</v>
      </c>
      <c r="H605" s="2">
        <f>VLOOKUP(A605,Table3[#All],8,FALSE)</f>
        <v>15</v>
      </c>
      <c r="I605" s="2">
        <f>VLOOKUP(A605,Table3[#All],9,FALSE)</f>
        <v>36</v>
      </c>
      <c r="J605" s="2">
        <f>VLOOKUP(A605,Table3[#All],10,FALSE)</f>
        <v>1</v>
      </c>
      <c r="K605" s="2">
        <f>VLOOKUP(A605,Table3[#All],11,FALSE)</f>
        <v>90</v>
      </c>
      <c r="L605" s="2" t="str">
        <f>VLOOKUP(A605,Table3[#All],12,FALSE)</f>
        <v>Delhi</v>
      </c>
      <c r="M605" s="2" t="str">
        <f t="shared" si="9"/>
        <v>Not Eligible</v>
      </c>
    </row>
    <row r="606" spans="1:13" hidden="1" x14ac:dyDescent="0.25">
      <c r="A606" s="5" t="s">
        <v>796</v>
      </c>
      <c r="B606" s="2" t="str">
        <f>VLOOKUP(A606,Table3[#All],2,FALSE)</f>
        <v>Karthik</v>
      </c>
      <c r="C606" s="2" t="str">
        <f>VLOOKUP(A606,Table3[#All],3,FALSE)</f>
        <v>IT</v>
      </c>
      <c r="D606" s="2">
        <f>VLOOKUP(A606,Table3[#All],4,FALSE)</f>
        <v>29</v>
      </c>
      <c r="E606" s="2" t="str">
        <f>VLOOKUP(A606,Table3[#All],5,FALSE)</f>
        <v>Male</v>
      </c>
      <c r="F606" s="2">
        <f>VLOOKUP(A606,Table3[#All],6,FALSE)</f>
        <v>9</v>
      </c>
      <c r="G606" s="2">
        <f>VLOOKUP(A606,Table3[#All],7,FALSE)</f>
        <v>56505</v>
      </c>
      <c r="H606" s="2">
        <f>VLOOKUP(A606,Table3[#All],8,FALSE)</f>
        <v>8</v>
      </c>
      <c r="I606" s="2">
        <f>VLOOKUP(A606,Table3[#All],9,FALSE)</f>
        <v>50</v>
      </c>
      <c r="J606" s="2">
        <f>VLOOKUP(A606,Table3[#All],10,FALSE)</f>
        <v>1</v>
      </c>
      <c r="K606" s="2">
        <f>VLOOKUP(A606,Table3[#All],11,FALSE)</f>
        <v>95</v>
      </c>
      <c r="L606" s="2" t="str">
        <f>VLOOKUP(A606,Table3[#All],12,FALSE)</f>
        <v>Bangalore</v>
      </c>
      <c r="M606" s="2" t="str">
        <f t="shared" si="9"/>
        <v>Eligible</v>
      </c>
    </row>
    <row r="607" spans="1:13" hidden="1" x14ac:dyDescent="0.25">
      <c r="A607" s="6" t="s">
        <v>105</v>
      </c>
      <c r="B607" s="2" t="str">
        <f>VLOOKUP(A607,Table3[#All],2,FALSE)</f>
        <v>Manoj</v>
      </c>
      <c r="C607" s="2" t="str">
        <f>VLOOKUP(A607,Table3[#All],3,FALSE)</f>
        <v>Sales</v>
      </c>
      <c r="D607" s="2">
        <f>VLOOKUP(A607,Table3[#All],4,FALSE)</f>
        <v>27</v>
      </c>
      <c r="E607" s="2" t="str">
        <f>VLOOKUP(A607,Table3[#All],5,FALSE)</f>
        <v>Female</v>
      </c>
      <c r="F607" s="2">
        <f>VLOOKUP(A607,Table3[#All],6,FALSE)</f>
        <v>5</v>
      </c>
      <c r="G607" s="2">
        <f>VLOOKUP(A607,Table3[#All],7,FALSE)</f>
        <v>56535</v>
      </c>
      <c r="H607" s="2">
        <f>VLOOKUP(A607,Table3[#All],8,FALSE)</f>
        <v>5</v>
      </c>
      <c r="I607" s="2">
        <f>VLOOKUP(A607,Table3[#All],9,FALSE)</f>
        <v>50</v>
      </c>
      <c r="J607" s="2">
        <f>VLOOKUP(A607,Table3[#All],10,FALSE)</f>
        <v>4</v>
      </c>
      <c r="K607" s="2">
        <f>VLOOKUP(A607,Table3[#All],11,FALSE)</f>
        <v>95</v>
      </c>
      <c r="L607" s="2" t="str">
        <f>VLOOKUP(A607,Table3[#All],12,FALSE)</f>
        <v>Hyderabad</v>
      </c>
      <c r="M607" s="2" t="str">
        <f t="shared" si="9"/>
        <v>Eligible</v>
      </c>
    </row>
    <row r="608" spans="1:13" hidden="1" x14ac:dyDescent="0.25">
      <c r="A608" s="6" t="s">
        <v>509</v>
      </c>
      <c r="B608" s="2" t="str">
        <f>VLOOKUP(A608,Table3[#All],2,FALSE)</f>
        <v>Manoj</v>
      </c>
      <c r="C608" s="2" t="str">
        <f>VLOOKUP(A608,Table3[#All],3,FALSE)</f>
        <v>Sales</v>
      </c>
      <c r="D608" s="2">
        <f>VLOOKUP(A608,Table3[#All],4,FALSE)</f>
        <v>37</v>
      </c>
      <c r="E608" s="2" t="str">
        <f>VLOOKUP(A608,Table3[#All],5,FALSE)</f>
        <v>Male</v>
      </c>
      <c r="F608" s="2">
        <f>VLOOKUP(A608,Table3[#All],6,FALSE)</f>
        <v>10</v>
      </c>
      <c r="G608" s="2">
        <f>VLOOKUP(A608,Table3[#All],7,FALSE)</f>
        <v>56540</v>
      </c>
      <c r="H608" s="2">
        <f>VLOOKUP(A608,Table3[#All],8,FALSE)</f>
        <v>5</v>
      </c>
      <c r="I608" s="2">
        <f>VLOOKUP(A608,Table3[#All],9,FALSE)</f>
        <v>43</v>
      </c>
      <c r="J608" s="2">
        <f>VLOOKUP(A608,Table3[#All],10,FALSE)</f>
        <v>3</v>
      </c>
      <c r="K608" s="2">
        <f>VLOOKUP(A608,Table3[#All],11,FALSE)</f>
        <v>86</v>
      </c>
      <c r="L608" s="2" t="str">
        <f>VLOOKUP(A608,Table3[#All],12,FALSE)</f>
        <v>Hyderabad</v>
      </c>
      <c r="M608" s="2" t="str">
        <f t="shared" si="9"/>
        <v>Not Eligible</v>
      </c>
    </row>
    <row r="609" spans="1:13" hidden="1" x14ac:dyDescent="0.25">
      <c r="A609" s="6" t="s">
        <v>331</v>
      </c>
      <c r="B609" s="2" t="str">
        <f>VLOOKUP(A609,Table3[#All],2,FALSE)</f>
        <v>Rekha</v>
      </c>
      <c r="C609" s="2" t="str">
        <f>VLOOKUP(A609,Table3[#All],3,FALSE)</f>
        <v>IT</v>
      </c>
      <c r="D609" s="2">
        <f>VLOOKUP(A609,Table3[#All],4,FALSE)</f>
        <v>26</v>
      </c>
      <c r="E609" s="2" t="str">
        <f>VLOOKUP(A609,Table3[#All],5,FALSE)</f>
        <v>Male</v>
      </c>
      <c r="F609" s="2">
        <f>VLOOKUP(A609,Table3[#All],6,FALSE)</f>
        <v>13</v>
      </c>
      <c r="G609" s="2">
        <f>VLOOKUP(A609,Table3[#All],7,FALSE)</f>
        <v>56603</v>
      </c>
      <c r="H609" s="2">
        <f>VLOOKUP(A609,Table3[#All],8,FALSE)</f>
        <v>5</v>
      </c>
      <c r="I609" s="2">
        <f>VLOOKUP(A609,Table3[#All],9,FALSE)</f>
        <v>38</v>
      </c>
      <c r="J609" s="2">
        <f>VLOOKUP(A609,Table3[#All],10,FALSE)</f>
        <v>3</v>
      </c>
      <c r="K609" s="2">
        <f>VLOOKUP(A609,Table3[#All],11,FALSE)</f>
        <v>91</v>
      </c>
      <c r="L609" s="2" t="str">
        <f>VLOOKUP(A609,Table3[#All],12,FALSE)</f>
        <v>Delhi</v>
      </c>
      <c r="M609" s="2" t="str">
        <f t="shared" si="9"/>
        <v>Not Eligible</v>
      </c>
    </row>
    <row r="610" spans="1:13" x14ac:dyDescent="0.25">
      <c r="A610" s="6" t="s">
        <v>565</v>
      </c>
      <c r="B610" s="2" t="str">
        <f>VLOOKUP(A610,Table3[#All],2,FALSE)</f>
        <v>Anitha</v>
      </c>
      <c r="C610" s="2" t="str">
        <f>VLOOKUP(A610,Table3[#All],3,FALSE)</f>
        <v>Finance</v>
      </c>
      <c r="D610" s="2">
        <f>VLOOKUP(A610,Table3[#All],4,FALSE)</f>
        <v>38</v>
      </c>
      <c r="E610" s="2" t="str">
        <f>VLOOKUP(A610,Table3[#All],5,FALSE)</f>
        <v>Male</v>
      </c>
      <c r="F610" s="2">
        <f>VLOOKUP(A610,Table3[#All],6,FALSE)</f>
        <v>15</v>
      </c>
      <c r="G610" s="2">
        <f>VLOOKUP(A610,Table3[#All],7,FALSE)</f>
        <v>56625</v>
      </c>
      <c r="H610" s="2">
        <f>VLOOKUP(A610,Table3[#All],8,FALSE)</f>
        <v>11</v>
      </c>
      <c r="I610" s="2">
        <f>VLOOKUP(A610,Table3[#All],9,FALSE)</f>
        <v>41</v>
      </c>
      <c r="J610" s="2">
        <f>VLOOKUP(A610,Table3[#All],10,FALSE)</f>
        <v>4</v>
      </c>
      <c r="K610" s="2">
        <f>VLOOKUP(A610,Table3[#All],11,FALSE)</f>
        <v>100</v>
      </c>
      <c r="L610" s="2" t="str">
        <f>VLOOKUP(A610,Table3[#All],12,FALSE)</f>
        <v>Mumbai</v>
      </c>
      <c r="M610" s="2" t="str">
        <f t="shared" si="9"/>
        <v>Eligible</v>
      </c>
    </row>
    <row r="611" spans="1:13" hidden="1" x14ac:dyDescent="0.25">
      <c r="A611" s="5" t="s">
        <v>826</v>
      </c>
      <c r="B611" s="2" t="str">
        <f>VLOOKUP(A611,Table3[#All],2,FALSE)</f>
        <v>Ramesh</v>
      </c>
      <c r="C611" s="2" t="str">
        <f>VLOOKUP(A611,Table3[#All],3,FALSE)</f>
        <v>IT</v>
      </c>
      <c r="D611" s="2">
        <f>VLOOKUP(A611,Table3[#All],4,FALSE)</f>
        <v>24</v>
      </c>
      <c r="E611" s="2" t="str">
        <f>VLOOKUP(A611,Table3[#All],5,FALSE)</f>
        <v>Female</v>
      </c>
      <c r="F611" s="2">
        <f>VLOOKUP(A611,Table3[#All],6,FALSE)</f>
        <v>11</v>
      </c>
      <c r="G611" s="2">
        <f>VLOOKUP(A611,Table3[#All],7,FALSE)</f>
        <v>56689</v>
      </c>
      <c r="H611" s="2">
        <f>VLOOKUP(A611,Table3[#All],8,FALSE)</f>
        <v>7</v>
      </c>
      <c r="I611" s="2">
        <f>VLOOKUP(A611,Table3[#All],9,FALSE)</f>
        <v>40</v>
      </c>
      <c r="J611" s="2">
        <f>VLOOKUP(A611,Table3[#All],10,FALSE)</f>
        <v>2</v>
      </c>
      <c r="K611" s="2">
        <f>VLOOKUP(A611,Table3[#All],11,FALSE)</f>
        <v>96</v>
      </c>
      <c r="L611" s="2" t="str">
        <f>VLOOKUP(A611,Table3[#All],12,FALSE)</f>
        <v>Delhi</v>
      </c>
      <c r="M611" s="2" t="str">
        <f t="shared" si="9"/>
        <v>Eligible</v>
      </c>
    </row>
    <row r="612" spans="1:13" hidden="1" x14ac:dyDescent="0.25">
      <c r="A612" s="5" t="s">
        <v>974</v>
      </c>
      <c r="B612" s="2" t="str">
        <f>VLOOKUP(A612,Table3[#All],2,FALSE)</f>
        <v>Priya</v>
      </c>
      <c r="C612" s="2" t="str">
        <f>VLOOKUP(A612,Table3[#All],3,FALSE)</f>
        <v>Finance</v>
      </c>
      <c r="D612" s="2">
        <f>VLOOKUP(A612,Table3[#All],4,FALSE)</f>
        <v>25</v>
      </c>
      <c r="E612" s="2" t="str">
        <f>VLOOKUP(A612,Table3[#All],5,FALSE)</f>
        <v>Male</v>
      </c>
      <c r="F612" s="2">
        <f>VLOOKUP(A612,Table3[#All],6,FALSE)</f>
        <v>8</v>
      </c>
      <c r="G612" s="2">
        <f>VLOOKUP(A612,Table3[#All],7,FALSE)</f>
        <v>56769</v>
      </c>
      <c r="H612" s="2">
        <f>VLOOKUP(A612,Table3[#All],8,FALSE)</f>
        <v>14</v>
      </c>
      <c r="I612" s="2">
        <f>VLOOKUP(A612,Table3[#All],9,FALSE)</f>
        <v>46</v>
      </c>
      <c r="J612" s="2">
        <f>VLOOKUP(A612,Table3[#All],10,FALSE)</f>
        <v>4</v>
      </c>
      <c r="K612" s="2">
        <f>VLOOKUP(A612,Table3[#All],11,FALSE)</f>
        <v>89</v>
      </c>
      <c r="L612" s="2" t="str">
        <f>VLOOKUP(A612,Table3[#All],12,FALSE)</f>
        <v>Delhi</v>
      </c>
      <c r="M612" s="2" t="str">
        <f t="shared" si="9"/>
        <v>Not Eligible</v>
      </c>
    </row>
    <row r="613" spans="1:13" hidden="1" x14ac:dyDescent="0.25">
      <c r="A613" s="6" t="s">
        <v>851</v>
      </c>
      <c r="B613" s="2" t="str">
        <f>VLOOKUP(A613,Table3[#All],2,FALSE)</f>
        <v>Hari</v>
      </c>
      <c r="C613" s="2" t="str">
        <f>VLOOKUP(A613,Table3[#All],3,FALSE)</f>
        <v>Finance</v>
      </c>
      <c r="D613" s="2">
        <f>VLOOKUP(A613,Table3[#All],4,FALSE)</f>
        <v>36</v>
      </c>
      <c r="E613" s="2" t="str">
        <f>VLOOKUP(A613,Table3[#All],5,FALSE)</f>
        <v>Female</v>
      </c>
      <c r="F613" s="2">
        <f>VLOOKUP(A613,Table3[#All],6,FALSE)</f>
        <v>10</v>
      </c>
      <c r="G613" s="2">
        <f>VLOOKUP(A613,Table3[#All],7,FALSE)</f>
        <v>56872</v>
      </c>
      <c r="H613" s="2">
        <f>VLOOKUP(A613,Table3[#All],8,FALSE)</f>
        <v>8</v>
      </c>
      <c r="I613" s="2">
        <f>VLOOKUP(A613,Table3[#All],9,FALSE)</f>
        <v>38</v>
      </c>
      <c r="J613" s="2">
        <f>VLOOKUP(A613,Table3[#All],10,FALSE)</f>
        <v>2</v>
      </c>
      <c r="K613" s="2">
        <f>VLOOKUP(A613,Table3[#All],11,FALSE)</f>
        <v>85</v>
      </c>
      <c r="L613" s="2" t="str">
        <f>VLOOKUP(A613,Table3[#All],12,FALSE)</f>
        <v>Hyderabad</v>
      </c>
      <c r="M613" s="2" t="str">
        <f t="shared" si="9"/>
        <v>Not Eligible</v>
      </c>
    </row>
    <row r="614" spans="1:13" x14ac:dyDescent="0.25">
      <c r="A614" s="5" t="s">
        <v>290</v>
      </c>
      <c r="B614" s="2" t="str">
        <f>VLOOKUP(A614,Table3[#All],2,FALSE)</f>
        <v>Hari</v>
      </c>
      <c r="C614" s="2" t="str">
        <f>VLOOKUP(A614,Table3[#All],3,FALSE)</f>
        <v>HR</v>
      </c>
      <c r="D614" s="2">
        <f>VLOOKUP(A614,Table3[#All],4,FALSE)</f>
        <v>33</v>
      </c>
      <c r="E614" s="2" t="str">
        <f>VLOOKUP(A614,Table3[#All],5,FALSE)</f>
        <v>Male</v>
      </c>
      <c r="F614" s="2">
        <f>VLOOKUP(A614,Table3[#All],6,FALSE)</f>
        <v>7</v>
      </c>
      <c r="G614" s="2">
        <f>VLOOKUP(A614,Table3[#All],7,FALSE)</f>
        <v>56888</v>
      </c>
      <c r="H614" s="2">
        <f>VLOOKUP(A614,Table3[#All],8,FALSE)</f>
        <v>12</v>
      </c>
      <c r="I614" s="2">
        <f>VLOOKUP(A614,Table3[#All],9,FALSE)</f>
        <v>45</v>
      </c>
      <c r="J614" s="2">
        <f>VLOOKUP(A614,Table3[#All],10,FALSE)</f>
        <v>5</v>
      </c>
      <c r="K614" s="2">
        <f>VLOOKUP(A614,Table3[#All],11,FALSE)</f>
        <v>98</v>
      </c>
      <c r="L614" s="2" t="str">
        <f>VLOOKUP(A614,Table3[#All],12,FALSE)</f>
        <v>Bangalore</v>
      </c>
      <c r="M614" s="2" t="str">
        <f t="shared" si="9"/>
        <v>Eligible</v>
      </c>
    </row>
    <row r="615" spans="1:13" hidden="1" x14ac:dyDescent="0.25">
      <c r="A615" s="5" t="s">
        <v>506</v>
      </c>
      <c r="B615" s="2" t="str">
        <f>VLOOKUP(A615,Table3[#All],2,FALSE)</f>
        <v>Nisha</v>
      </c>
      <c r="C615" s="2" t="str">
        <f>VLOOKUP(A615,Table3[#All],3,FALSE)</f>
        <v>IT</v>
      </c>
      <c r="D615" s="2">
        <f>VLOOKUP(A615,Table3[#All],4,FALSE)</f>
        <v>26</v>
      </c>
      <c r="E615" s="2" t="str">
        <f>VLOOKUP(A615,Table3[#All],5,FALSE)</f>
        <v>Female</v>
      </c>
      <c r="F615" s="2">
        <f>VLOOKUP(A615,Table3[#All],6,FALSE)</f>
        <v>5</v>
      </c>
      <c r="G615" s="2">
        <f>VLOOKUP(A615,Table3[#All],7,FALSE)</f>
        <v>56972</v>
      </c>
      <c r="H615" s="2">
        <f>VLOOKUP(A615,Table3[#All],8,FALSE)</f>
        <v>13</v>
      </c>
      <c r="I615" s="2">
        <f>VLOOKUP(A615,Table3[#All],9,FALSE)</f>
        <v>50</v>
      </c>
      <c r="J615" s="2">
        <f>VLOOKUP(A615,Table3[#All],10,FALSE)</f>
        <v>2</v>
      </c>
      <c r="K615" s="2">
        <f>VLOOKUP(A615,Table3[#All],11,FALSE)</f>
        <v>89</v>
      </c>
      <c r="L615" s="2" t="str">
        <f>VLOOKUP(A615,Table3[#All],12,FALSE)</f>
        <v>Bangalore</v>
      </c>
      <c r="M615" s="2" t="str">
        <f t="shared" si="9"/>
        <v>Not Eligible</v>
      </c>
    </row>
    <row r="616" spans="1:13" x14ac:dyDescent="0.25">
      <c r="A616" s="6" t="s">
        <v>799</v>
      </c>
      <c r="B616" s="2" t="str">
        <f>VLOOKUP(A616,Table3[#All],2,FALSE)</f>
        <v>Ramesh</v>
      </c>
      <c r="C616" s="2" t="str">
        <f>VLOOKUP(A616,Table3[#All],3,FALSE)</f>
        <v>Finance</v>
      </c>
      <c r="D616" s="2">
        <f>VLOOKUP(A616,Table3[#All],4,FALSE)</f>
        <v>30</v>
      </c>
      <c r="E616" s="2" t="str">
        <f>VLOOKUP(A616,Table3[#All],5,FALSE)</f>
        <v>Male</v>
      </c>
      <c r="F616" s="2">
        <f>VLOOKUP(A616,Table3[#All],6,FALSE)</f>
        <v>6</v>
      </c>
      <c r="G616" s="2">
        <f>VLOOKUP(A616,Table3[#All],7,FALSE)</f>
        <v>56977</v>
      </c>
      <c r="H616" s="2">
        <f>VLOOKUP(A616,Table3[#All],8,FALSE)</f>
        <v>11</v>
      </c>
      <c r="I616" s="2">
        <f>VLOOKUP(A616,Table3[#All],9,FALSE)</f>
        <v>37</v>
      </c>
      <c r="J616" s="2">
        <f>VLOOKUP(A616,Table3[#All],10,FALSE)</f>
        <v>3</v>
      </c>
      <c r="K616" s="2">
        <f>VLOOKUP(A616,Table3[#All],11,FALSE)</f>
        <v>95</v>
      </c>
      <c r="L616" s="2" t="str">
        <f>VLOOKUP(A616,Table3[#All],12,FALSE)</f>
        <v>Mumbai</v>
      </c>
      <c r="M616" s="2" t="str">
        <f t="shared" si="9"/>
        <v>Eligible</v>
      </c>
    </row>
    <row r="617" spans="1:13" hidden="1" x14ac:dyDescent="0.25">
      <c r="A617" s="5" t="s">
        <v>352</v>
      </c>
      <c r="B617" s="2" t="str">
        <f>VLOOKUP(A617,Table3[#All],2,FALSE)</f>
        <v>Anitha</v>
      </c>
      <c r="C617" s="2" t="str">
        <f>VLOOKUP(A617,Table3[#All],3,FALSE)</f>
        <v>Finance</v>
      </c>
      <c r="D617" s="2">
        <f>VLOOKUP(A617,Table3[#All],4,FALSE)</f>
        <v>32</v>
      </c>
      <c r="E617" s="2" t="str">
        <f>VLOOKUP(A617,Table3[#All],5,FALSE)</f>
        <v>Female</v>
      </c>
      <c r="F617" s="2">
        <f>VLOOKUP(A617,Table3[#All],6,FALSE)</f>
        <v>7</v>
      </c>
      <c r="G617" s="2">
        <f>VLOOKUP(A617,Table3[#All],7,FALSE)</f>
        <v>57164</v>
      </c>
      <c r="H617" s="2">
        <f>VLOOKUP(A617,Table3[#All],8,FALSE)</f>
        <v>5</v>
      </c>
      <c r="I617" s="2">
        <f>VLOOKUP(A617,Table3[#All],9,FALSE)</f>
        <v>45</v>
      </c>
      <c r="J617" s="2">
        <f>VLOOKUP(A617,Table3[#All],10,FALSE)</f>
        <v>1</v>
      </c>
      <c r="K617" s="2">
        <f>VLOOKUP(A617,Table3[#All],11,FALSE)</f>
        <v>94</v>
      </c>
      <c r="L617" s="2" t="str">
        <f>VLOOKUP(A617,Table3[#All],12,FALSE)</f>
        <v>Delhi</v>
      </c>
      <c r="M617" s="2" t="str">
        <f t="shared" si="9"/>
        <v>Not Eligible</v>
      </c>
    </row>
    <row r="618" spans="1:13" hidden="1" x14ac:dyDescent="0.25">
      <c r="A618" s="5" t="s">
        <v>568</v>
      </c>
      <c r="B618" s="2" t="str">
        <f>VLOOKUP(A618,Table3[#All],2,FALSE)</f>
        <v>Karthik</v>
      </c>
      <c r="C618" s="2" t="str">
        <f>VLOOKUP(A618,Table3[#All],3,FALSE)</f>
        <v>Finance</v>
      </c>
      <c r="D618" s="2">
        <f>VLOOKUP(A618,Table3[#All],4,FALSE)</f>
        <v>33</v>
      </c>
      <c r="E618" s="2" t="str">
        <f>VLOOKUP(A618,Table3[#All],5,FALSE)</f>
        <v>Female</v>
      </c>
      <c r="F618" s="2">
        <f>VLOOKUP(A618,Table3[#All],6,FALSE)</f>
        <v>14</v>
      </c>
      <c r="G618" s="2">
        <f>VLOOKUP(A618,Table3[#All],7,FALSE)</f>
        <v>57267</v>
      </c>
      <c r="H618" s="2">
        <f>VLOOKUP(A618,Table3[#All],8,FALSE)</f>
        <v>9</v>
      </c>
      <c r="I618" s="2">
        <f>VLOOKUP(A618,Table3[#All],9,FALSE)</f>
        <v>35</v>
      </c>
      <c r="J618" s="2">
        <f>VLOOKUP(A618,Table3[#All],10,FALSE)</f>
        <v>5</v>
      </c>
      <c r="K618" s="2">
        <f>VLOOKUP(A618,Table3[#All],11,FALSE)</f>
        <v>96</v>
      </c>
      <c r="L618" s="2" t="str">
        <f>VLOOKUP(A618,Table3[#All],12,FALSE)</f>
        <v>Bangalore</v>
      </c>
      <c r="M618" s="2" t="str">
        <f t="shared" si="9"/>
        <v>Eligible</v>
      </c>
    </row>
    <row r="619" spans="1:13" hidden="1" x14ac:dyDescent="0.25">
      <c r="A619" s="5" t="s">
        <v>1012</v>
      </c>
      <c r="B619" s="2" t="str">
        <f>VLOOKUP(A619,Table3[#All],2,FALSE)</f>
        <v>Vijay</v>
      </c>
      <c r="C619" s="2" t="str">
        <f>VLOOKUP(A619,Table3[#All],3,FALSE)</f>
        <v>Sales</v>
      </c>
      <c r="D619" s="2">
        <f>VLOOKUP(A619,Table3[#All],4,FALSE)</f>
        <v>40</v>
      </c>
      <c r="E619" s="2" t="str">
        <f>VLOOKUP(A619,Table3[#All],5,FALSE)</f>
        <v>Male</v>
      </c>
      <c r="F619" s="2">
        <f>VLOOKUP(A619,Table3[#All],6,FALSE)</f>
        <v>11</v>
      </c>
      <c r="G619" s="2">
        <f>VLOOKUP(A619,Table3[#All],7,FALSE)</f>
        <v>57298</v>
      </c>
      <c r="H619" s="2">
        <f>VLOOKUP(A619,Table3[#All],8,FALSE)</f>
        <v>8</v>
      </c>
      <c r="I619" s="2">
        <f>VLOOKUP(A619,Table3[#All],9,FALSE)</f>
        <v>36</v>
      </c>
      <c r="J619" s="2">
        <f>VLOOKUP(A619,Table3[#All],10,FALSE)</f>
        <v>3</v>
      </c>
      <c r="K619" s="2">
        <f>VLOOKUP(A619,Table3[#All],11,FALSE)</f>
        <v>85</v>
      </c>
      <c r="L619" s="2" t="str">
        <f>VLOOKUP(A619,Table3[#All],12,FALSE)</f>
        <v>Chennai</v>
      </c>
      <c r="M619" s="2" t="str">
        <f t="shared" si="9"/>
        <v>Not Eligible</v>
      </c>
    </row>
    <row r="620" spans="1:13" x14ac:dyDescent="0.25">
      <c r="A620" s="5" t="s">
        <v>798</v>
      </c>
      <c r="B620" s="2" t="str">
        <f>VLOOKUP(A620,Table3[#All],2,FALSE)</f>
        <v>Priya</v>
      </c>
      <c r="C620" s="2" t="str">
        <f>VLOOKUP(A620,Table3[#All],3,FALSE)</f>
        <v>HR</v>
      </c>
      <c r="D620" s="2">
        <f>VLOOKUP(A620,Table3[#All],4,FALSE)</f>
        <v>24</v>
      </c>
      <c r="E620" s="2" t="str">
        <f>VLOOKUP(A620,Table3[#All],5,FALSE)</f>
        <v>Female</v>
      </c>
      <c r="F620" s="2">
        <f>VLOOKUP(A620,Table3[#All],6,FALSE)</f>
        <v>10</v>
      </c>
      <c r="G620" s="2">
        <f>VLOOKUP(A620,Table3[#All],7,FALSE)</f>
        <v>57445</v>
      </c>
      <c r="H620" s="2">
        <f>VLOOKUP(A620,Table3[#All],8,FALSE)</f>
        <v>13</v>
      </c>
      <c r="I620" s="2">
        <f>VLOOKUP(A620,Table3[#All],9,FALSE)</f>
        <v>39</v>
      </c>
      <c r="J620" s="2">
        <f>VLOOKUP(A620,Table3[#All],10,FALSE)</f>
        <v>5</v>
      </c>
      <c r="K620" s="2">
        <f>VLOOKUP(A620,Table3[#All],11,FALSE)</f>
        <v>95</v>
      </c>
      <c r="L620" s="2" t="str">
        <f>VLOOKUP(A620,Table3[#All],12,FALSE)</f>
        <v>Bangalore</v>
      </c>
      <c r="M620" s="2" t="str">
        <f t="shared" si="9"/>
        <v>Eligible</v>
      </c>
    </row>
    <row r="621" spans="1:13" hidden="1" x14ac:dyDescent="0.25">
      <c r="A621" s="6" t="s">
        <v>277</v>
      </c>
      <c r="B621" s="2" t="str">
        <f>VLOOKUP(A621,Table3[#All],2,FALSE)</f>
        <v>Kavya</v>
      </c>
      <c r="C621" s="2" t="str">
        <f>VLOOKUP(A621,Table3[#All],3,FALSE)</f>
        <v>IT</v>
      </c>
      <c r="D621" s="2">
        <f>VLOOKUP(A621,Table3[#All],4,FALSE)</f>
        <v>22</v>
      </c>
      <c r="E621" s="2" t="str">
        <f>VLOOKUP(A621,Table3[#All],5,FALSE)</f>
        <v>Male</v>
      </c>
      <c r="F621" s="2">
        <f>VLOOKUP(A621,Table3[#All],6,FALSE)</f>
        <v>8</v>
      </c>
      <c r="G621" s="2">
        <f>VLOOKUP(A621,Table3[#All],7,FALSE)</f>
        <v>57478</v>
      </c>
      <c r="H621" s="2">
        <f>VLOOKUP(A621,Table3[#All],8,FALSE)</f>
        <v>7</v>
      </c>
      <c r="I621" s="2">
        <f>VLOOKUP(A621,Table3[#All],9,FALSE)</f>
        <v>45</v>
      </c>
      <c r="J621" s="2">
        <f>VLOOKUP(A621,Table3[#All],10,FALSE)</f>
        <v>4</v>
      </c>
      <c r="K621" s="2">
        <f>VLOOKUP(A621,Table3[#All],11,FALSE)</f>
        <v>88</v>
      </c>
      <c r="L621" s="2" t="str">
        <f>VLOOKUP(A621,Table3[#All],12,FALSE)</f>
        <v>Chennai</v>
      </c>
      <c r="M621" s="2" t="str">
        <f t="shared" si="9"/>
        <v>Not Eligible</v>
      </c>
    </row>
    <row r="622" spans="1:13" hidden="1" x14ac:dyDescent="0.25">
      <c r="A622" s="5" t="s">
        <v>624</v>
      </c>
      <c r="B622" s="2" t="str">
        <f>VLOOKUP(A622,Table3[#All],2,FALSE)</f>
        <v>Ajay</v>
      </c>
      <c r="C622" s="2" t="str">
        <f>VLOOKUP(A622,Table3[#All],3,FALSE)</f>
        <v>HR</v>
      </c>
      <c r="D622" s="2">
        <f>VLOOKUP(A622,Table3[#All],4,FALSE)</f>
        <v>36</v>
      </c>
      <c r="E622" s="2" t="str">
        <f>VLOOKUP(A622,Table3[#All],5,FALSE)</f>
        <v>Male</v>
      </c>
      <c r="F622" s="2">
        <f>VLOOKUP(A622,Table3[#All],6,FALSE)</f>
        <v>8</v>
      </c>
      <c r="G622" s="2">
        <f>VLOOKUP(A622,Table3[#All],7,FALSE)</f>
        <v>57510</v>
      </c>
      <c r="H622" s="2">
        <f>VLOOKUP(A622,Table3[#All],8,FALSE)</f>
        <v>8</v>
      </c>
      <c r="I622" s="2">
        <f>VLOOKUP(A622,Table3[#All],9,FALSE)</f>
        <v>40</v>
      </c>
      <c r="J622" s="2">
        <f>VLOOKUP(A622,Table3[#All],10,FALSE)</f>
        <v>4</v>
      </c>
      <c r="K622" s="2">
        <f>VLOOKUP(A622,Table3[#All],11,FALSE)</f>
        <v>97</v>
      </c>
      <c r="L622" s="2" t="str">
        <f>VLOOKUP(A622,Table3[#All],12,FALSE)</f>
        <v>Mumbai</v>
      </c>
      <c r="M622" s="2" t="str">
        <f t="shared" si="9"/>
        <v>Eligible</v>
      </c>
    </row>
    <row r="623" spans="1:13" hidden="1" x14ac:dyDescent="0.25">
      <c r="A623" s="5" t="s">
        <v>152</v>
      </c>
      <c r="B623" s="2" t="str">
        <f>VLOOKUP(A623,Table3[#All],2,FALSE)</f>
        <v>Divya</v>
      </c>
      <c r="C623" s="2" t="str">
        <f>VLOOKUP(A623,Table3[#All],3,FALSE)</f>
        <v>Finance</v>
      </c>
      <c r="D623" s="2">
        <f>VLOOKUP(A623,Table3[#All],4,FALSE)</f>
        <v>35</v>
      </c>
      <c r="E623" s="2" t="str">
        <f>VLOOKUP(A623,Table3[#All],5,FALSE)</f>
        <v>Female</v>
      </c>
      <c r="F623" s="2">
        <f>VLOOKUP(A623,Table3[#All],6,FALSE)</f>
        <v>10</v>
      </c>
      <c r="G623" s="2">
        <f>VLOOKUP(A623,Table3[#All],7,FALSE)</f>
        <v>57547</v>
      </c>
      <c r="H623" s="2">
        <f>VLOOKUP(A623,Table3[#All],8,FALSE)</f>
        <v>8</v>
      </c>
      <c r="I623" s="2">
        <f>VLOOKUP(A623,Table3[#All],9,FALSE)</f>
        <v>37</v>
      </c>
      <c r="J623" s="2">
        <f>VLOOKUP(A623,Table3[#All],10,FALSE)</f>
        <v>5</v>
      </c>
      <c r="K623" s="2">
        <f>VLOOKUP(A623,Table3[#All],11,FALSE)</f>
        <v>97</v>
      </c>
      <c r="L623" s="2" t="str">
        <f>VLOOKUP(A623,Table3[#All],12,FALSE)</f>
        <v>Hyderabad</v>
      </c>
      <c r="M623" s="2" t="str">
        <f t="shared" si="9"/>
        <v>Eligible</v>
      </c>
    </row>
    <row r="624" spans="1:13" x14ac:dyDescent="0.25">
      <c r="A624" s="5" t="s">
        <v>218</v>
      </c>
      <c r="B624" s="2" t="str">
        <f>VLOOKUP(A624,Table3[#All],2,FALSE)</f>
        <v>Hari</v>
      </c>
      <c r="C624" s="2" t="str">
        <f>VLOOKUP(A624,Table3[#All],3,FALSE)</f>
        <v>Finance</v>
      </c>
      <c r="D624" s="2">
        <f>VLOOKUP(A624,Table3[#All],4,FALSE)</f>
        <v>36</v>
      </c>
      <c r="E624" s="2" t="str">
        <f>VLOOKUP(A624,Table3[#All],5,FALSE)</f>
        <v>Male</v>
      </c>
      <c r="F624" s="2">
        <f>VLOOKUP(A624,Table3[#All],6,FALSE)</f>
        <v>15</v>
      </c>
      <c r="G624" s="2">
        <f>VLOOKUP(A624,Table3[#All],7,FALSE)</f>
        <v>57642</v>
      </c>
      <c r="H624" s="2">
        <f>VLOOKUP(A624,Table3[#All],8,FALSE)</f>
        <v>13</v>
      </c>
      <c r="I624" s="2">
        <f>VLOOKUP(A624,Table3[#All],9,FALSE)</f>
        <v>47</v>
      </c>
      <c r="J624" s="2">
        <f>VLOOKUP(A624,Table3[#All],10,FALSE)</f>
        <v>5</v>
      </c>
      <c r="K624" s="2">
        <f>VLOOKUP(A624,Table3[#All],11,FALSE)</f>
        <v>93</v>
      </c>
      <c r="L624" s="2" t="str">
        <f>VLOOKUP(A624,Table3[#All],12,FALSE)</f>
        <v>Mumbai</v>
      </c>
      <c r="M624" s="2" t="str">
        <f t="shared" si="9"/>
        <v>Not Eligible</v>
      </c>
    </row>
    <row r="625" spans="1:13" hidden="1" x14ac:dyDescent="0.25">
      <c r="A625" s="5" t="s">
        <v>898</v>
      </c>
      <c r="B625" s="2" t="str">
        <f>VLOOKUP(A625,Table3[#All],2,FALSE)</f>
        <v>Nisha</v>
      </c>
      <c r="C625" s="2" t="str">
        <f>VLOOKUP(A625,Table3[#All],3,FALSE)</f>
        <v>Finance</v>
      </c>
      <c r="D625" s="2">
        <f>VLOOKUP(A625,Table3[#All],4,FALSE)</f>
        <v>26</v>
      </c>
      <c r="E625" s="2" t="str">
        <f>VLOOKUP(A625,Table3[#All],5,FALSE)</f>
        <v>Female</v>
      </c>
      <c r="F625" s="2">
        <f>VLOOKUP(A625,Table3[#All],6,FALSE)</f>
        <v>11</v>
      </c>
      <c r="G625" s="2">
        <f>VLOOKUP(A625,Table3[#All],7,FALSE)</f>
        <v>57734</v>
      </c>
      <c r="H625" s="2">
        <f>VLOOKUP(A625,Table3[#All],8,FALSE)</f>
        <v>5</v>
      </c>
      <c r="I625" s="2">
        <f>VLOOKUP(A625,Table3[#All],9,FALSE)</f>
        <v>49</v>
      </c>
      <c r="J625" s="2">
        <f>VLOOKUP(A625,Table3[#All],10,FALSE)</f>
        <v>3</v>
      </c>
      <c r="K625" s="2">
        <f>VLOOKUP(A625,Table3[#All],11,FALSE)</f>
        <v>90</v>
      </c>
      <c r="L625" s="2" t="str">
        <f>VLOOKUP(A625,Table3[#All],12,FALSE)</f>
        <v>Delhi</v>
      </c>
      <c r="M625" s="2" t="str">
        <f t="shared" si="9"/>
        <v>Not Eligible</v>
      </c>
    </row>
    <row r="626" spans="1:13" x14ac:dyDescent="0.25">
      <c r="A626" s="6" t="s">
        <v>933</v>
      </c>
      <c r="B626" s="2" t="str">
        <f>VLOOKUP(A626,Table3[#All],2,FALSE)</f>
        <v>Nisha</v>
      </c>
      <c r="C626" s="2" t="str">
        <f>VLOOKUP(A626,Table3[#All],3,FALSE)</f>
        <v>Finance</v>
      </c>
      <c r="D626" s="2">
        <f>VLOOKUP(A626,Table3[#All],4,FALSE)</f>
        <v>22</v>
      </c>
      <c r="E626" s="2" t="str">
        <f>VLOOKUP(A626,Table3[#All],5,FALSE)</f>
        <v>Male</v>
      </c>
      <c r="F626" s="2">
        <f>VLOOKUP(A626,Table3[#All],6,FALSE)</f>
        <v>6</v>
      </c>
      <c r="G626" s="2">
        <f>VLOOKUP(A626,Table3[#All],7,FALSE)</f>
        <v>57781</v>
      </c>
      <c r="H626" s="2">
        <f>VLOOKUP(A626,Table3[#All],8,FALSE)</f>
        <v>11</v>
      </c>
      <c r="I626" s="2">
        <f>VLOOKUP(A626,Table3[#All],9,FALSE)</f>
        <v>48</v>
      </c>
      <c r="J626" s="2">
        <f>VLOOKUP(A626,Table3[#All],10,FALSE)</f>
        <v>5</v>
      </c>
      <c r="K626" s="2">
        <f>VLOOKUP(A626,Table3[#All],11,FALSE)</f>
        <v>99</v>
      </c>
      <c r="L626" s="2" t="str">
        <f>VLOOKUP(A626,Table3[#All],12,FALSE)</f>
        <v>Delhi</v>
      </c>
      <c r="M626" s="2" t="str">
        <f t="shared" si="9"/>
        <v>Eligible</v>
      </c>
    </row>
    <row r="627" spans="1:13" hidden="1" x14ac:dyDescent="0.25">
      <c r="A627" s="5" t="s">
        <v>784</v>
      </c>
      <c r="B627" s="2" t="str">
        <f>VLOOKUP(A627,Table3[#All],2,FALSE)</f>
        <v>Deepa</v>
      </c>
      <c r="C627" s="2" t="str">
        <f>VLOOKUP(A627,Table3[#All],3,FALSE)</f>
        <v>Sales</v>
      </c>
      <c r="D627" s="2">
        <f>VLOOKUP(A627,Table3[#All],4,FALSE)</f>
        <v>28</v>
      </c>
      <c r="E627" s="2" t="str">
        <f>VLOOKUP(A627,Table3[#All],5,FALSE)</f>
        <v>Male</v>
      </c>
      <c r="F627" s="2">
        <f>VLOOKUP(A627,Table3[#All],6,FALSE)</f>
        <v>13</v>
      </c>
      <c r="G627" s="2">
        <f>VLOOKUP(A627,Table3[#All],7,FALSE)</f>
        <v>57958</v>
      </c>
      <c r="H627" s="2">
        <f>VLOOKUP(A627,Table3[#All],8,FALSE)</f>
        <v>5</v>
      </c>
      <c r="I627" s="2">
        <f>VLOOKUP(A627,Table3[#All],9,FALSE)</f>
        <v>45</v>
      </c>
      <c r="J627" s="2">
        <f>VLOOKUP(A627,Table3[#All],10,FALSE)</f>
        <v>4</v>
      </c>
      <c r="K627" s="2">
        <f>VLOOKUP(A627,Table3[#All],11,FALSE)</f>
        <v>94</v>
      </c>
      <c r="L627" s="2" t="str">
        <f>VLOOKUP(A627,Table3[#All],12,FALSE)</f>
        <v>Pune</v>
      </c>
      <c r="M627" s="2" t="str">
        <f t="shared" si="9"/>
        <v>Not Eligible</v>
      </c>
    </row>
    <row r="628" spans="1:13" x14ac:dyDescent="0.25">
      <c r="A628" s="5" t="s">
        <v>368</v>
      </c>
      <c r="B628" s="2" t="str">
        <f>VLOOKUP(A628,Table3[#All],2,FALSE)</f>
        <v>Priya</v>
      </c>
      <c r="C628" s="2" t="str">
        <f>VLOOKUP(A628,Table3[#All],3,FALSE)</f>
        <v>Sales</v>
      </c>
      <c r="D628" s="2">
        <f>VLOOKUP(A628,Table3[#All],4,FALSE)</f>
        <v>27</v>
      </c>
      <c r="E628" s="2" t="str">
        <f>VLOOKUP(A628,Table3[#All],5,FALSE)</f>
        <v>Female</v>
      </c>
      <c r="F628" s="2">
        <f>VLOOKUP(A628,Table3[#All],6,FALSE)</f>
        <v>11</v>
      </c>
      <c r="G628" s="2">
        <f>VLOOKUP(A628,Table3[#All],7,FALSE)</f>
        <v>57960</v>
      </c>
      <c r="H628" s="2">
        <f>VLOOKUP(A628,Table3[#All],8,FALSE)</f>
        <v>13</v>
      </c>
      <c r="I628" s="2">
        <f>VLOOKUP(A628,Table3[#All],9,FALSE)</f>
        <v>39</v>
      </c>
      <c r="J628" s="2">
        <f>VLOOKUP(A628,Table3[#All],10,FALSE)</f>
        <v>1</v>
      </c>
      <c r="K628" s="2">
        <f>VLOOKUP(A628,Table3[#All],11,FALSE)</f>
        <v>95</v>
      </c>
      <c r="L628" s="2" t="str">
        <f>VLOOKUP(A628,Table3[#All],12,FALSE)</f>
        <v>Hyderabad</v>
      </c>
      <c r="M628" s="2" t="str">
        <f t="shared" si="9"/>
        <v>Eligible</v>
      </c>
    </row>
    <row r="629" spans="1:13" hidden="1" x14ac:dyDescent="0.25">
      <c r="A629" s="6" t="s">
        <v>671</v>
      </c>
      <c r="B629" s="2" t="str">
        <f>VLOOKUP(A629,Table3[#All],2,FALSE)</f>
        <v>Ravi</v>
      </c>
      <c r="C629" s="2" t="str">
        <f>VLOOKUP(A629,Table3[#All],3,FALSE)</f>
        <v>IT</v>
      </c>
      <c r="D629" s="2">
        <f>VLOOKUP(A629,Table3[#All],4,FALSE)</f>
        <v>26</v>
      </c>
      <c r="E629" s="2" t="str">
        <f>VLOOKUP(A629,Table3[#All],5,FALSE)</f>
        <v>Male</v>
      </c>
      <c r="F629" s="2">
        <f>VLOOKUP(A629,Table3[#All],6,FALSE)</f>
        <v>2</v>
      </c>
      <c r="G629" s="2">
        <f>VLOOKUP(A629,Table3[#All],7,FALSE)</f>
        <v>50872</v>
      </c>
      <c r="H629" s="2">
        <f>VLOOKUP(A629,Table3[#All],8,FALSE)</f>
        <v>15</v>
      </c>
      <c r="I629" s="2">
        <f>VLOOKUP(A629,Table3[#All],9,FALSE)</f>
        <v>43</v>
      </c>
      <c r="J629" s="2">
        <f>VLOOKUP(A629,Table3[#All],10,FALSE)</f>
        <v>2</v>
      </c>
      <c r="K629" s="2">
        <f>VLOOKUP(A629,Table3[#All],11,FALSE)</f>
        <v>98</v>
      </c>
      <c r="L629" s="2" t="str">
        <f>VLOOKUP(A629,Table3[#All],12,FALSE)</f>
        <v>Mumbai</v>
      </c>
      <c r="M629" s="2" t="str">
        <f t="shared" si="9"/>
        <v>Eligible</v>
      </c>
    </row>
    <row r="630" spans="1:13" hidden="1" x14ac:dyDescent="0.25">
      <c r="A630" s="5" t="s">
        <v>672</v>
      </c>
      <c r="B630" s="2" t="str">
        <f>VLOOKUP(A630,Table3[#All],2,FALSE)</f>
        <v>Lakshmi</v>
      </c>
      <c r="C630" s="2" t="str">
        <f>VLOOKUP(A630,Table3[#All],3,FALSE)</f>
        <v>Sales</v>
      </c>
      <c r="D630" s="2">
        <f>VLOOKUP(A630,Table3[#All],4,FALSE)</f>
        <v>23</v>
      </c>
      <c r="E630" s="2" t="str">
        <f>VLOOKUP(A630,Table3[#All],5,FALSE)</f>
        <v>Male</v>
      </c>
      <c r="F630" s="2">
        <f>VLOOKUP(A630,Table3[#All],6,FALSE)</f>
        <v>2</v>
      </c>
      <c r="G630" s="2">
        <f>VLOOKUP(A630,Table3[#All],7,FALSE)</f>
        <v>73954</v>
      </c>
      <c r="H630" s="2">
        <f>VLOOKUP(A630,Table3[#All],8,FALSE)</f>
        <v>9</v>
      </c>
      <c r="I630" s="2">
        <f>VLOOKUP(A630,Table3[#All],9,FALSE)</f>
        <v>41</v>
      </c>
      <c r="J630" s="2">
        <f>VLOOKUP(A630,Table3[#All],10,FALSE)</f>
        <v>3</v>
      </c>
      <c r="K630" s="2">
        <f>VLOOKUP(A630,Table3[#All],11,FALSE)</f>
        <v>100</v>
      </c>
      <c r="L630" s="2" t="str">
        <f>VLOOKUP(A630,Table3[#All],12,FALSE)</f>
        <v>Hyderabad</v>
      </c>
      <c r="M630" s="2" t="str">
        <f t="shared" si="9"/>
        <v>Eligible</v>
      </c>
    </row>
    <row r="631" spans="1:13" x14ac:dyDescent="0.25">
      <c r="A631" s="5" t="s">
        <v>394</v>
      </c>
      <c r="B631" s="2" t="str">
        <f>VLOOKUP(A631,Table3[#All],2,FALSE)</f>
        <v>Meena</v>
      </c>
      <c r="C631" s="2" t="str">
        <f>VLOOKUP(A631,Table3[#All],3,FALSE)</f>
        <v>Finance</v>
      </c>
      <c r="D631" s="2">
        <f>VLOOKUP(A631,Table3[#All],4,FALSE)</f>
        <v>40</v>
      </c>
      <c r="E631" s="2" t="str">
        <f>VLOOKUP(A631,Table3[#All],5,FALSE)</f>
        <v>Male</v>
      </c>
      <c r="F631" s="2">
        <f>VLOOKUP(A631,Table3[#All],6,FALSE)</f>
        <v>10</v>
      </c>
      <c r="G631" s="2">
        <f>VLOOKUP(A631,Table3[#All],7,FALSE)</f>
        <v>57993</v>
      </c>
      <c r="H631" s="2">
        <f>VLOOKUP(A631,Table3[#All],8,FALSE)</f>
        <v>13</v>
      </c>
      <c r="I631" s="2">
        <f>VLOOKUP(A631,Table3[#All],9,FALSE)</f>
        <v>50</v>
      </c>
      <c r="J631" s="2">
        <f>VLOOKUP(A631,Table3[#All],10,FALSE)</f>
        <v>4</v>
      </c>
      <c r="K631" s="2">
        <f>VLOOKUP(A631,Table3[#All],11,FALSE)</f>
        <v>96</v>
      </c>
      <c r="L631" s="2" t="str">
        <f>VLOOKUP(A631,Table3[#All],12,FALSE)</f>
        <v>Mumbai</v>
      </c>
      <c r="M631" s="2" t="str">
        <f t="shared" si="9"/>
        <v>Eligible</v>
      </c>
    </row>
    <row r="632" spans="1:13" hidden="1" x14ac:dyDescent="0.25">
      <c r="A632" s="6" t="s">
        <v>145</v>
      </c>
      <c r="B632" s="2" t="str">
        <f>VLOOKUP(A632,Table3[#All],2,FALSE)</f>
        <v>Divya</v>
      </c>
      <c r="C632" s="2" t="str">
        <f>VLOOKUP(A632,Table3[#All],3,FALSE)</f>
        <v>Finance</v>
      </c>
      <c r="D632" s="2">
        <f>VLOOKUP(A632,Table3[#All],4,FALSE)</f>
        <v>37</v>
      </c>
      <c r="E632" s="2" t="str">
        <f>VLOOKUP(A632,Table3[#All],5,FALSE)</f>
        <v>Female</v>
      </c>
      <c r="F632" s="2">
        <f>VLOOKUP(A632,Table3[#All],6,FALSE)</f>
        <v>9</v>
      </c>
      <c r="G632" s="2">
        <f>VLOOKUP(A632,Table3[#All],7,FALSE)</f>
        <v>58112</v>
      </c>
      <c r="H632" s="2">
        <f>VLOOKUP(A632,Table3[#All],8,FALSE)</f>
        <v>14</v>
      </c>
      <c r="I632" s="2">
        <f>VLOOKUP(A632,Table3[#All],9,FALSE)</f>
        <v>45</v>
      </c>
      <c r="J632" s="2">
        <f>VLOOKUP(A632,Table3[#All],10,FALSE)</f>
        <v>1</v>
      </c>
      <c r="K632" s="2">
        <f>VLOOKUP(A632,Table3[#All],11,FALSE)</f>
        <v>90</v>
      </c>
      <c r="L632" s="2" t="str">
        <f>VLOOKUP(A632,Table3[#All],12,FALSE)</f>
        <v>Chennai</v>
      </c>
      <c r="M632" s="2" t="str">
        <f t="shared" si="9"/>
        <v>Not Eligible</v>
      </c>
    </row>
    <row r="633" spans="1:13" hidden="1" x14ac:dyDescent="0.25">
      <c r="A633" s="6" t="s">
        <v>285</v>
      </c>
      <c r="B633" s="2" t="str">
        <f>VLOOKUP(A633,Table3[#All],2,FALSE)</f>
        <v>Lakshmi</v>
      </c>
      <c r="C633" s="2" t="str">
        <f>VLOOKUP(A633,Table3[#All],3,FALSE)</f>
        <v>Finance</v>
      </c>
      <c r="D633" s="2">
        <f>VLOOKUP(A633,Table3[#All],4,FALSE)</f>
        <v>24</v>
      </c>
      <c r="E633" s="2" t="str">
        <f>VLOOKUP(A633,Table3[#All],5,FALSE)</f>
        <v>Male</v>
      </c>
      <c r="F633" s="2">
        <f>VLOOKUP(A633,Table3[#All],6,FALSE)</f>
        <v>10</v>
      </c>
      <c r="G633" s="2">
        <f>VLOOKUP(A633,Table3[#All],7,FALSE)</f>
        <v>58118</v>
      </c>
      <c r="H633" s="2">
        <f>VLOOKUP(A633,Table3[#All],8,FALSE)</f>
        <v>11</v>
      </c>
      <c r="I633" s="2">
        <f>VLOOKUP(A633,Table3[#All],9,FALSE)</f>
        <v>48</v>
      </c>
      <c r="J633" s="2">
        <f>VLOOKUP(A633,Table3[#All],10,FALSE)</f>
        <v>2</v>
      </c>
      <c r="K633" s="2">
        <f>VLOOKUP(A633,Table3[#All],11,FALSE)</f>
        <v>89</v>
      </c>
      <c r="L633" s="2" t="str">
        <f>VLOOKUP(A633,Table3[#All],12,FALSE)</f>
        <v>Hyderabad</v>
      </c>
      <c r="M633" s="2" t="str">
        <f t="shared" si="9"/>
        <v>Not Eligible</v>
      </c>
    </row>
    <row r="634" spans="1:13" hidden="1" x14ac:dyDescent="0.25">
      <c r="A634" s="6" t="s">
        <v>871</v>
      </c>
      <c r="B634" s="2" t="str">
        <f>VLOOKUP(A634,Table3[#All],2,FALSE)</f>
        <v>Manoj</v>
      </c>
      <c r="C634" s="2" t="str">
        <f>VLOOKUP(A634,Table3[#All],3,FALSE)</f>
        <v>IT</v>
      </c>
      <c r="D634" s="2">
        <f>VLOOKUP(A634,Table3[#All],4,FALSE)</f>
        <v>40</v>
      </c>
      <c r="E634" s="2" t="str">
        <f>VLOOKUP(A634,Table3[#All],5,FALSE)</f>
        <v>Male</v>
      </c>
      <c r="F634" s="2">
        <f>VLOOKUP(A634,Table3[#All],6,FALSE)</f>
        <v>9</v>
      </c>
      <c r="G634" s="2">
        <f>VLOOKUP(A634,Table3[#All],7,FALSE)</f>
        <v>58225</v>
      </c>
      <c r="H634" s="2">
        <f>VLOOKUP(A634,Table3[#All],8,FALSE)</f>
        <v>3</v>
      </c>
      <c r="I634" s="2">
        <f>VLOOKUP(A634,Table3[#All],9,FALSE)</f>
        <v>47</v>
      </c>
      <c r="J634" s="2">
        <f>VLOOKUP(A634,Table3[#All],10,FALSE)</f>
        <v>2</v>
      </c>
      <c r="K634" s="2">
        <f>VLOOKUP(A634,Table3[#All],11,FALSE)</f>
        <v>88</v>
      </c>
      <c r="L634" s="2" t="str">
        <f>VLOOKUP(A634,Table3[#All],12,FALSE)</f>
        <v>Hyderabad</v>
      </c>
      <c r="M634" s="2" t="str">
        <f t="shared" si="9"/>
        <v>Not Eligible</v>
      </c>
    </row>
    <row r="635" spans="1:13" hidden="1" x14ac:dyDescent="0.25">
      <c r="A635" s="5" t="s">
        <v>444</v>
      </c>
      <c r="B635" s="2" t="str">
        <f>VLOOKUP(A635,Table3[#All],2,FALSE)</f>
        <v>Rekha</v>
      </c>
      <c r="C635" s="2" t="str">
        <f>VLOOKUP(A635,Table3[#All],3,FALSE)</f>
        <v>Finance</v>
      </c>
      <c r="D635" s="2">
        <f>VLOOKUP(A635,Table3[#All],4,FALSE)</f>
        <v>33</v>
      </c>
      <c r="E635" s="2" t="str">
        <f>VLOOKUP(A635,Table3[#All],5,FALSE)</f>
        <v>Female</v>
      </c>
      <c r="F635" s="2">
        <f>VLOOKUP(A635,Table3[#All],6,FALSE)</f>
        <v>13</v>
      </c>
      <c r="G635" s="2">
        <f>VLOOKUP(A635,Table3[#All],7,FALSE)</f>
        <v>58452</v>
      </c>
      <c r="H635" s="2">
        <f>VLOOKUP(A635,Table3[#All],8,FALSE)</f>
        <v>5</v>
      </c>
      <c r="I635" s="2">
        <f>VLOOKUP(A635,Table3[#All],9,FALSE)</f>
        <v>49</v>
      </c>
      <c r="J635" s="2">
        <f>VLOOKUP(A635,Table3[#All],10,FALSE)</f>
        <v>1</v>
      </c>
      <c r="K635" s="2">
        <f>VLOOKUP(A635,Table3[#All],11,FALSE)</f>
        <v>90</v>
      </c>
      <c r="L635" s="2" t="str">
        <f>VLOOKUP(A635,Table3[#All],12,FALSE)</f>
        <v>Mumbai</v>
      </c>
      <c r="M635" s="2" t="str">
        <f t="shared" si="9"/>
        <v>Not Eligible</v>
      </c>
    </row>
    <row r="636" spans="1:13" hidden="1" x14ac:dyDescent="0.25">
      <c r="A636" s="6" t="s">
        <v>985</v>
      </c>
      <c r="B636" s="2" t="str">
        <f>VLOOKUP(A636,Table3[#All],2,FALSE)</f>
        <v>Anitha</v>
      </c>
      <c r="C636" s="2" t="str">
        <f>VLOOKUP(A636,Table3[#All],3,FALSE)</f>
        <v>Finance</v>
      </c>
      <c r="D636" s="2">
        <f>VLOOKUP(A636,Table3[#All],4,FALSE)</f>
        <v>25</v>
      </c>
      <c r="E636" s="2" t="str">
        <f>VLOOKUP(A636,Table3[#All],5,FALSE)</f>
        <v>Male</v>
      </c>
      <c r="F636" s="2">
        <f>VLOOKUP(A636,Table3[#All],6,FALSE)</f>
        <v>11</v>
      </c>
      <c r="G636" s="2">
        <f>VLOOKUP(A636,Table3[#All],7,FALSE)</f>
        <v>58690</v>
      </c>
      <c r="H636" s="2">
        <f>VLOOKUP(A636,Table3[#All],8,FALSE)</f>
        <v>5</v>
      </c>
      <c r="I636" s="2">
        <f>VLOOKUP(A636,Table3[#All],9,FALSE)</f>
        <v>48</v>
      </c>
      <c r="J636" s="2">
        <f>VLOOKUP(A636,Table3[#All],10,FALSE)</f>
        <v>4</v>
      </c>
      <c r="K636" s="2">
        <f>VLOOKUP(A636,Table3[#All],11,FALSE)</f>
        <v>92</v>
      </c>
      <c r="L636" s="2" t="str">
        <f>VLOOKUP(A636,Table3[#All],12,FALSE)</f>
        <v>Bangalore</v>
      </c>
      <c r="M636" s="2" t="str">
        <f t="shared" si="9"/>
        <v>Not Eligible</v>
      </c>
    </row>
    <row r="637" spans="1:13" x14ac:dyDescent="0.25">
      <c r="A637" s="6" t="s">
        <v>483</v>
      </c>
      <c r="B637" s="2" t="str">
        <f>VLOOKUP(A637,Table3[#All],2,FALSE)</f>
        <v>Deepa</v>
      </c>
      <c r="C637" s="2" t="str">
        <f>VLOOKUP(A637,Table3[#All],3,FALSE)</f>
        <v>Sales</v>
      </c>
      <c r="D637" s="2">
        <f>VLOOKUP(A637,Table3[#All],4,FALSE)</f>
        <v>32</v>
      </c>
      <c r="E637" s="2" t="str">
        <f>VLOOKUP(A637,Table3[#All],5,FALSE)</f>
        <v>Female</v>
      </c>
      <c r="F637" s="2">
        <f>VLOOKUP(A637,Table3[#All],6,FALSE)</f>
        <v>6</v>
      </c>
      <c r="G637" s="2">
        <f>VLOOKUP(A637,Table3[#All],7,FALSE)</f>
        <v>58694</v>
      </c>
      <c r="H637" s="2">
        <f>VLOOKUP(A637,Table3[#All],8,FALSE)</f>
        <v>13</v>
      </c>
      <c r="I637" s="2">
        <f>VLOOKUP(A637,Table3[#All],9,FALSE)</f>
        <v>48</v>
      </c>
      <c r="J637" s="2">
        <f>VLOOKUP(A637,Table3[#All],10,FALSE)</f>
        <v>3</v>
      </c>
      <c r="K637" s="2">
        <f>VLOOKUP(A637,Table3[#All],11,FALSE)</f>
        <v>98</v>
      </c>
      <c r="L637" s="2" t="str">
        <f>VLOOKUP(A637,Table3[#All],12,FALSE)</f>
        <v>Delhi</v>
      </c>
      <c r="M637" s="2" t="str">
        <f t="shared" si="9"/>
        <v>Eligible</v>
      </c>
    </row>
    <row r="638" spans="1:13" hidden="1" x14ac:dyDescent="0.25">
      <c r="A638" s="6" t="s">
        <v>385</v>
      </c>
      <c r="B638" s="2" t="str">
        <f>VLOOKUP(A638,Table3[#All],2,FALSE)</f>
        <v>Divya</v>
      </c>
      <c r="C638" s="2" t="str">
        <f>VLOOKUP(A638,Table3[#All],3,FALSE)</f>
        <v>Sales</v>
      </c>
      <c r="D638" s="2">
        <f>VLOOKUP(A638,Table3[#All],4,FALSE)</f>
        <v>32</v>
      </c>
      <c r="E638" s="2" t="str">
        <f>VLOOKUP(A638,Table3[#All],5,FALSE)</f>
        <v>Male</v>
      </c>
      <c r="F638" s="2">
        <f>VLOOKUP(A638,Table3[#All],6,FALSE)</f>
        <v>13</v>
      </c>
      <c r="G638" s="2">
        <f>VLOOKUP(A638,Table3[#All],7,FALSE)</f>
        <v>58740</v>
      </c>
      <c r="H638" s="2">
        <f>VLOOKUP(A638,Table3[#All],8,FALSE)</f>
        <v>7</v>
      </c>
      <c r="I638" s="2">
        <f>VLOOKUP(A638,Table3[#All],9,FALSE)</f>
        <v>44</v>
      </c>
      <c r="J638" s="2">
        <f>VLOOKUP(A638,Table3[#All],10,FALSE)</f>
        <v>2</v>
      </c>
      <c r="K638" s="2">
        <f>VLOOKUP(A638,Table3[#All],11,FALSE)</f>
        <v>95</v>
      </c>
      <c r="L638" s="2" t="str">
        <f>VLOOKUP(A638,Table3[#All],12,FALSE)</f>
        <v>Pune</v>
      </c>
      <c r="M638" s="2" t="str">
        <f t="shared" si="9"/>
        <v>Eligible</v>
      </c>
    </row>
    <row r="639" spans="1:13" x14ac:dyDescent="0.25">
      <c r="A639" s="5" t="s">
        <v>610</v>
      </c>
      <c r="B639" s="2" t="str">
        <f>VLOOKUP(A639,Table3[#All],2,FALSE)</f>
        <v>Vijay</v>
      </c>
      <c r="C639" s="2" t="str">
        <f>VLOOKUP(A639,Table3[#All],3,FALSE)</f>
        <v>Sales</v>
      </c>
      <c r="D639" s="2">
        <f>VLOOKUP(A639,Table3[#All],4,FALSE)</f>
        <v>28</v>
      </c>
      <c r="E639" s="2" t="str">
        <f>VLOOKUP(A639,Table3[#All],5,FALSE)</f>
        <v>Male</v>
      </c>
      <c r="F639" s="2">
        <f>VLOOKUP(A639,Table3[#All],6,FALSE)</f>
        <v>6</v>
      </c>
      <c r="G639" s="2">
        <f>VLOOKUP(A639,Table3[#All],7,FALSE)</f>
        <v>58872</v>
      </c>
      <c r="H639" s="2">
        <f>VLOOKUP(A639,Table3[#All],8,FALSE)</f>
        <v>13</v>
      </c>
      <c r="I639" s="2">
        <f>VLOOKUP(A639,Table3[#All],9,FALSE)</f>
        <v>37</v>
      </c>
      <c r="J639" s="2">
        <f>VLOOKUP(A639,Table3[#All],10,FALSE)</f>
        <v>3</v>
      </c>
      <c r="K639" s="2">
        <f>VLOOKUP(A639,Table3[#All],11,FALSE)</f>
        <v>99</v>
      </c>
      <c r="L639" s="2" t="str">
        <f>VLOOKUP(A639,Table3[#All],12,FALSE)</f>
        <v>Bangalore</v>
      </c>
      <c r="M639" s="2" t="str">
        <f t="shared" si="9"/>
        <v>Eligible</v>
      </c>
    </row>
    <row r="640" spans="1:13" x14ac:dyDescent="0.25">
      <c r="A640" s="6" t="s">
        <v>841</v>
      </c>
      <c r="B640" s="2" t="str">
        <f>VLOOKUP(A640,Table3[#All],2,FALSE)</f>
        <v>Ramesh</v>
      </c>
      <c r="C640" s="2" t="str">
        <f>VLOOKUP(A640,Table3[#All],3,FALSE)</f>
        <v>Sales</v>
      </c>
      <c r="D640" s="2">
        <f>VLOOKUP(A640,Table3[#All],4,FALSE)</f>
        <v>28</v>
      </c>
      <c r="E640" s="2" t="str">
        <f>VLOOKUP(A640,Table3[#All],5,FALSE)</f>
        <v>Female</v>
      </c>
      <c r="F640" s="2">
        <f>VLOOKUP(A640,Table3[#All],6,FALSE)</f>
        <v>12</v>
      </c>
      <c r="G640" s="2">
        <f>VLOOKUP(A640,Table3[#All],7,FALSE)</f>
        <v>58874</v>
      </c>
      <c r="H640" s="2">
        <f>VLOOKUP(A640,Table3[#All],8,FALSE)</f>
        <v>13</v>
      </c>
      <c r="I640" s="2">
        <f>VLOOKUP(A640,Table3[#All],9,FALSE)</f>
        <v>47</v>
      </c>
      <c r="J640" s="2">
        <f>VLOOKUP(A640,Table3[#All],10,FALSE)</f>
        <v>2</v>
      </c>
      <c r="K640" s="2">
        <f>VLOOKUP(A640,Table3[#All],11,FALSE)</f>
        <v>99</v>
      </c>
      <c r="L640" s="2" t="str">
        <f>VLOOKUP(A640,Table3[#All],12,FALSE)</f>
        <v>Chennai</v>
      </c>
      <c r="M640" s="2" t="str">
        <f t="shared" si="9"/>
        <v>Eligible</v>
      </c>
    </row>
    <row r="641" spans="1:13" hidden="1" x14ac:dyDescent="0.25">
      <c r="A641" s="6" t="s">
        <v>1001</v>
      </c>
      <c r="B641" s="2" t="str">
        <f>VLOOKUP(A641,Table3[#All],2,FALSE)</f>
        <v>Karthik</v>
      </c>
      <c r="C641" s="2" t="str">
        <f>VLOOKUP(A641,Table3[#All],3,FALSE)</f>
        <v>Sales</v>
      </c>
      <c r="D641" s="2">
        <f>VLOOKUP(A641,Table3[#All],4,FALSE)</f>
        <v>23</v>
      </c>
      <c r="E641" s="2" t="str">
        <f>VLOOKUP(A641,Table3[#All],5,FALSE)</f>
        <v>Female</v>
      </c>
      <c r="F641" s="2">
        <f>VLOOKUP(A641,Table3[#All],6,FALSE)</f>
        <v>15</v>
      </c>
      <c r="G641" s="2">
        <f>VLOOKUP(A641,Table3[#All],7,FALSE)</f>
        <v>58893</v>
      </c>
      <c r="H641" s="2">
        <f>VLOOKUP(A641,Table3[#All],8,FALSE)</f>
        <v>8</v>
      </c>
      <c r="I641" s="2">
        <f>VLOOKUP(A641,Table3[#All],9,FALSE)</f>
        <v>37</v>
      </c>
      <c r="J641" s="2">
        <f>VLOOKUP(A641,Table3[#All],10,FALSE)</f>
        <v>2</v>
      </c>
      <c r="K641" s="2">
        <f>VLOOKUP(A641,Table3[#All],11,FALSE)</f>
        <v>90</v>
      </c>
      <c r="L641" s="2" t="str">
        <f>VLOOKUP(A641,Table3[#All],12,FALSE)</f>
        <v>Mumbai</v>
      </c>
      <c r="M641" s="2" t="str">
        <f t="shared" si="9"/>
        <v>Not Eligible</v>
      </c>
    </row>
    <row r="642" spans="1:13" hidden="1" x14ac:dyDescent="0.25">
      <c r="A642" s="5" t="s">
        <v>756</v>
      </c>
      <c r="B642" s="2" t="str">
        <f>VLOOKUP(A642,Table3[#All],2,FALSE)</f>
        <v>Suresh</v>
      </c>
      <c r="C642" s="2" t="str">
        <f>VLOOKUP(A642,Table3[#All],3,FALSE)</f>
        <v>Sales</v>
      </c>
      <c r="D642" s="2">
        <f>VLOOKUP(A642,Table3[#All],4,FALSE)</f>
        <v>26</v>
      </c>
      <c r="E642" s="2" t="str">
        <f>VLOOKUP(A642,Table3[#All],5,FALSE)</f>
        <v>Female</v>
      </c>
      <c r="F642" s="2">
        <f>VLOOKUP(A642,Table3[#All],6,FALSE)</f>
        <v>11</v>
      </c>
      <c r="G642" s="2">
        <f>VLOOKUP(A642,Table3[#All],7,FALSE)</f>
        <v>58930</v>
      </c>
      <c r="H642" s="2">
        <f>VLOOKUP(A642,Table3[#All],8,FALSE)</f>
        <v>5</v>
      </c>
      <c r="I642" s="2">
        <f>VLOOKUP(A642,Table3[#All],9,FALSE)</f>
        <v>44</v>
      </c>
      <c r="J642" s="2">
        <f>VLOOKUP(A642,Table3[#All],10,FALSE)</f>
        <v>2</v>
      </c>
      <c r="K642" s="2">
        <f>VLOOKUP(A642,Table3[#All],11,FALSE)</f>
        <v>92</v>
      </c>
      <c r="L642" s="2" t="str">
        <f>VLOOKUP(A642,Table3[#All],12,FALSE)</f>
        <v>Delhi</v>
      </c>
      <c r="M642" s="2" t="str">
        <f t="shared" ref="M642:M705" si="10">IF(K642&gt;=95,"Eligible","Not Eligible")</f>
        <v>Not Eligible</v>
      </c>
    </row>
    <row r="643" spans="1:13" hidden="1" x14ac:dyDescent="0.25">
      <c r="A643" s="6" t="s">
        <v>141</v>
      </c>
      <c r="B643" s="2" t="str">
        <f>VLOOKUP(A643,Table3[#All],2,FALSE)</f>
        <v>Meena</v>
      </c>
      <c r="C643" s="2" t="str">
        <f>VLOOKUP(A643,Table3[#All],3,FALSE)</f>
        <v>IT</v>
      </c>
      <c r="D643" s="2">
        <f>VLOOKUP(A643,Table3[#All],4,FALSE)</f>
        <v>39</v>
      </c>
      <c r="E643" s="2" t="str">
        <f>VLOOKUP(A643,Table3[#All],5,FALSE)</f>
        <v>Male</v>
      </c>
      <c r="F643" s="2">
        <f>VLOOKUP(A643,Table3[#All],6,FALSE)</f>
        <v>6</v>
      </c>
      <c r="G643" s="2">
        <f>VLOOKUP(A643,Table3[#All],7,FALSE)</f>
        <v>58953</v>
      </c>
      <c r="H643" s="2">
        <f>VLOOKUP(A643,Table3[#All],8,FALSE)</f>
        <v>5</v>
      </c>
      <c r="I643" s="2">
        <f>VLOOKUP(A643,Table3[#All],9,FALSE)</f>
        <v>43</v>
      </c>
      <c r="J643" s="2">
        <f>VLOOKUP(A643,Table3[#All],10,FALSE)</f>
        <v>2</v>
      </c>
      <c r="K643" s="2">
        <f>VLOOKUP(A643,Table3[#All],11,FALSE)</f>
        <v>97</v>
      </c>
      <c r="L643" s="2" t="str">
        <f>VLOOKUP(A643,Table3[#All],12,FALSE)</f>
        <v>Pune</v>
      </c>
      <c r="M643" s="2" t="str">
        <f t="shared" si="10"/>
        <v>Eligible</v>
      </c>
    </row>
    <row r="644" spans="1:13" hidden="1" x14ac:dyDescent="0.25">
      <c r="A644" s="5" t="s">
        <v>846</v>
      </c>
      <c r="B644" s="2" t="str">
        <f>VLOOKUP(A644,Table3[#All],2,FALSE)</f>
        <v>Divya</v>
      </c>
      <c r="C644" s="2" t="str">
        <f>VLOOKUP(A644,Table3[#All],3,FALSE)</f>
        <v>Sales</v>
      </c>
      <c r="D644" s="2">
        <f>VLOOKUP(A644,Table3[#All],4,FALSE)</f>
        <v>34</v>
      </c>
      <c r="E644" s="2" t="str">
        <f>VLOOKUP(A644,Table3[#All],5,FALSE)</f>
        <v>Female</v>
      </c>
      <c r="F644" s="2">
        <f>VLOOKUP(A644,Table3[#All],6,FALSE)</f>
        <v>6</v>
      </c>
      <c r="G644" s="2">
        <f>VLOOKUP(A644,Table3[#All],7,FALSE)</f>
        <v>58956</v>
      </c>
      <c r="H644" s="2">
        <f>VLOOKUP(A644,Table3[#All],8,FALSE)</f>
        <v>3</v>
      </c>
      <c r="I644" s="2">
        <f>VLOOKUP(A644,Table3[#All],9,FALSE)</f>
        <v>49</v>
      </c>
      <c r="J644" s="2">
        <f>VLOOKUP(A644,Table3[#All],10,FALSE)</f>
        <v>4</v>
      </c>
      <c r="K644" s="2">
        <f>VLOOKUP(A644,Table3[#All],11,FALSE)</f>
        <v>91</v>
      </c>
      <c r="L644" s="2" t="str">
        <f>VLOOKUP(A644,Table3[#All],12,FALSE)</f>
        <v>Pune</v>
      </c>
      <c r="M644" s="2" t="str">
        <f t="shared" si="10"/>
        <v>Not Eligible</v>
      </c>
    </row>
    <row r="645" spans="1:13" x14ac:dyDescent="0.25">
      <c r="A645" s="5" t="s">
        <v>714</v>
      </c>
      <c r="B645" s="2" t="str">
        <f>VLOOKUP(A645,Table3[#All],2,FALSE)</f>
        <v>Hari</v>
      </c>
      <c r="C645" s="2" t="str">
        <f>VLOOKUP(A645,Table3[#All],3,FALSE)</f>
        <v>IT</v>
      </c>
      <c r="D645" s="2">
        <f>VLOOKUP(A645,Table3[#All],4,FALSE)</f>
        <v>39</v>
      </c>
      <c r="E645" s="2" t="str">
        <f>VLOOKUP(A645,Table3[#All],5,FALSE)</f>
        <v>Female</v>
      </c>
      <c r="F645" s="2">
        <f>VLOOKUP(A645,Table3[#All],6,FALSE)</f>
        <v>15</v>
      </c>
      <c r="G645" s="2">
        <f>VLOOKUP(A645,Table3[#All],7,FALSE)</f>
        <v>59000</v>
      </c>
      <c r="H645" s="2">
        <f>VLOOKUP(A645,Table3[#All],8,FALSE)</f>
        <v>12</v>
      </c>
      <c r="I645" s="2">
        <f>VLOOKUP(A645,Table3[#All],9,FALSE)</f>
        <v>37</v>
      </c>
      <c r="J645" s="2">
        <f>VLOOKUP(A645,Table3[#All],10,FALSE)</f>
        <v>5</v>
      </c>
      <c r="K645" s="2">
        <f>VLOOKUP(A645,Table3[#All],11,FALSE)</f>
        <v>97</v>
      </c>
      <c r="L645" s="2" t="str">
        <f>VLOOKUP(A645,Table3[#All],12,FALSE)</f>
        <v>Pune</v>
      </c>
      <c r="M645" s="2" t="str">
        <f t="shared" si="10"/>
        <v>Eligible</v>
      </c>
    </row>
    <row r="646" spans="1:13" x14ac:dyDescent="0.25">
      <c r="A646" s="5" t="s">
        <v>910</v>
      </c>
      <c r="B646" s="2" t="str">
        <f>VLOOKUP(A646,Table3[#All],2,FALSE)</f>
        <v>Deepa</v>
      </c>
      <c r="C646" s="2" t="str">
        <f>VLOOKUP(A646,Table3[#All],3,FALSE)</f>
        <v>HR</v>
      </c>
      <c r="D646" s="2">
        <f>VLOOKUP(A646,Table3[#All],4,FALSE)</f>
        <v>37</v>
      </c>
      <c r="E646" s="2" t="str">
        <f>VLOOKUP(A646,Table3[#All],5,FALSE)</f>
        <v>Female</v>
      </c>
      <c r="F646" s="2">
        <f>VLOOKUP(A646,Table3[#All],6,FALSE)</f>
        <v>13</v>
      </c>
      <c r="G646" s="2">
        <f>VLOOKUP(A646,Table3[#All],7,FALSE)</f>
        <v>59079</v>
      </c>
      <c r="H646" s="2">
        <f>VLOOKUP(A646,Table3[#All],8,FALSE)</f>
        <v>15</v>
      </c>
      <c r="I646" s="2">
        <f>VLOOKUP(A646,Table3[#All],9,FALSE)</f>
        <v>45</v>
      </c>
      <c r="J646" s="2">
        <f>VLOOKUP(A646,Table3[#All],10,FALSE)</f>
        <v>5</v>
      </c>
      <c r="K646" s="2">
        <f>VLOOKUP(A646,Table3[#All],11,FALSE)</f>
        <v>92</v>
      </c>
      <c r="L646" s="2" t="str">
        <f>VLOOKUP(A646,Table3[#All],12,FALSE)</f>
        <v>Chennai</v>
      </c>
      <c r="M646" s="2" t="str">
        <f t="shared" si="10"/>
        <v>Not Eligible</v>
      </c>
    </row>
    <row r="647" spans="1:13" hidden="1" x14ac:dyDescent="0.25">
      <c r="A647" s="6" t="s">
        <v>689</v>
      </c>
      <c r="B647" s="2" t="str">
        <f>VLOOKUP(A647,Table3[#All],2,FALSE)</f>
        <v>Sanjay</v>
      </c>
      <c r="C647" s="2" t="str">
        <f>VLOOKUP(A647,Table3[#All],3,FALSE)</f>
        <v>Finance</v>
      </c>
      <c r="D647" s="2">
        <f>VLOOKUP(A647,Table3[#All],4,FALSE)</f>
        <v>23</v>
      </c>
      <c r="E647" s="2" t="str">
        <f>VLOOKUP(A647,Table3[#All],5,FALSE)</f>
        <v>Female</v>
      </c>
      <c r="F647" s="2">
        <f>VLOOKUP(A647,Table3[#All],6,FALSE)</f>
        <v>4</v>
      </c>
      <c r="G647" s="2">
        <f>VLOOKUP(A647,Table3[#All],7,FALSE)</f>
        <v>25075</v>
      </c>
      <c r="H647" s="2">
        <f>VLOOKUP(A647,Table3[#All],8,FALSE)</f>
        <v>10</v>
      </c>
      <c r="I647" s="2">
        <f>VLOOKUP(A647,Table3[#All],9,FALSE)</f>
        <v>37</v>
      </c>
      <c r="J647" s="2">
        <f>VLOOKUP(A647,Table3[#All],10,FALSE)</f>
        <v>3</v>
      </c>
      <c r="K647" s="2">
        <f>VLOOKUP(A647,Table3[#All],11,FALSE)</f>
        <v>96</v>
      </c>
      <c r="L647" s="2" t="str">
        <f>VLOOKUP(A647,Table3[#All],12,FALSE)</f>
        <v>Bangalore</v>
      </c>
      <c r="M647" s="2" t="str">
        <f t="shared" si="10"/>
        <v>Eligible</v>
      </c>
    </row>
    <row r="648" spans="1:13" hidden="1" x14ac:dyDescent="0.25">
      <c r="A648" s="5" t="s">
        <v>690</v>
      </c>
      <c r="B648" s="2" t="str">
        <f>VLOOKUP(A648,Table3[#All],2,FALSE)</f>
        <v>Ramesh</v>
      </c>
      <c r="C648" s="2" t="str">
        <f>VLOOKUP(A648,Table3[#All],3,FALSE)</f>
        <v>Finance</v>
      </c>
      <c r="D648" s="2">
        <f>VLOOKUP(A648,Table3[#All],4,FALSE)</f>
        <v>27</v>
      </c>
      <c r="E648" s="2" t="str">
        <f>VLOOKUP(A648,Table3[#All],5,FALSE)</f>
        <v>Female</v>
      </c>
      <c r="F648" s="2">
        <f>VLOOKUP(A648,Table3[#All],6,FALSE)</f>
        <v>2</v>
      </c>
      <c r="G648" s="2">
        <f>VLOOKUP(A648,Table3[#All],7,FALSE)</f>
        <v>31057</v>
      </c>
      <c r="H648" s="2">
        <f>VLOOKUP(A648,Table3[#All],8,FALSE)</f>
        <v>3</v>
      </c>
      <c r="I648" s="2">
        <f>VLOOKUP(A648,Table3[#All],9,FALSE)</f>
        <v>44</v>
      </c>
      <c r="J648" s="2">
        <f>VLOOKUP(A648,Table3[#All],10,FALSE)</f>
        <v>2</v>
      </c>
      <c r="K648" s="2">
        <f>VLOOKUP(A648,Table3[#All],11,FALSE)</f>
        <v>96</v>
      </c>
      <c r="L648" s="2" t="str">
        <f>VLOOKUP(A648,Table3[#All],12,FALSE)</f>
        <v>Hyderabad</v>
      </c>
      <c r="M648" s="2" t="str">
        <f t="shared" si="10"/>
        <v>Eligible</v>
      </c>
    </row>
    <row r="649" spans="1:13" hidden="1" x14ac:dyDescent="0.25">
      <c r="A649" s="6" t="s">
        <v>571</v>
      </c>
      <c r="B649" s="2" t="str">
        <f>VLOOKUP(A649,Table3[#All],2,FALSE)</f>
        <v>Nisha</v>
      </c>
      <c r="C649" s="2" t="str">
        <f>VLOOKUP(A649,Table3[#All],3,FALSE)</f>
        <v>HR</v>
      </c>
      <c r="D649" s="2">
        <f>VLOOKUP(A649,Table3[#All],4,FALSE)</f>
        <v>27</v>
      </c>
      <c r="E649" s="2" t="str">
        <f>VLOOKUP(A649,Table3[#All],5,FALSE)</f>
        <v>Male</v>
      </c>
      <c r="F649" s="2">
        <f>VLOOKUP(A649,Table3[#All],6,FALSE)</f>
        <v>13</v>
      </c>
      <c r="G649" s="2">
        <f>VLOOKUP(A649,Table3[#All],7,FALSE)</f>
        <v>59222</v>
      </c>
      <c r="H649" s="2">
        <f>VLOOKUP(A649,Table3[#All],8,FALSE)</f>
        <v>7</v>
      </c>
      <c r="I649" s="2">
        <f>VLOOKUP(A649,Table3[#All],9,FALSE)</f>
        <v>47</v>
      </c>
      <c r="J649" s="2">
        <f>VLOOKUP(A649,Table3[#All],10,FALSE)</f>
        <v>3</v>
      </c>
      <c r="K649" s="2">
        <f>VLOOKUP(A649,Table3[#All],11,FALSE)</f>
        <v>88</v>
      </c>
      <c r="L649" s="2" t="str">
        <f>VLOOKUP(A649,Table3[#All],12,FALSE)</f>
        <v>Bangalore</v>
      </c>
      <c r="M649" s="2" t="str">
        <f t="shared" si="10"/>
        <v>Not Eligible</v>
      </c>
    </row>
    <row r="650" spans="1:13" hidden="1" x14ac:dyDescent="0.25">
      <c r="A650" s="5" t="s">
        <v>692</v>
      </c>
      <c r="B650" s="2" t="str">
        <f>VLOOKUP(A650,Table3[#All],2,FALSE)</f>
        <v>Ramesh</v>
      </c>
      <c r="C650" s="2" t="str">
        <f>VLOOKUP(A650,Table3[#All],3,FALSE)</f>
        <v>IT</v>
      </c>
      <c r="D650" s="2">
        <f>VLOOKUP(A650,Table3[#All],4,FALSE)</f>
        <v>25</v>
      </c>
      <c r="E650" s="2" t="str">
        <f>VLOOKUP(A650,Table3[#All],5,FALSE)</f>
        <v>Female</v>
      </c>
      <c r="F650" s="2">
        <f>VLOOKUP(A650,Table3[#All],6,FALSE)</f>
        <v>4</v>
      </c>
      <c r="G650" s="2">
        <f>VLOOKUP(A650,Table3[#All],7,FALSE)</f>
        <v>61121</v>
      </c>
      <c r="H650" s="2">
        <f>VLOOKUP(A650,Table3[#All],8,FALSE)</f>
        <v>10</v>
      </c>
      <c r="I650" s="2">
        <f>VLOOKUP(A650,Table3[#All],9,FALSE)</f>
        <v>46</v>
      </c>
      <c r="J650" s="2">
        <f>VLOOKUP(A650,Table3[#All],10,FALSE)</f>
        <v>5</v>
      </c>
      <c r="K650" s="2">
        <f>VLOOKUP(A650,Table3[#All],11,FALSE)</f>
        <v>85</v>
      </c>
      <c r="L650" s="2" t="str">
        <f>VLOOKUP(A650,Table3[#All],12,FALSE)</f>
        <v>Bangalore</v>
      </c>
      <c r="M650" s="2" t="str">
        <f t="shared" si="10"/>
        <v>Not Eligible</v>
      </c>
    </row>
    <row r="651" spans="1:13" hidden="1" x14ac:dyDescent="0.25">
      <c r="A651" s="6" t="s">
        <v>693</v>
      </c>
      <c r="B651" s="2" t="str">
        <f>VLOOKUP(A651,Table3[#All],2,FALSE)</f>
        <v>Sneha</v>
      </c>
      <c r="C651" s="2" t="str">
        <f>VLOOKUP(A651,Table3[#All],3,FALSE)</f>
        <v>IT</v>
      </c>
      <c r="D651" s="2">
        <f>VLOOKUP(A651,Table3[#All],4,FALSE)</f>
        <v>39</v>
      </c>
      <c r="E651" s="2" t="str">
        <f>VLOOKUP(A651,Table3[#All],5,FALSE)</f>
        <v>Male</v>
      </c>
      <c r="F651" s="2">
        <f>VLOOKUP(A651,Table3[#All],6,FALSE)</f>
        <v>4</v>
      </c>
      <c r="G651" s="2">
        <f>VLOOKUP(A651,Table3[#All],7,FALSE)</f>
        <v>67849</v>
      </c>
      <c r="H651" s="2">
        <f>VLOOKUP(A651,Table3[#All],8,FALSE)</f>
        <v>6</v>
      </c>
      <c r="I651" s="2">
        <f>VLOOKUP(A651,Table3[#All],9,FALSE)</f>
        <v>50</v>
      </c>
      <c r="J651" s="2">
        <f>VLOOKUP(A651,Table3[#All],10,FALSE)</f>
        <v>4</v>
      </c>
      <c r="K651" s="2">
        <f>VLOOKUP(A651,Table3[#All],11,FALSE)</f>
        <v>90</v>
      </c>
      <c r="L651" s="2" t="str">
        <f>VLOOKUP(A651,Table3[#All],12,FALSE)</f>
        <v>Mumbai</v>
      </c>
      <c r="M651" s="2" t="str">
        <f t="shared" si="10"/>
        <v>Not Eligible</v>
      </c>
    </row>
    <row r="652" spans="1:13" x14ac:dyDescent="0.25">
      <c r="A652" s="6" t="s">
        <v>715</v>
      </c>
      <c r="B652" s="2" t="str">
        <f>VLOOKUP(A652,Table3[#All],2,FALSE)</f>
        <v>Sanjay</v>
      </c>
      <c r="C652" s="2" t="str">
        <f>VLOOKUP(A652,Table3[#All],3,FALSE)</f>
        <v>Sales</v>
      </c>
      <c r="D652" s="2">
        <f>VLOOKUP(A652,Table3[#All],4,FALSE)</f>
        <v>34</v>
      </c>
      <c r="E652" s="2" t="str">
        <f>VLOOKUP(A652,Table3[#All],5,FALSE)</f>
        <v>Female</v>
      </c>
      <c r="F652" s="2">
        <f>VLOOKUP(A652,Table3[#All],6,FALSE)</f>
        <v>5</v>
      </c>
      <c r="G652" s="2">
        <f>VLOOKUP(A652,Table3[#All],7,FALSE)</f>
        <v>59266</v>
      </c>
      <c r="H652" s="2">
        <f>VLOOKUP(A652,Table3[#All],8,FALSE)</f>
        <v>15</v>
      </c>
      <c r="I652" s="2">
        <f>VLOOKUP(A652,Table3[#All],9,FALSE)</f>
        <v>45</v>
      </c>
      <c r="J652" s="2">
        <f>VLOOKUP(A652,Table3[#All],10,FALSE)</f>
        <v>5</v>
      </c>
      <c r="K652" s="2">
        <f>VLOOKUP(A652,Table3[#All],11,FALSE)</f>
        <v>93</v>
      </c>
      <c r="L652" s="2" t="str">
        <f>VLOOKUP(A652,Table3[#All],12,FALSE)</f>
        <v>Pune</v>
      </c>
      <c r="M652" s="2" t="str">
        <f t="shared" si="10"/>
        <v>Not Eligible</v>
      </c>
    </row>
    <row r="653" spans="1:13" x14ac:dyDescent="0.25">
      <c r="A653" s="5" t="s">
        <v>448</v>
      </c>
      <c r="B653" s="2" t="str">
        <f>VLOOKUP(A653,Table3[#All],2,FALSE)</f>
        <v>Kavya</v>
      </c>
      <c r="C653" s="2" t="str">
        <f>VLOOKUP(A653,Table3[#All],3,FALSE)</f>
        <v>HR</v>
      </c>
      <c r="D653" s="2">
        <f>VLOOKUP(A653,Table3[#All],4,FALSE)</f>
        <v>25</v>
      </c>
      <c r="E653" s="2" t="str">
        <f>VLOOKUP(A653,Table3[#All],5,FALSE)</f>
        <v>Female</v>
      </c>
      <c r="F653" s="2">
        <f>VLOOKUP(A653,Table3[#All],6,FALSE)</f>
        <v>14</v>
      </c>
      <c r="G653" s="2">
        <f>VLOOKUP(A653,Table3[#All],7,FALSE)</f>
        <v>59355</v>
      </c>
      <c r="H653" s="2">
        <f>VLOOKUP(A653,Table3[#All],8,FALSE)</f>
        <v>12</v>
      </c>
      <c r="I653" s="2">
        <f>VLOOKUP(A653,Table3[#All],9,FALSE)</f>
        <v>36</v>
      </c>
      <c r="J653" s="2">
        <f>VLOOKUP(A653,Table3[#All],10,FALSE)</f>
        <v>1</v>
      </c>
      <c r="K653" s="2">
        <f>VLOOKUP(A653,Table3[#All],11,FALSE)</f>
        <v>97</v>
      </c>
      <c r="L653" s="2" t="str">
        <f>VLOOKUP(A653,Table3[#All],12,FALSE)</f>
        <v>Hyderabad</v>
      </c>
      <c r="M653" s="2" t="str">
        <f t="shared" si="10"/>
        <v>Eligible</v>
      </c>
    </row>
    <row r="654" spans="1:13" hidden="1" x14ac:dyDescent="0.25">
      <c r="A654" s="6" t="s">
        <v>253</v>
      </c>
      <c r="B654" s="2" t="str">
        <f>VLOOKUP(A654,Table3[#All],2,FALSE)</f>
        <v>Ravi</v>
      </c>
      <c r="C654" s="2" t="str">
        <f>VLOOKUP(A654,Table3[#All],3,FALSE)</f>
        <v>IT</v>
      </c>
      <c r="D654" s="2">
        <f>VLOOKUP(A654,Table3[#All],4,FALSE)</f>
        <v>28</v>
      </c>
      <c r="E654" s="2" t="str">
        <f>VLOOKUP(A654,Table3[#All],5,FALSE)</f>
        <v>Male</v>
      </c>
      <c r="F654" s="2">
        <f>VLOOKUP(A654,Table3[#All],6,FALSE)</f>
        <v>11</v>
      </c>
      <c r="G654" s="2">
        <f>VLOOKUP(A654,Table3[#All],7,FALSE)</f>
        <v>59465</v>
      </c>
      <c r="H654" s="2">
        <f>VLOOKUP(A654,Table3[#All],8,FALSE)</f>
        <v>7</v>
      </c>
      <c r="I654" s="2">
        <f>VLOOKUP(A654,Table3[#All],9,FALSE)</f>
        <v>42</v>
      </c>
      <c r="J654" s="2">
        <f>VLOOKUP(A654,Table3[#All],10,FALSE)</f>
        <v>1</v>
      </c>
      <c r="K654" s="2">
        <f>VLOOKUP(A654,Table3[#All],11,FALSE)</f>
        <v>100</v>
      </c>
      <c r="L654" s="2" t="str">
        <f>VLOOKUP(A654,Table3[#All],12,FALSE)</f>
        <v>Mumbai</v>
      </c>
      <c r="M654" s="2" t="str">
        <f t="shared" si="10"/>
        <v>Eligible</v>
      </c>
    </row>
    <row r="655" spans="1:13" x14ac:dyDescent="0.25">
      <c r="A655" s="6" t="s">
        <v>773</v>
      </c>
      <c r="B655" s="2" t="str">
        <f>VLOOKUP(A655,Table3[#All],2,FALSE)</f>
        <v>Ravi</v>
      </c>
      <c r="C655" s="2" t="str">
        <f>VLOOKUP(A655,Table3[#All],3,FALSE)</f>
        <v>IT</v>
      </c>
      <c r="D655" s="2">
        <f>VLOOKUP(A655,Table3[#All],4,FALSE)</f>
        <v>26</v>
      </c>
      <c r="E655" s="2" t="str">
        <f>VLOOKUP(A655,Table3[#All],5,FALSE)</f>
        <v>Female</v>
      </c>
      <c r="F655" s="2">
        <f>VLOOKUP(A655,Table3[#All],6,FALSE)</f>
        <v>12</v>
      </c>
      <c r="G655" s="2">
        <f>VLOOKUP(A655,Table3[#All],7,FALSE)</f>
        <v>59495</v>
      </c>
      <c r="H655" s="2">
        <f>VLOOKUP(A655,Table3[#All],8,FALSE)</f>
        <v>13</v>
      </c>
      <c r="I655" s="2">
        <f>VLOOKUP(A655,Table3[#All],9,FALSE)</f>
        <v>46</v>
      </c>
      <c r="J655" s="2">
        <f>VLOOKUP(A655,Table3[#All],10,FALSE)</f>
        <v>5</v>
      </c>
      <c r="K655" s="2">
        <f>VLOOKUP(A655,Table3[#All],11,FALSE)</f>
        <v>98</v>
      </c>
      <c r="L655" s="2" t="str">
        <f>VLOOKUP(A655,Table3[#All],12,FALSE)</f>
        <v>Delhi</v>
      </c>
      <c r="M655" s="2" t="str">
        <f t="shared" si="10"/>
        <v>Eligible</v>
      </c>
    </row>
    <row r="656" spans="1:13" x14ac:dyDescent="0.25">
      <c r="A656" s="6" t="s">
        <v>269</v>
      </c>
      <c r="B656" s="2" t="str">
        <f>VLOOKUP(A656,Table3[#All],2,FALSE)</f>
        <v>Sneha</v>
      </c>
      <c r="C656" s="2" t="str">
        <f>VLOOKUP(A656,Table3[#All],3,FALSE)</f>
        <v>Finance</v>
      </c>
      <c r="D656" s="2">
        <f>VLOOKUP(A656,Table3[#All],4,FALSE)</f>
        <v>34</v>
      </c>
      <c r="E656" s="2" t="str">
        <f>VLOOKUP(A656,Table3[#All],5,FALSE)</f>
        <v>Female</v>
      </c>
      <c r="F656" s="2">
        <f>VLOOKUP(A656,Table3[#All],6,FALSE)</f>
        <v>8</v>
      </c>
      <c r="G656" s="2">
        <f>VLOOKUP(A656,Table3[#All],7,FALSE)</f>
        <v>59582</v>
      </c>
      <c r="H656" s="2">
        <f>VLOOKUP(A656,Table3[#All],8,FALSE)</f>
        <v>13</v>
      </c>
      <c r="I656" s="2">
        <f>VLOOKUP(A656,Table3[#All],9,FALSE)</f>
        <v>37</v>
      </c>
      <c r="J656" s="2">
        <f>VLOOKUP(A656,Table3[#All],10,FALSE)</f>
        <v>5</v>
      </c>
      <c r="K656" s="2">
        <f>VLOOKUP(A656,Table3[#All],11,FALSE)</f>
        <v>99</v>
      </c>
      <c r="L656" s="2" t="str">
        <f>VLOOKUP(A656,Table3[#All],12,FALSE)</f>
        <v>Hyderabad</v>
      </c>
      <c r="M656" s="2" t="str">
        <f t="shared" si="10"/>
        <v>Eligible</v>
      </c>
    </row>
    <row r="657" spans="1:13" hidden="1" x14ac:dyDescent="0.25">
      <c r="A657" s="5" t="s">
        <v>668</v>
      </c>
      <c r="B657" s="2" t="str">
        <f>VLOOKUP(A657,Table3[#All],2,FALSE)</f>
        <v>Sanjay</v>
      </c>
      <c r="C657" s="2" t="str">
        <f>VLOOKUP(A657,Table3[#All],3,FALSE)</f>
        <v>Sales</v>
      </c>
      <c r="D657" s="2">
        <f>VLOOKUP(A657,Table3[#All],4,FALSE)</f>
        <v>38</v>
      </c>
      <c r="E657" s="2" t="str">
        <f>VLOOKUP(A657,Table3[#All],5,FALSE)</f>
        <v>Female</v>
      </c>
      <c r="F657" s="2">
        <f>VLOOKUP(A657,Table3[#All],6,FALSE)</f>
        <v>10</v>
      </c>
      <c r="G657" s="2">
        <f>VLOOKUP(A657,Table3[#All],7,FALSE)</f>
        <v>59673</v>
      </c>
      <c r="H657" s="2">
        <f>VLOOKUP(A657,Table3[#All],8,FALSE)</f>
        <v>9</v>
      </c>
      <c r="I657" s="2">
        <f>VLOOKUP(A657,Table3[#All],9,FALSE)</f>
        <v>42</v>
      </c>
      <c r="J657" s="2">
        <f>VLOOKUP(A657,Table3[#All],10,FALSE)</f>
        <v>5</v>
      </c>
      <c r="K657" s="2">
        <f>VLOOKUP(A657,Table3[#All],11,FALSE)</f>
        <v>95</v>
      </c>
      <c r="L657" s="2" t="str">
        <f>VLOOKUP(A657,Table3[#All],12,FALSE)</f>
        <v>Chennai</v>
      </c>
      <c r="M657" s="2" t="str">
        <f t="shared" si="10"/>
        <v>Eligible</v>
      </c>
    </row>
    <row r="658" spans="1:13" hidden="1" x14ac:dyDescent="0.25">
      <c r="A658" s="5" t="s">
        <v>630</v>
      </c>
      <c r="B658" s="2" t="str">
        <f>VLOOKUP(A658,Table3[#All],2,FALSE)</f>
        <v>Meena</v>
      </c>
      <c r="C658" s="2" t="str">
        <f>VLOOKUP(A658,Table3[#All],3,FALSE)</f>
        <v>Sales</v>
      </c>
      <c r="D658" s="2">
        <f>VLOOKUP(A658,Table3[#All],4,FALSE)</f>
        <v>36</v>
      </c>
      <c r="E658" s="2" t="str">
        <f>VLOOKUP(A658,Table3[#All],5,FALSE)</f>
        <v>Female</v>
      </c>
      <c r="F658" s="2">
        <f>VLOOKUP(A658,Table3[#All],6,FALSE)</f>
        <v>9</v>
      </c>
      <c r="G658" s="2">
        <f>VLOOKUP(A658,Table3[#All],7,FALSE)</f>
        <v>59729</v>
      </c>
      <c r="H658" s="2">
        <f>VLOOKUP(A658,Table3[#All],8,FALSE)</f>
        <v>3</v>
      </c>
      <c r="I658" s="2">
        <f>VLOOKUP(A658,Table3[#All],9,FALSE)</f>
        <v>41</v>
      </c>
      <c r="J658" s="2">
        <f>VLOOKUP(A658,Table3[#All],10,FALSE)</f>
        <v>3</v>
      </c>
      <c r="K658" s="2">
        <f>VLOOKUP(A658,Table3[#All],11,FALSE)</f>
        <v>86</v>
      </c>
      <c r="L658" s="2" t="str">
        <f>VLOOKUP(A658,Table3[#All],12,FALSE)</f>
        <v>Chennai</v>
      </c>
      <c r="M658" s="2" t="str">
        <f t="shared" si="10"/>
        <v>Not Eligible</v>
      </c>
    </row>
    <row r="659" spans="1:13" hidden="1" x14ac:dyDescent="0.25">
      <c r="A659" s="5" t="s">
        <v>810</v>
      </c>
      <c r="B659" s="2" t="str">
        <f>VLOOKUP(A659,Table3[#All],2,FALSE)</f>
        <v>Ravi</v>
      </c>
      <c r="C659" s="2" t="str">
        <f>VLOOKUP(A659,Table3[#All],3,FALSE)</f>
        <v>HR</v>
      </c>
      <c r="D659" s="2">
        <f>VLOOKUP(A659,Table3[#All],4,FALSE)</f>
        <v>33</v>
      </c>
      <c r="E659" s="2" t="str">
        <f>VLOOKUP(A659,Table3[#All],5,FALSE)</f>
        <v>Female</v>
      </c>
      <c r="F659" s="2">
        <f>VLOOKUP(A659,Table3[#All],6,FALSE)</f>
        <v>11</v>
      </c>
      <c r="G659" s="2">
        <f>VLOOKUP(A659,Table3[#All],7,FALSE)</f>
        <v>59755</v>
      </c>
      <c r="H659" s="2">
        <f>VLOOKUP(A659,Table3[#All],8,FALSE)</f>
        <v>3</v>
      </c>
      <c r="I659" s="2">
        <f>VLOOKUP(A659,Table3[#All],9,FALSE)</f>
        <v>40</v>
      </c>
      <c r="J659" s="2">
        <f>VLOOKUP(A659,Table3[#All],10,FALSE)</f>
        <v>5</v>
      </c>
      <c r="K659" s="2">
        <f>VLOOKUP(A659,Table3[#All],11,FALSE)</f>
        <v>92</v>
      </c>
      <c r="L659" s="2" t="str">
        <f>VLOOKUP(A659,Table3[#All],12,FALSE)</f>
        <v>Chennai</v>
      </c>
      <c r="M659" s="2" t="str">
        <f t="shared" si="10"/>
        <v>Not Eligible</v>
      </c>
    </row>
    <row r="660" spans="1:13" hidden="1" x14ac:dyDescent="0.25">
      <c r="A660" s="5" t="s">
        <v>804</v>
      </c>
      <c r="B660" s="2" t="str">
        <f>VLOOKUP(A660,Table3[#All],2,FALSE)</f>
        <v>Suresh</v>
      </c>
      <c r="C660" s="2" t="str">
        <f>VLOOKUP(A660,Table3[#All],3,FALSE)</f>
        <v>Sales</v>
      </c>
      <c r="D660" s="2">
        <f>VLOOKUP(A660,Table3[#All],4,FALSE)</f>
        <v>27</v>
      </c>
      <c r="E660" s="2" t="str">
        <f>VLOOKUP(A660,Table3[#All],5,FALSE)</f>
        <v>Female</v>
      </c>
      <c r="F660" s="2">
        <f>VLOOKUP(A660,Table3[#All],6,FALSE)</f>
        <v>7</v>
      </c>
      <c r="G660" s="2">
        <f>VLOOKUP(A660,Table3[#All],7,FALSE)</f>
        <v>59942</v>
      </c>
      <c r="H660" s="2">
        <f>VLOOKUP(A660,Table3[#All],8,FALSE)</f>
        <v>13</v>
      </c>
      <c r="I660" s="2">
        <f>VLOOKUP(A660,Table3[#All],9,FALSE)</f>
        <v>39</v>
      </c>
      <c r="J660" s="2">
        <f>VLOOKUP(A660,Table3[#All],10,FALSE)</f>
        <v>2</v>
      </c>
      <c r="K660" s="2">
        <f>VLOOKUP(A660,Table3[#All],11,FALSE)</f>
        <v>90</v>
      </c>
      <c r="L660" s="2" t="str">
        <f>VLOOKUP(A660,Table3[#All],12,FALSE)</f>
        <v>Mumbai</v>
      </c>
      <c r="M660" s="2" t="str">
        <f t="shared" si="10"/>
        <v>Not Eligible</v>
      </c>
    </row>
    <row r="661" spans="1:13" x14ac:dyDescent="0.25">
      <c r="A661" s="5" t="s">
        <v>946</v>
      </c>
      <c r="B661" s="2" t="str">
        <f>VLOOKUP(A661,Table3[#All],2,FALSE)</f>
        <v>Ajay</v>
      </c>
      <c r="C661" s="2" t="str">
        <f>VLOOKUP(A661,Table3[#All],3,FALSE)</f>
        <v>Sales</v>
      </c>
      <c r="D661" s="2">
        <f>VLOOKUP(A661,Table3[#All],4,FALSE)</f>
        <v>28</v>
      </c>
      <c r="E661" s="2" t="str">
        <f>VLOOKUP(A661,Table3[#All],5,FALSE)</f>
        <v>Female</v>
      </c>
      <c r="F661" s="2">
        <f>VLOOKUP(A661,Table3[#All],6,FALSE)</f>
        <v>5</v>
      </c>
      <c r="G661" s="2">
        <f>VLOOKUP(A661,Table3[#All],7,FALSE)</f>
        <v>60090</v>
      </c>
      <c r="H661" s="2">
        <f>VLOOKUP(A661,Table3[#All],8,FALSE)</f>
        <v>13</v>
      </c>
      <c r="I661" s="2">
        <f>VLOOKUP(A661,Table3[#All],9,FALSE)</f>
        <v>44</v>
      </c>
      <c r="J661" s="2">
        <f>VLOOKUP(A661,Table3[#All],10,FALSE)</f>
        <v>5</v>
      </c>
      <c r="K661" s="2">
        <f>VLOOKUP(A661,Table3[#All],11,FALSE)</f>
        <v>93</v>
      </c>
      <c r="L661" s="2" t="str">
        <f>VLOOKUP(A661,Table3[#All],12,FALSE)</f>
        <v>Chennai</v>
      </c>
      <c r="M661" s="2" t="str">
        <f t="shared" si="10"/>
        <v>Not Eligible</v>
      </c>
    </row>
    <row r="662" spans="1:13" hidden="1" x14ac:dyDescent="0.25">
      <c r="A662" s="5" t="s">
        <v>704</v>
      </c>
      <c r="B662" s="2" t="str">
        <f>VLOOKUP(A662,Table3[#All],2,FALSE)</f>
        <v>Anitha</v>
      </c>
      <c r="C662" s="2" t="str">
        <f>VLOOKUP(A662,Table3[#All],3,FALSE)</f>
        <v>Finance</v>
      </c>
      <c r="D662" s="2">
        <f>VLOOKUP(A662,Table3[#All],4,FALSE)</f>
        <v>33</v>
      </c>
      <c r="E662" s="2" t="str">
        <f>VLOOKUP(A662,Table3[#All],5,FALSE)</f>
        <v>Male</v>
      </c>
      <c r="F662" s="2">
        <f>VLOOKUP(A662,Table3[#All],6,FALSE)</f>
        <v>2</v>
      </c>
      <c r="G662" s="2">
        <f>VLOOKUP(A662,Table3[#All],7,FALSE)</f>
        <v>53672</v>
      </c>
      <c r="H662" s="2">
        <f>VLOOKUP(A662,Table3[#All],8,FALSE)</f>
        <v>13</v>
      </c>
      <c r="I662" s="2">
        <f>VLOOKUP(A662,Table3[#All],9,FALSE)</f>
        <v>37</v>
      </c>
      <c r="J662" s="2">
        <f>VLOOKUP(A662,Table3[#All],10,FALSE)</f>
        <v>3</v>
      </c>
      <c r="K662" s="2">
        <f>VLOOKUP(A662,Table3[#All],11,FALSE)</f>
        <v>87</v>
      </c>
      <c r="L662" s="2" t="str">
        <f>VLOOKUP(A662,Table3[#All],12,FALSE)</f>
        <v>Bangalore</v>
      </c>
      <c r="M662" s="2" t="str">
        <f t="shared" si="10"/>
        <v>Not Eligible</v>
      </c>
    </row>
    <row r="663" spans="1:13" hidden="1" x14ac:dyDescent="0.25">
      <c r="A663" s="6" t="s">
        <v>705</v>
      </c>
      <c r="B663" s="2" t="str">
        <f>VLOOKUP(A663,Table3[#All],2,FALSE)</f>
        <v>Kavya</v>
      </c>
      <c r="C663" s="2" t="str">
        <f>VLOOKUP(A663,Table3[#All],3,FALSE)</f>
        <v>Finance</v>
      </c>
      <c r="D663" s="2">
        <f>VLOOKUP(A663,Table3[#All],4,FALSE)</f>
        <v>36</v>
      </c>
      <c r="E663" s="2" t="str">
        <f>VLOOKUP(A663,Table3[#All],5,FALSE)</f>
        <v>Female</v>
      </c>
      <c r="F663" s="2">
        <f>VLOOKUP(A663,Table3[#All],6,FALSE)</f>
        <v>2</v>
      </c>
      <c r="G663" s="2">
        <f>VLOOKUP(A663,Table3[#All],7,FALSE)</f>
        <v>65925</v>
      </c>
      <c r="H663" s="2">
        <f>VLOOKUP(A663,Table3[#All],8,FALSE)</f>
        <v>12</v>
      </c>
      <c r="I663" s="2">
        <f>VLOOKUP(A663,Table3[#All],9,FALSE)</f>
        <v>46</v>
      </c>
      <c r="J663" s="2">
        <f>VLOOKUP(A663,Table3[#All],10,FALSE)</f>
        <v>4</v>
      </c>
      <c r="K663" s="2">
        <f>VLOOKUP(A663,Table3[#All],11,FALSE)</f>
        <v>92</v>
      </c>
      <c r="L663" s="2" t="str">
        <f>VLOOKUP(A663,Table3[#All],12,FALSE)</f>
        <v>Pune</v>
      </c>
      <c r="M663" s="2" t="str">
        <f t="shared" si="10"/>
        <v>Not Eligible</v>
      </c>
    </row>
    <row r="664" spans="1:13" hidden="1" x14ac:dyDescent="0.25">
      <c r="A664" s="6" t="s">
        <v>175</v>
      </c>
      <c r="B664" s="2" t="str">
        <f>VLOOKUP(A664,Table3[#All],2,FALSE)</f>
        <v>Ajay</v>
      </c>
      <c r="C664" s="2" t="str">
        <f>VLOOKUP(A664,Table3[#All],3,FALSE)</f>
        <v>IT</v>
      </c>
      <c r="D664" s="2">
        <f>VLOOKUP(A664,Table3[#All],4,FALSE)</f>
        <v>40</v>
      </c>
      <c r="E664" s="2" t="str">
        <f>VLOOKUP(A664,Table3[#All],5,FALSE)</f>
        <v>Female</v>
      </c>
      <c r="F664" s="2">
        <f>VLOOKUP(A664,Table3[#All],6,FALSE)</f>
        <v>15</v>
      </c>
      <c r="G664" s="2">
        <f>VLOOKUP(A664,Table3[#All],7,FALSE)</f>
        <v>60169</v>
      </c>
      <c r="H664" s="2">
        <f>VLOOKUP(A664,Table3[#All],8,FALSE)</f>
        <v>10</v>
      </c>
      <c r="I664" s="2">
        <f>VLOOKUP(A664,Table3[#All],9,FALSE)</f>
        <v>38</v>
      </c>
      <c r="J664" s="2">
        <f>VLOOKUP(A664,Table3[#All],10,FALSE)</f>
        <v>3</v>
      </c>
      <c r="K664" s="2">
        <f>VLOOKUP(A664,Table3[#All],11,FALSE)</f>
        <v>89</v>
      </c>
      <c r="L664" s="2" t="str">
        <f>VLOOKUP(A664,Table3[#All],12,FALSE)</f>
        <v>Hyderabad</v>
      </c>
      <c r="M664" s="2" t="str">
        <f t="shared" si="10"/>
        <v>Not Eligible</v>
      </c>
    </row>
    <row r="665" spans="1:13" hidden="1" x14ac:dyDescent="0.25">
      <c r="A665" s="6" t="s">
        <v>763</v>
      </c>
      <c r="B665" s="2" t="str">
        <f>VLOOKUP(A665,Table3[#All],2,FALSE)</f>
        <v>Vijay</v>
      </c>
      <c r="C665" s="2" t="str">
        <f>VLOOKUP(A665,Table3[#All],3,FALSE)</f>
        <v>Sales</v>
      </c>
      <c r="D665" s="2">
        <f>VLOOKUP(A665,Table3[#All],4,FALSE)</f>
        <v>39</v>
      </c>
      <c r="E665" s="2" t="str">
        <f>VLOOKUP(A665,Table3[#All],5,FALSE)</f>
        <v>Male</v>
      </c>
      <c r="F665" s="2">
        <f>VLOOKUP(A665,Table3[#All],6,FALSE)</f>
        <v>6</v>
      </c>
      <c r="G665" s="2">
        <f>VLOOKUP(A665,Table3[#All],7,FALSE)</f>
        <v>60185</v>
      </c>
      <c r="H665" s="2">
        <f>VLOOKUP(A665,Table3[#All],8,FALSE)</f>
        <v>15</v>
      </c>
      <c r="I665" s="2">
        <f>VLOOKUP(A665,Table3[#All],9,FALSE)</f>
        <v>42</v>
      </c>
      <c r="J665" s="2">
        <f>VLOOKUP(A665,Table3[#All],10,FALSE)</f>
        <v>3</v>
      </c>
      <c r="K665" s="2">
        <f>VLOOKUP(A665,Table3[#All],11,FALSE)</f>
        <v>86</v>
      </c>
      <c r="L665" s="2" t="str">
        <f>VLOOKUP(A665,Table3[#All],12,FALSE)</f>
        <v>Delhi</v>
      </c>
      <c r="M665" s="2" t="str">
        <f t="shared" si="10"/>
        <v>Not Eligible</v>
      </c>
    </row>
    <row r="666" spans="1:13" hidden="1" x14ac:dyDescent="0.25">
      <c r="A666" s="6" t="s">
        <v>417</v>
      </c>
      <c r="B666" s="2" t="str">
        <f>VLOOKUP(A666,Table3[#All],2,FALSE)</f>
        <v>Karthik</v>
      </c>
      <c r="C666" s="2" t="str">
        <f>VLOOKUP(A666,Table3[#All],3,FALSE)</f>
        <v>Finance</v>
      </c>
      <c r="D666" s="2">
        <f>VLOOKUP(A666,Table3[#All],4,FALSE)</f>
        <v>30</v>
      </c>
      <c r="E666" s="2" t="str">
        <f>VLOOKUP(A666,Table3[#All],5,FALSE)</f>
        <v>Female</v>
      </c>
      <c r="F666" s="2">
        <f>VLOOKUP(A666,Table3[#All],6,FALSE)</f>
        <v>15</v>
      </c>
      <c r="G666" s="2">
        <f>VLOOKUP(A666,Table3[#All],7,FALSE)</f>
        <v>60197</v>
      </c>
      <c r="H666" s="2">
        <f>VLOOKUP(A666,Table3[#All],8,FALSE)</f>
        <v>9</v>
      </c>
      <c r="I666" s="2">
        <f>VLOOKUP(A666,Table3[#All],9,FALSE)</f>
        <v>42</v>
      </c>
      <c r="J666" s="2">
        <f>VLOOKUP(A666,Table3[#All],10,FALSE)</f>
        <v>5</v>
      </c>
      <c r="K666" s="2">
        <f>VLOOKUP(A666,Table3[#All],11,FALSE)</f>
        <v>96</v>
      </c>
      <c r="L666" s="2" t="str">
        <f>VLOOKUP(A666,Table3[#All],12,FALSE)</f>
        <v>Bangalore</v>
      </c>
      <c r="M666" s="2" t="str">
        <f t="shared" si="10"/>
        <v>Eligible</v>
      </c>
    </row>
    <row r="667" spans="1:13" x14ac:dyDescent="0.25">
      <c r="A667" s="5" t="s">
        <v>1016</v>
      </c>
      <c r="B667" s="2" t="str">
        <f>VLOOKUP(A667,Table3[#All],2,FALSE)</f>
        <v>Ajay</v>
      </c>
      <c r="C667" s="2" t="str">
        <f>VLOOKUP(A667,Table3[#All],3,FALSE)</f>
        <v>Sales</v>
      </c>
      <c r="D667" s="2">
        <f>VLOOKUP(A667,Table3[#All],4,FALSE)</f>
        <v>27</v>
      </c>
      <c r="E667" s="2" t="str">
        <f>VLOOKUP(A667,Table3[#All],5,FALSE)</f>
        <v>Female</v>
      </c>
      <c r="F667" s="2">
        <f>VLOOKUP(A667,Table3[#All],6,FALSE)</f>
        <v>13</v>
      </c>
      <c r="G667" s="2">
        <f>VLOOKUP(A667,Table3[#All],7,FALSE)</f>
        <v>60204</v>
      </c>
      <c r="H667" s="2">
        <f>VLOOKUP(A667,Table3[#All],8,FALSE)</f>
        <v>15</v>
      </c>
      <c r="I667" s="2">
        <f>VLOOKUP(A667,Table3[#All],9,FALSE)</f>
        <v>43</v>
      </c>
      <c r="J667" s="2">
        <f>VLOOKUP(A667,Table3[#All],10,FALSE)</f>
        <v>1</v>
      </c>
      <c r="K667" s="2">
        <f>VLOOKUP(A667,Table3[#All],11,FALSE)</f>
        <v>91</v>
      </c>
      <c r="L667" s="2" t="str">
        <f>VLOOKUP(A667,Table3[#All],12,FALSE)</f>
        <v>Delhi</v>
      </c>
      <c r="M667" s="2" t="str">
        <f t="shared" si="10"/>
        <v>Not Eligible</v>
      </c>
    </row>
    <row r="668" spans="1:13" x14ac:dyDescent="0.25">
      <c r="A668" s="6" t="s">
        <v>789</v>
      </c>
      <c r="B668" s="2" t="str">
        <f>VLOOKUP(A668,Table3[#All],2,FALSE)</f>
        <v>Kavya</v>
      </c>
      <c r="C668" s="2" t="str">
        <f>VLOOKUP(A668,Table3[#All],3,FALSE)</f>
        <v>IT</v>
      </c>
      <c r="D668" s="2">
        <f>VLOOKUP(A668,Table3[#All],4,FALSE)</f>
        <v>26</v>
      </c>
      <c r="E668" s="2" t="str">
        <f>VLOOKUP(A668,Table3[#All],5,FALSE)</f>
        <v>Male</v>
      </c>
      <c r="F668" s="2">
        <f>VLOOKUP(A668,Table3[#All],6,FALSE)</f>
        <v>13</v>
      </c>
      <c r="G668" s="2">
        <f>VLOOKUP(A668,Table3[#All],7,FALSE)</f>
        <v>60238</v>
      </c>
      <c r="H668" s="2">
        <f>VLOOKUP(A668,Table3[#All],8,FALSE)</f>
        <v>15</v>
      </c>
      <c r="I668" s="2">
        <f>VLOOKUP(A668,Table3[#All],9,FALSE)</f>
        <v>43</v>
      </c>
      <c r="J668" s="2">
        <f>VLOOKUP(A668,Table3[#All],10,FALSE)</f>
        <v>3</v>
      </c>
      <c r="K668" s="2">
        <f>VLOOKUP(A668,Table3[#All],11,FALSE)</f>
        <v>94</v>
      </c>
      <c r="L668" s="2" t="str">
        <f>VLOOKUP(A668,Table3[#All],12,FALSE)</f>
        <v>Mumbai</v>
      </c>
      <c r="M668" s="2" t="str">
        <f t="shared" si="10"/>
        <v>Not Eligible</v>
      </c>
    </row>
    <row r="669" spans="1:13" x14ac:dyDescent="0.25">
      <c r="A669" s="5" t="s">
        <v>93</v>
      </c>
      <c r="B669" s="2" t="str">
        <f>VLOOKUP(A669,Table3[#All],2,FALSE)</f>
        <v>Suresh</v>
      </c>
      <c r="C669" s="2" t="str">
        <f>VLOOKUP(A669,Table3[#All],3,FALSE)</f>
        <v>HR</v>
      </c>
      <c r="D669" s="2">
        <f>VLOOKUP(A669,Table3[#All],4,FALSE)</f>
        <v>26</v>
      </c>
      <c r="E669" s="2" t="str">
        <f>VLOOKUP(A669,Table3[#All],5,FALSE)</f>
        <v>Female</v>
      </c>
      <c r="F669" s="2">
        <f>VLOOKUP(A669,Table3[#All],6,FALSE)</f>
        <v>5</v>
      </c>
      <c r="G669" s="2">
        <f>VLOOKUP(A669,Table3[#All],7,FALSE)</f>
        <v>60301</v>
      </c>
      <c r="H669" s="2">
        <f>VLOOKUP(A669,Table3[#All],8,FALSE)</f>
        <v>12</v>
      </c>
      <c r="I669" s="2">
        <f>VLOOKUP(A669,Table3[#All],9,FALSE)</f>
        <v>36</v>
      </c>
      <c r="J669" s="2">
        <f>VLOOKUP(A669,Table3[#All],10,FALSE)</f>
        <v>5</v>
      </c>
      <c r="K669" s="2">
        <f>VLOOKUP(A669,Table3[#All],11,FALSE)</f>
        <v>94</v>
      </c>
      <c r="L669" s="2" t="str">
        <f>VLOOKUP(A669,Table3[#All],12,FALSE)</f>
        <v>Hyderabad</v>
      </c>
      <c r="M669" s="2" t="str">
        <f t="shared" si="10"/>
        <v>Not Eligible</v>
      </c>
    </row>
    <row r="670" spans="1:13" x14ac:dyDescent="0.25">
      <c r="A670" s="5" t="s">
        <v>980</v>
      </c>
      <c r="B670" s="2" t="str">
        <f>VLOOKUP(A670,Table3[#All],2,FALSE)</f>
        <v>Ravi</v>
      </c>
      <c r="C670" s="2" t="str">
        <f>VLOOKUP(A670,Table3[#All],3,FALSE)</f>
        <v>Sales</v>
      </c>
      <c r="D670" s="2">
        <f>VLOOKUP(A670,Table3[#All],4,FALSE)</f>
        <v>28</v>
      </c>
      <c r="E670" s="2" t="str">
        <f>VLOOKUP(A670,Table3[#All],5,FALSE)</f>
        <v>Female</v>
      </c>
      <c r="F670" s="2">
        <f>VLOOKUP(A670,Table3[#All],6,FALSE)</f>
        <v>12</v>
      </c>
      <c r="G670" s="2">
        <f>VLOOKUP(A670,Table3[#All],7,FALSE)</f>
        <v>60304</v>
      </c>
      <c r="H670" s="2">
        <f>VLOOKUP(A670,Table3[#All],8,FALSE)</f>
        <v>15</v>
      </c>
      <c r="I670" s="2">
        <f>VLOOKUP(A670,Table3[#All],9,FALSE)</f>
        <v>46</v>
      </c>
      <c r="J670" s="2">
        <f>VLOOKUP(A670,Table3[#All],10,FALSE)</f>
        <v>2</v>
      </c>
      <c r="K670" s="2">
        <f>VLOOKUP(A670,Table3[#All],11,FALSE)</f>
        <v>97</v>
      </c>
      <c r="L670" s="2" t="str">
        <f>VLOOKUP(A670,Table3[#All],12,FALSE)</f>
        <v>Pune</v>
      </c>
      <c r="M670" s="2" t="str">
        <f t="shared" si="10"/>
        <v>Eligible</v>
      </c>
    </row>
    <row r="671" spans="1:13" hidden="1" x14ac:dyDescent="0.25">
      <c r="A671" s="5" t="s">
        <v>848</v>
      </c>
      <c r="B671" s="2" t="str">
        <f>VLOOKUP(A671,Table3[#All],2,FALSE)</f>
        <v>Arun</v>
      </c>
      <c r="C671" s="2" t="str">
        <f>VLOOKUP(A671,Table3[#All],3,FALSE)</f>
        <v>Sales</v>
      </c>
      <c r="D671" s="2">
        <f>VLOOKUP(A671,Table3[#All],4,FALSE)</f>
        <v>27</v>
      </c>
      <c r="E671" s="2" t="str">
        <f>VLOOKUP(A671,Table3[#All],5,FALSE)</f>
        <v>Female</v>
      </c>
      <c r="F671" s="2">
        <f>VLOOKUP(A671,Table3[#All],6,FALSE)</f>
        <v>12</v>
      </c>
      <c r="G671" s="2">
        <f>VLOOKUP(A671,Table3[#All],7,FALSE)</f>
        <v>60342</v>
      </c>
      <c r="H671" s="2">
        <f>VLOOKUP(A671,Table3[#All],8,FALSE)</f>
        <v>8</v>
      </c>
      <c r="I671" s="2">
        <f>VLOOKUP(A671,Table3[#All],9,FALSE)</f>
        <v>50</v>
      </c>
      <c r="J671" s="2">
        <f>VLOOKUP(A671,Table3[#All],10,FALSE)</f>
        <v>4</v>
      </c>
      <c r="K671" s="2">
        <f>VLOOKUP(A671,Table3[#All],11,FALSE)</f>
        <v>95</v>
      </c>
      <c r="L671" s="2" t="str">
        <f>VLOOKUP(A671,Table3[#All],12,FALSE)</f>
        <v>Delhi</v>
      </c>
      <c r="M671" s="2" t="str">
        <f t="shared" si="10"/>
        <v>Eligible</v>
      </c>
    </row>
    <row r="672" spans="1:13" hidden="1" x14ac:dyDescent="0.25">
      <c r="A672" s="6" t="s">
        <v>945</v>
      </c>
      <c r="B672" s="2" t="str">
        <f>VLOOKUP(A672,Table3[#All],2,FALSE)</f>
        <v>Vijay</v>
      </c>
      <c r="C672" s="2" t="str">
        <f>VLOOKUP(A672,Table3[#All],3,FALSE)</f>
        <v>IT</v>
      </c>
      <c r="D672" s="2">
        <f>VLOOKUP(A672,Table3[#All],4,FALSE)</f>
        <v>24</v>
      </c>
      <c r="E672" s="2" t="str">
        <f>VLOOKUP(A672,Table3[#All],5,FALSE)</f>
        <v>Male</v>
      </c>
      <c r="F672" s="2">
        <f>VLOOKUP(A672,Table3[#All],6,FALSE)</f>
        <v>7</v>
      </c>
      <c r="G672" s="2">
        <f>VLOOKUP(A672,Table3[#All],7,FALSE)</f>
        <v>60513</v>
      </c>
      <c r="H672" s="2">
        <f>VLOOKUP(A672,Table3[#All],8,FALSE)</f>
        <v>8</v>
      </c>
      <c r="I672" s="2">
        <f>VLOOKUP(A672,Table3[#All],9,FALSE)</f>
        <v>41</v>
      </c>
      <c r="J672" s="2">
        <f>VLOOKUP(A672,Table3[#All],10,FALSE)</f>
        <v>1</v>
      </c>
      <c r="K672" s="2">
        <f>VLOOKUP(A672,Table3[#All],11,FALSE)</f>
        <v>91</v>
      </c>
      <c r="L672" s="2" t="str">
        <f>VLOOKUP(A672,Table3[#All],12,FALSE)</f>
        <v>Mumbai</v>
      </c>
      <c r="M672" s="2" t="str">
        <f t="shared" si="10"/>
        <v>Not Eligible</v>
      </c>
    </row>
    <row r="673" spans="1:13" hidden="1" x14ac:dyDescent="0.25">
      <c r="A673" s="5" t="s">
        <v>716</v>
      </c>
      <c r="B673" s="2" t="str">
        <f>VLOOKUP(A673,Table3[#All],2,FALSE)</f>
        <v>Anitha</v>
      </c>
      <c r="C673" s="2" t="str">
        <f>VLOOKUP(A673,Table3[#All],3,FALSE)</f>
        <v>IT</v>
      </c>
      <c r="D673" s="2">
        <f>VLOOKUP(A673,Table3[#All],4,FALSE)</f>
        <v>22</v>
      </c>
      <c r="E673" s="2" t="str">
        <f>VLOOKUP(A673,Table3[#All],5,FALSE)</f>
        <v>Female</v>
      </c>
      <c r="F673" s="2">
        <f>VLOOKUP(A673,Table3[#All],6,FALSE)</f>
        <v>14</v>
      </c>
      <c r="G673" s="2">
        <f>VLOOKUP(A673,Table3[#All],7,FALSE)</f>
        <v>60700</v>
      </c>
      <c r="H673" s="2">
        <f>VLOOKUP(A673,Table3[#All],8,FALSE)</f>
        <v>9</v>
      </c>
      <c r="I673" s="2">
        <f>VLOOKUP(A673,Table3[#All],9,FALSE)</f>
        <v>36</v>
      </c>
      <c r="J673" s="2">
        <f>VLOOKUP(A673,Table3[#All],10,FALSE)</f>
        <v>3</v>
      </c>
      <c r="K673" s="2">
        <f>VLOOKUP(A673,Table3[#All],11,FALSE)</f>
        <v>99</v>
      </c>
      <c r="L673" s="2" t="str">
        <f>VLOOKUP(A673,Table3[#All],12,FALSE)</f>
        <v>Mumbai</v>
      </c>
      <c r="M673" s="2" t="str">
        <f t="shared" si="10"/>
        <v>Eligible</v>
      </c>
    </row>
    <row r="674" spans="1:13" hidden="1" x14ac:dyDescent="0.25">
      <c r="A674" s="6" t="s">
        <v>1007</v>
      </c>
      <c r="B674" s="2" t="str">
        <f>VLOOKUP(A674,Table3[#All],2,FALSE)</f>
        <v>Ramesh</v>
      </c>
      <c r="C674" s="2" t="str">
        <f>VLOOKUP(A674,Table3[#All],3,FALSE)</f>
        <v>Sales</v>
      </c>
      <c r="D674" s="2">
        <f>VLOOKUP(A674,Table3[#All],4,FALSE)</f>
        <v>22</v>
      </c>
      <c r="E674" s="2" t="str">
        <f>VLOOKUP(A674,Table3[#All],5,FALSE)</f>
        <v>Female</v>
      </c>
      <c r="F674" s="2">
        <f>VLOOKUP(A674,Table3[#All],6,FALSE)</f>
        <v>15</v>
      </c>
      <c r="G674" s="2">
        <f>VLOOKUP(A674,Table3[#All],7,FALSE)</f>
        <v>60768</v>
      </c>
      <c r="H674" s="2">
        <f>VLOOKUP(A674,Table3[#All],8,FALSE)</f>
        <v>3</v>
      </c>
      <c r="I674" s="2">
        <f>VLOOKUP(A674,Table3[#All],9,FALSE)</f>
        <v>41</v>
      </c>
      <c r="J674" s="2">
        <f>VLOOKUP(A674,Table3[#All],10,FALSE)</f>
        <v>4</v>
      </c>
      <c r="K674" s="2">
        <f>VLOOKUP(A674,Table3[#All],11,FALSE)</f>
        <v>92</v>
      </c>
      <c r="L674" s="2" t="str">
        <f>VLOOKUP(A674,Table3[#All],12,FALSE)</f>
        <v>Pune</v>
      </c>
      <c r="M674" s="2" t="str">
        <f t="shared" si="10"/>
        <v>Not Eligible</v>
      </c>
    </row>
    <row r="675" spans="1:13" hidden="1" x14ac:dyDescent="0.25">
      <c r="A675" s="6" t="s">
        <v>717</v>
      </c>
      <c r="B675" s="2" t="str">
        <f>VLOOKUP(A675,Table3[#All],2,FALSE)</f>
        <v>Suresh</v>
      </c>
      <c r="C675" s="2" t="str">
        <f>VLOOKUP(A675,Table3[#All],3,FALSE)</f>
        <v>Sales</v>
      </c>
      <c r="D675" s="2">
        <f>VLOOKUP(A675,Table3[#All],4,FALSE)</f>
        <v>33</v>
      </c>
      <c r="E675" s="2" t="str">
        <f>VLOOKUP(A675,Table3[#All],5,FALSE)</f>
        <v>Female</v>
      </c>
      <c r="F675" s="2">
        <f>VLOOKUP(A675,Table3[#All],6,FALSE)</f>
        <v>3</v>
      </c>
      <c r="G675" s="2">
        <f>VLOOKUP(A675,Table3[#All],7,FALSE)</f>
        <v>63638</v>
      </c>
      <c r="H675" s="2">
        <f>VLOOKUP(A675,Table3[#All],8,FALSE)</f>
        <v>13</v>
      </c>
      <c r="I675" s="2">
        <f>VLOOKUP(A675,Table3[#All],9,FALSE)</f>
        <v>39</v>
      </c>
      <c r="J675" s="2">
        <f>VLOOKUP(A675,Table3[#All],10,FALSE)</f>
        <v>2</v>
      </c>
      <c r="K675" s="2">
        <f>VLOOKUP(A675,Table3[#All],11,FALSE)</f>
        <v>93</v>
      </c>
      <c r="L675" s="2" t="str">
        <f>VLOOKUP(A675,Table3[#All],12,FALSE)</f>
        <v>Pune</v>
      </c>
      <c r="M675" s="2" t="str">
        <f t="shared" si="10"/>
        <v>Not Eligible</v>
      </c>
    </row>
    <row r="676" spans="1:13" hidden="1" x14ac:dyDescent="0.25">
      <c r="A676" s="6" t="s">
        <v>497</v>
      </c>
      <c r="B676" s="2" t="str">
        <f>VLOOKUP(A676,Table3[#All],2,FALSE)</f>
        <v>Sneha</v>
      </c>
      <c r="C676" s="2" t="str">
        <f>VLOOKUP(A676,Table3[#All],3,FALSE)</f>
        <v>Finance</v>
      </c>
      <c r="D676" s="2">
        <f>VLOOKUP(A676,Table3[#All],4,FALSE)</f>
        <v>33</v>
      </c>
      <c r="E676" s="2" t="str">
        <f>VLOOKUP(A676,Table3[#All],5,FALSE)</f>
        <v>Male</v>
      </c>
      <c r="F676" s="2">
        <f>VLOOKUP(A676,Table3[#All],6,FALSE)</f>
        <v>9</v>
      </c>
      <c r="G676" s="2">
        <f>VLOOKUP(A676,Table3[#All],7,FALSE)</f>
        <v>60842</v>
      </c>
      <c r="H676" s="2">
        <f>VLOOKUP(A676,Table3[#All],8,FALSE)</f>
        <v>5</v>
      </c>
      <c r="I676" s="2">
        <f>VLOOKUP(A676,Table3[#All],9,FALSE)</f>
        <v>36</v>
      </c>
      <c r="J676" s="2">
        <f>VLOOKUP(A676,Table3[#All],10,FALSE)</f>
        <v>2</v>
      </c>
      <c r="K676" s="2">
        <f>VLOOKUP(A676,Table3[#All],11,FALSE)</f>
        <v>87</v>
      </c>
      <c r="L676" s="2" t="str">
        <f>VLOOKUP(A676,Table3[#All],12,FALSE)</f>
        <v>Chennai</v>
      </c>
      <c r="M676" s="2" t="str">
        <f t="shared" si="10"/>
        <v>Not Eligible</v>
      </c>
    </row>
    <row r="677" spans="1:13" hidden="1" x14ac:dyDescent="0.25">
      <c r="A677" s="6" t="s">
        <v>719</v>
      </c>
      <c r="B677" s="2" t="str">
        <f>VLOOKUP(A677,Table3[#All],2,FALSE)</f>
        <v>Ravi</v>
      </c>
      <c r="C677" s="2" t="str">
        <f>VLOOKUP(A677,Table3[#All],3,FALSE)</f>
        <v>Finance</v>
      </c>
      <c r="D677" s="2">
        <f>VLOOKUP(A677,Table3[#All],4,FALSE)</f>
        <v>34</v>
      </c>
      <c r="E677" s="2" t="str">
        <f>VLOOKUP(A677,Table3[#All],5,FALSE)</f>
        <v>Male</v>
      </c>
      <c r="F677" s="2">
        <f>VLOOKUP(A677,Table3[#All],6,FALSE)</f>
        <v>1</v>
      </c>
      <c r="G677" s="2">
        <f>VLOOKUP(A677,Table3[#All],7,FALSE)</f>
        <v>79818</v>
      </c>
      <c r="H677" s="2">
        <f>VLOOKUP(A677,Table3[#All],8,FALSE)</f>
        <v>6</v>
      </c>
      <c r="I677" s="2">
        <f>VLOOKUP(A677,Table3[#All],9,FALSE)</f>
        <v>42</v>
      </c>
      <c r="J677" s="2">
        <f>VLOOKUP(A677,Table3[#All],10,FALSE)</f>
        <v>5</v>
      </c>
      <c r="K677" s="2">
        <f>VLOOKUP(A677,Table3[#All],11,FALSE)</f>
        <v>92</v>
      </c>
      <c r="L677" s="2" t="str">
        <f>VLOOKUP(A677,Table3[#All],12,FALSE)</f>
        <v>Hyderabad</v>
      </c>
      <c r="M677" s="2" t="str">
        <f t="shared" si="10"/>
        <v>Not Eligible</v>
      </c>
    </row>
    <row r="678" spans="1:13" hidden="1" x14ac:dyDescent="0.25">
      <c r="A678" s="5" t="s">
        <v>720</v>
      </c>
      <c r="B678" s="2" t="str">
        <f>VLOOKUP(A678,Table3[#All],2,FALSE)</f>
        <v>Anitha</v>
      </c>
      <c r="C678" s="2" t="str">
        <f>VLOOKUP(A678,Table3[#All],3,FALSE)</f>
        <v>IT</v>
      </c>
      <c r="D678" s="2">
        <f>VLOOKUP(A678,Table3[#All],4,FALSE)</f>
        <v>28</v>
      </c>
      <c r="E678" s="2" t="str">
        <f>VLOOKUP(A678,Table3[#All],5,FALSE)</f>
        <v>Female</v>
      </c>
      <c r="F678" s="2">
        <f>VLOOKUP(A678,Table3[#All],6,FALSE)</f>
        <v>4</v>
      </c>
      <c r="G678" s="2">
        <f>VLOOKUP(A678,Table3[#All],7,FALSE)</f>
        <v>58269</v>
      </c>
      <c r="H678" s="2">
        <f>VLOOKUP(A678,Table3[#All],8,FALSE)</f>
        <v>12</v>
      </c>
      <c r="I678" s="2">
        <f>VLOOKUP(A678,Table3[#All],9,FALSE)</f>
        <v>36</v>
      </c>
      <c r="J678" s="2">
        <f>VLOOKUP(A678,Table3[#All],10,FALSE)</f>
        <v>1</v>
      </c>
      <c r="K678" s="2">
        <f>VLOOKUP(A678,Table3[#All],11,FALSE)</f>
        <v>88</v>
      </c>
      <c r="L678" s="2" t="str">
        <f>VLOOKUP(A678,Table3[#All],12,FALSE)</f>
        <v>Chennai</v>
      </c>
      <c r="M678" s="2" t="str">
        <f t="shared" si="10"/>
        <v>Not Eligible</v>
      </c>
    </row>
    <row r="679" spans="1:13" hidden="1" x14ac:dyDescent="0.25">
      <c r="A679" s="5" t="s">
        <v>788</v>
      </c>
      <c r="B679" s="2" t="str">
        <f>VLOOKUP(A679,Table3[#All],2,FALSE)</f>
        <v>Manoj</v>
      </c>
      <c r="C679" s="2" t="str">
        <f>VLOOKUP(A679,Table3[#All],3,FALSE)</f>
        <v>Sales</v>
      </c>
      <c r="D679" s="2">
        <f>VLOOKUP(A679,Table3[#All],4,FALSE)</f>
        <v>22</v>
      </c>
      <c r="E679" s="2" t="str">
        <f>VLOOKUP(A679,Table3[#All],5,FALSE)</f>
        <v>Female</v>
      </c>
      <c r="F679" s="2">
        <f>VLOOKUP(A679,Table3[#All],6,FALSE)</f>
        <v>14</v>
      </c>
      <c r="G679" s="2">
        <f>VLOOKUP(A679,Table3[#All],7,FALSE)</f>
        <v>60946</v>
      </c>
      <c r="H679" s="2">
        <f>VLOOKUP(A679,Table3[#All],8,FALSE)</f>
        <v>9</v>
      </c>
      <c r="I679" s="2">
        <f>VLOOKUP(A679,Table3[#All],9,FALSE)</f>
        <v>45</v>
      </c>
      <c r="J679" s="2">
        <f>VLOOKUP(A679,Table3[#All],10,FALSE)</f>
        <v>5</v>
      </c>
      <c r="K679" s="2">
        <f>VLOOKUP(A679,Table3[#All],11,FALSE)</f>
        <v>93</v>
      </c>
      <c r="L679" s="2" t="str">
        <f>VLOOKUP(A679,Table3[#All],12,FALSE)</f>
        <v>Pune</v>
      </c>
      <c r="M679" s="2" t="str">
        <f t="shared" si="10"/>
        <v>Not Eligible</v>
      </c>
    </row>
    <row r="680" spans="1:13" hidden="1" x14ac:dyDescent="0.25">
      <c r="A680" s="6" t="s">
        <v>661</v>
      </c>
      <c r="B680" s="2" t="str">
        <f>VLOOKUP(A680,Table3[#All],2,FALSE)</f>
        <v>Divya</v>
      </c>
      <c r="C680" s="2" t="str">
        <f>VLOOKUP(A680,Table3[#All],3,FALSE)</f>
        <v>IT</v>
      </c>
      <c r="D680" s="2">
        <f>VLOOKUP(A680,Table3[#All],4,FALSE)</f>
        <v>31</v>
      </c>
      <c r="E680" s="2" t="str">
        <f>VLOOKUP(A680,Table3[#All],5,FALSE)</f>
        <v>Female</v>
      </c>
      <c r="F680" s="2">
        <f>VLOOKUP(A680,Table3[#All],6,FALSE)</f>
        <v>9</v>
      </c>
      <c r="G680" s="2">
        <f>VLOOKUP(A680,Table3[#All],7,FALSE)</f>
        <v>60967</v>
      </c>
      <c r="H680" s="2">
        <f>VLOOKUP(A680,Table3[#All],8,FALSE)</f>
        <v>9</v>
      </c>
      <c r="I680" s="2">
        <f>VLOOKUP(A680,Table3[#All],9,FALSE)</f>
        <v>50</v>
      </c>
      <c r="J680" s="2">
        <f>VLOOKUP(A680,Table3[#All],10,FALSE)</f>
        <v>5</v>
      </c>
      <c r="K680" s="2">
        <f>VLOOKUP(A680,Table3[#All],11,FALSE)</f>
        <v>100</v>
      </c>
      <c r="L680" s="2" t="str">
        <f>VLOOKUP(A680,Table3[#All],12,FALSE)</f>
        <v>Hyderabad</v>
      </c>
      <c r="M680" s="2" t="str">
        <f t="shared" si="10"/>
        <v>Eligible</v>
      </c>
    </row>
    <row r="681" spans="1:13" hidden="1" x14ac:dyDescent="0.25">
      <c r="A681" s="5" t="s">
        <v>590</v>
      </c>
      <c r="B681" s="2" t="str">
        <f>VLOOKUP(A681,Table3[#All],2,FALSE)</f>
        <v>Anitha</v>
      </c>
      <c r="C681" s="2" t="str">
        <f>VLOOKUP(A681,Table3[#All],3,FALSE)</f>
        <v>Sales</v>
      </c>
      <c r="D681" s="2">
        <f>VLOOKUP(A681,Table3[#All],4,FALSE)</f>
        <v>23</v>
      </c>
      <c r="E681" s="2" t="str">
        <f>VLOOKUP(A681,Table3[#All],5,FALSE)</f>
        <v>Male</v>
      </c>
      <c r="F681" s="2">
        <f>VLOOKUP(A681,Table3[#All],6,FALSE)</f>
        <v>12</v>
      </c>
      <c r="G681" s="2">
        <f>VLOOKUP(A681,Table3[#All],7,FALSE)</f>
        <v>61225</v>
      </c>
      <c r="H681" s="2">
        <f>VLOOKUP(A681,Table3[#All],8,FALSE)</f>
        <v>13</v>
      </c>
      <c r="I681" s="2">
        <f>VLOOKUP(A681,Table3[#All],9,FALSE)</f>
        <v>38</v>
      </c>
      <c r="J681" s="2">
        <f>VLOOKUP(A681,Table3[#All],10,FALSE)</f>
        <v>5</v>
      </c>
      <c r="K681" s="2">
        <f>VLOOKUP(A681,Table3[#All],11,FALSE)</f>
        <v>86</v>
      </c>
      <c r="L681" s="2" t="str">
        <f>VLOOKUP(A681,Table3[#All],12,FALSE)</f>
        <v>Delhi</v>
      </c>
      <c r="M681" s="2" t="str">
        <f t="shared" si="10"/>
        <v>Not Eligible</v>
      </c>
    </row>
    <row r="682" spans="1:13" hidden="1" x14ac:dyDescent="0.25">
      <c r="A682" s="5" t="s">
        <v>724</v>
      </c>
      <c r="B682" s="2" t="str">
        <f>VLOOKUP(A682,Table3[#All],2,FALSE)</f>
        <v>Priya</v>
      </c>
      <c r="C682" s="2" t="str">
        <f>VLOOKUP(A682,Table3[#All],3,FALSE)</f>
        <v>Sales</v>
      </c>
      <c r="D682" s="2">
        <f>VLOOKUP(A682,Table3[#All],4,FALSE)</f>
        <v>33</v>
      </c>
      <c r="E682" s="2" t="str">
        <f>VLOOKUP(A682,Table3[#All],5,FALSE)</f>
        <v>Male</v>
      </c>
      <c r="F682" s="2">
        <f>VLOOKUP(A682,Table3[#All],6,FALSE)</f>
        <v>1</v>
      </c>
      <c r="G682" s="2">
        <f>VLOOKUP(A682,Table3[#All],7,FALSE)</f>
        <v>60040</v>
      </c>
      <c r="H682" s="2">
        <f>VLOOKUP(A682,Table3[#All],8,FALSE)</f>
        <v>6</v>
      </c>
      <c r="I682" s="2">
        <f>VLOOKUP(A682,Table3[#All],9,FALSE)</f>
        <v>42</v>
      </c>
      <c r="J682" s="2">
        <f>VLOOKUP(A682,Table3[#All],10,FALSE)</f>
        <v>5</v>
      </c>
      <c r="K682" s="2">
        <f>VLOOKUP(A682,Table3[#All],11,FALSE)</f>
        <v>98</v>
      </c>
      <c r="L682" s="2" t="str">
        <f>VLOOKUP(A682,Table3[#All],12,FALSE)</f>
        <v>Mumbai</v>
      </c>
      <c r="M682" s="2" t="str">
        <f t="shared" si="10"/>
        <v>Eligible</v>
      </c>
    </row>
    <row r="683" spans="1:13" hidden="1" x14ac:dyDescent="0.25">
      <c r="A683" s="6" t="s">
        <v>725</v>
      </c>
      <c r="B683" s="2" t="str">
        <f>VLOOKUP(A683,Table3[#All],2,FALSE)</f>
        <v>Karthik</v>
      </c>
      <c r="C683" s="2" t="str">
        <f>VLOOKUP(A683,Table3[#All],3,FALSE)</f>
        <v>Sales</v>
      </c>
      <c r="D683" s="2">
        <f>VLOOKUP(A683,Table3[#All],4,FALSE)</f>
        <v>29</v>
      </c>
      <c r="E683" s="2" t="str">
        <f>VLOOKUP(A683,Table3[#All],5,FALSE)</f>
        <v>Male</v>
      </c>
      <c r="F683" s="2">
        <f>VLOOKUP(A683,Table3[#All],6,FALSE)</f>
        <v>1</v>
      </c>
      <c r="G683" s="2">
        <f>VLOOKUP(A683,Table3[#All],7,FALSE)</f>
        <v>38611</v>
      </c>
      <c r="H683" s="2">
        <f>VLOOKUP(A683,Table3[#All],8,FALSE)</f>
        <v>5</v>
      </c>
      <c r="I683" s="2">
        <f>VLOOKUP(A683,Table3[#All],9,FALSE)</f>
        <v>45</v>
      </c>
      <c r="J683" s="2">
        <f>VLOOKUP(A683,Table3[#All],10,FALSE)</f>
        <v>5</v>
      </c>
      <c r="K683" s="2">
        <f>VLOOKUP(A683,Table3[#All],11,FALSE)</f>
        <v>86</v>
      </c>
      <c r="L683" s="2" t="str">
        <f>VLOOKUP(A683,Table3[#All],12,FALSE)</f>
        <v>Pune</v>
      </c>
      <c r="M683" s="2" t="str">
        <f t="shared" si="10"/>
        <v>Not Eligible</v>
      </c>
    </row>
    <row r="684" spans="1:13" hidden="1" x14ac:dyDescent="0.25">
      <c r="A684" s="5" t="s">
        <v>726</v>
      </c>
      <c r="B684" s="2" t="str">
        <f>VLOOKUP(A684,Table3[#All],2,FALSE)</f>
        <v>Meena</v>
      </c>
      <c r="C684" s="2" t="str">
        <f>VLOOKUP(A684,Table3[#All],3,FALSE)</f>
        <v>Finance</v>
      </c>
      <c r="D684" s="2">
        <f>VLOOKUP(A684,Table3[#All],4,FALSE)</f>
        <v>32</v>
      </c>
      <c r="E684" s="2" t="str">
        <f>VLOOKUP(A684,Table3[#All],5,FALSE)</f>
        <v>Male</v>
      </c>
      <c r="F684" s="2">
        <f>VLOOKUP(A684,Table3[#All],6,FALSE)</f>
        <v>4</v>
      </c>
      <c r="G684" s="2">
        <f>VLOOKUP(A684,Table3[#All],7,FALSE)</f>
        <v>52321</v>
      </c>
      <c r="H684" s="2">
        <f>VLOOKUP(A684,Table3[#All],8,FALSE)</f>
        <v>8</v>
      </c>
      <c r="I684" s="2">
        <f>VLOOKUP(A684,Table3[#All],9,FALSE)</f>
        <v>46</v>
      </c>
      <c r="J684" s="2">
        <f>VLOOKUP(A684,Table3[#All],10,FALSE)</f>
        <v>4</v>
      </c>
      <c r="K684" s="2">
        <f>VLOOKUP(A684,Table3[#All],11,FALSE)</f>
        <v>92</v>
      </c>
      <c r="L684" s="2" t="str">
        <f>VLOOKUP(A684,Table3[#All],12,FALSE)</f>
        <v>Chennai</v>
      </c>
      <c r="M684" s="2" t="str">
        <f t="shared" si="10"/>
        <v>Not Eligible</v>
      </c>
    </row>
    <row r="685" spans="1:13" hidden="1" x14ac:dyDescent="0.25">
      <c r="A685" s="6" t="s">
        <v>727</v>
      </c>
      <c r="B685" s="2" t="str">
        <f>VLOOKUP(A685,Table3[#All],2,FALSE)</f>
        <v>Meena</v>
      </c>
      <c r="C685" s="2" t="str">
        <f>VLOOKUP(A685,Table3[#All],3,FALSE)</f>
        <v>Sales</v>
      </c>
      <c r="D685" s="2">
        <f>VLOOKUP(A685,Table3[#All],4,FALSE)</f>
        <v>39</v>
      </c>
      <c r="E685" s="2" t="str">
        <f>VLOOKUP(A685,Table3[#All],5,FALSE)</f>
        <v>Female</v>
      </c>
      <c r="F685" s="2">
        <f>VLOOKUP(A685,Table3[#All],6,FALSE)</f>
        <v>1</v>
      </c>
      <c r="G685" s="2">
        <f>VLOOKUP(A685,Table3[#All],7,FALSE)</f>
        <v>47902</v>
      </c>
      <c r="H685" s="2">
        <f>VLOOKUP(A685,Table3[#All],8,FALSE)</f>
        <v>10</v>
      </c>
      <c r="I685" s="2">
        <f>VLOOKUP(A685,Table3[#All],9,FALSE)</f>
        <v>38</v>
      </c>
      <c r="J685" s="2">
        <f>VLOOKUP(A685,Table3[#All],10,FALSE)</f>
        <v>1</v>
      </c>
      <c r="K685" s="2">
        <f>VLOOKUP(A685,Table3[#All],11,FALSE)</f>
        <v>97</v>
      </c>
      <c r="L685" s="2" t="str">
        <f>VLOOKUP(A685,Table3[#All],12,FALSE)</f>
        <v>Chennai</v>
      </c>
      <c r="M685" s="2" t="str">
        <f t="shared" si="10"/>
        <v>Eligible</v>
      </c>
    </row>
    <row r="686" spans="1:13" hidden="1" x14ac:dyDescent="0.25">
      <c r="A686" s="5" t="s">
        <v>728</v>
      </c>
      <c r="B686" s="2" t="str">
        <f>VLOOKUP(A686,Table3[#All],2,FALSE)</f>
        <v>Ramesh</v>
      </c>
      <c r="C686" s="2" t="str">
        <f>VLOOKUP(A686,Table3[#All],3,FALSE)</f>
        <v>HR</v>
      </c>
      <c r="D686" s="2">
        <f>VLOOKUP(A686,Table3[#All],4,FALSE)</f>
        <v>31</v>
      </c>
      <c r="E686" s="2" t="str">
        <f>VLOOKUP(A686,Table3[#All],5,FALSE)</f>
        <v>Male</v>
      </c>
      <c r="F686" s="2">
        <f>VLOOKUP(A686,Table3[#All],6,FALSE)</f>
        <v>4</v>
      </c>
      <c r="G686" s="2">
        <f>VLOOKUP(A686,Table3[#All],7,FALSE)</f>
        <v>58909</v>
      </c>
      <c r="H686" s="2">
        <f>VLOOKUP(A686,Table3[#All],8,FALSE)</f>
        <v>10</v>
      </c>
      <c r="I686" s="2">
        <f>VLOOKUP(A686,Table3[#All],9,FALSE)</f>
        <v>40</v>
      </c>
      <c r="J686" s="2">
        <f>VLOOKUP(A686,Table3[#All],10,FALSE)</f>
        <v>4</v>
      </c>
      <c r="K686" s="2">
        <f>VLOOKUP(A686,Table3[#All],11,FALSE)</f>
        <v>89</v>
      </c>
      <c r="L686" s="2" t="str">
        <f>VLOOKUP(A686,Table3[#All],12,FALSE)</f>
        <v>Delhi</v>
      </c>
      <c r="M686" s="2" t="str">
        <f t="shared" si="10"/>
        <v>Not Eligible</v>
      </c>
    </row>
    <row r="687" spans="1:13" hidden="1" x14ac:dyDescent="0.25">
      <c r="A687" s="5" t="s">
        <v>220</v>
      </c>
      <c r="B687" s="2" t="str">
        <f>VLOOKUP(A687,Table3[#All],2,FALSE)</f>
        <v>Arun</v>
      </c>
      <c r="C687" s="2" t="str">
        <f>VLOOKUP(A687,Table3[#All],3,FALSE)</f>
        <v>IT</v>
      </c>
      <c r="D687" s="2">
        <f>VLOOKUP(A687,Table3[#All],4,FALSE)</f>
        <v>35</v>
      </c>
      <c r="E687" s="2" t="str">
        <f>VLOOKUP(A687,Table3[#All],5,FALSE)</f>
        <v>Male</v>
      </c>
      <c r="F687" s="2">
        <f>VLOOKUP(A687,Table3[#All],6,FALSE)</f>
        <v>11</v>
      </c>
      <c r="G687" s="2">
        <f>VLOOKUP(A687,Table3[#All],7,FALSE)</f>
        <v>61411</v>
      </c>
      <c r="H687" s="2">
        <f>VLOOKUP(A687,Table3[#All],8,FALSE)</f>
        <v>6</v>
      </c>
      <c r="I687" s="2">
        <f>VLOOKUP(A687,Table3[#All],9,FALSE)</f>
        <v>44</v>
      </c>
      <c r="J687" s="2">
        <f>VLOOKUP(A687,Table3[#All],10,FALSE)</f>
        <v>4</v>
      </c>
      <c r="K687" s="2">
        <f>VLOOKUP(A687,Table3[#All],11,FALSE)</f>
        <v>92</v>
      </c>
      <c r="L687" s="2" t="str">
        <f>VLOOKUP(A687,Table3[#All],12,FALSE)</f>
        <v>Mumbai</v>
      </c>
      <c r="M687" s="2" t="str">
        <f t="shared" si="10"/>
        <v>Not Eligible</v>
      </c>
    </row>
    <row r="688" spans="1:13" x14ac:dyDescent="0.25">
      <c r="A688" s="6" t="s">
        <v>569</v>
      </c>
      <c r="B688" s="2" t="str">
        <f>VLOOKUP(A688,Table3[#All],2,FALSE)</f>
        <v>Vijay</v>
      </c>
      <c r="C688" s="2" t="str">
        <f>VLOOKUP(A688,Table3[#All],3,FALSE)</f>
        <v>Sales</v>
      </c>
      <c r="D688" s="2">
        <f>VLOOKUP(A688,Table3[#All],4,FALSE)</f>
        <v>25</v>
      </c>
      <c r="E688" s="2" t="str">
        <f>VLOOKUP(A688,Table3[#All],5,FALSE)</f>
        <v>Male</v>
      </c>
      <c r="F688" s="2">
        <f>VLOOKUP(A688,Table3[#All],6,FALSE)</f>
        <v>10</v>
      </c>
      <c r="G688" s="2">
        <f>VLOOKUP(A688,Table3[#All],7,FALSE)</f>
        <v>61488</v>
      </c>
      <c r="H688" s="2">
        <f>VLOOKUP(A688,Table3[#All],8,FALSE)</f>
        <v>11</v>
      </c>
      <c r="I688" s="2">
        <f>VLOOKUP(A688,Table3[#All],9,FALSE)</f>
        <v>44</v>
      </c>
      <c r="J688" s="2">
        <f>VLOOKUP(A688,Table3[#All],10,FALSE)</f>
        <v>1</v>
      </c>
      <c r="K688" s="2">
        <f>VLOOKUP(A688,Table3[#All],11,FALSE)</f>
        <v>99</v>
      </c>
      <c r="L688" s="2" t="str">
        <f>VLOOKUP(A688,Table3[#All],12,FALSE)</f>
        <v>Hyderabad</v>
      </c>
      <c r="M688" s="2" t="str">
        <f t="shared" si="10"/>
        <v>Eligible</v>
      </c>
    </row>
    <row r="689" spans="1:13" hidden="1" x14ac:dyDescent="0.25">
      <c r="A689" s="6" t="s">
        <v>1041</v>
      </c>
      <c r="B689" s="2" t="str">
        <f>VLOOKUP(A689,Table3[#All],2,FALSE)</f>
        <v>Sanjay</v>
      </c>
      <c r="C689" s="2" t="str">
        <f>VLOOKUP(A689,Table3[#All],3,FALSE)</f>
        <v>Finance</v>
      </c>
      <c r="D689" s="2">
        <f>VLOOKUP(A689,Table3[#All],4,FALSE)</f>
        <v>27</v>
      </c>
      <c r="E689" s="2" t="str">
        <f>VLOOKUP(A689,Table3[#All],5,FALSE)</f>
        <v>Female</v>
      </c>
      <c r="F689" s="2">
        <f>VLOOKUP(A689,Table3[#All],6,FALSE)</f>
        <v>9</v>
      </c>
      <c r="G689" s="2">
        <f>VLOOKUP(A689,Table3[#All],7,FALSE)</f>
        <v>61493</v>
      </c>
      <c r="H689" s="2">
        <f>VLOOKUP(A689,Table3[#All],8,FALSE)</f>
        <v>4</v>
      </c>
      <c r="I689" s="2">
        <f>VLOOKUP(A689,Table3[#All],9,FALSE)</f>
        <v>40</v>
      </c>
      <c r="J689" s="2">
        <f>VLOOKUP(A689,Table3[#All],10,FALSE)</f>
        <v>4</v>
      </c>
      <c r="K689" s="2">
        <f>VLOOKUP(A689,Table3[#All],11,FALSE)</f>
        <v>85</v>
      </c>
      <c r="L689" s="2" t="str">
        <f>VLOOKUP(A689,Table3[#All],12,FALSE)</f>
        <v>Mumbai</v>
      </c>
      <c r="M689" s="2" t="str">
        <f t="shared" si="10"/>
        <v>Not Eligible</v>
      </c>
    </row>
    <row r="690" spans="1:13" hidden="1" x14ac:dyDescent="0.25">
      <c r="A690" s="5" t="s">
        <v>732</v>
      </c>
      <c r="B690" s="2" t="str">
        <f>VLOOKUP(A690,Table3[#All],2,FALSE)</f>
        <v>Priya</v>
      </c>
      <c r="C690" s="2" t="str">
        <f>VLOOKUP(A690,Table3[#All],3,FALSE)</f>
        <v>Finance</v>
      </c>
      <c r="D690" s="2">
        <f>VLOOKUP(A690,Table3[#All],4,FALSE)</f>
        <v>22</v>
      </c>
      <c r="E690" s="2" t="str">
        <f>VLOOKUP(A690,Table3[#All],5,FALSE)</f>
        <v>Female</v>
      </c>
      <c r="F690" s="2">
        <f>VLOOKUP(A690,Table3[#All],6,FALSE)</f>
        <v>2</v>
      </c>
      <c r="G690" s="2">
        <f>VLOOKUP(A690,Table3[#All],7,FALSE)</f>
        <v>36546</v>
      </c>
      <c r="H690" s="2">
        <f>VLOOKUP(A690,Table3[#All],8,FALSE)</f>
        <v>11</v>
      </c>
      <c r="I690" s="2">
        <f>VLOOKUP(A690,Table3[#All],9,FALSE)</f>
        <v>41</v>
      </c>
      <c r="J690" s="2">
        <f>VLOOKUP(A690,Table3[#All],10,FALSE)</f>
        <v>5</v>
      </c>
      <c r="K690" s="2">
        <f>VLOOKUP(A690,Table3[#All],11,FALSE)</f>
        <v>96</v>
      </c>
      <c r="L690" s="2" t="str">
        <f>VLOOKUP(A690,Table3[#All],12,FALSE)</f>
        <v>Pune</v>
      </c>
      <c r="M690" s="2" t="str">
        <f t="shared" si="10"/>
        <v>Eligible</v>
      </c>
    </row>
    <row r="691" spans="1:13" hidden="1" x14ac:dyDescent="0.25">
      <c r="A691" s="6" t="s">
        <v>733</v>
      </c>
      <c r="B691" s="2" t="str">
        <f>VLOOKUP(A691,Table3[#All],2,FALSE)</f>
        <v>Priya</v>
      </c>
      <c r="C691" s="2" t="str">
        <f>VLOOKUP(A691,Table3[#All],3,FALSE)</f>
        <v>IT</v>
      </c>
      <c r="D691" s="2">
        <f>VLOOKUP(A691,Table3[#All],4,FALSE)</f>
        <v>29</v>
      </c>
      <c r="E691" s="2" t="str">
        <f>VLOOKUP(A691,Table3[#All],5,FALSE)</f>
        <v>Male</v>
      </c>
      <c r="F691" s="2">
        <f>VLOOKUP(A691,Table3[#All],6,FALSE)</f>
        <v>2</v>
      </c>
      <c r="G691" s="2">
        <f>VLOOKUP(A691,Table3[#All],7,FALSE)</f>
        <v>33668</v>
      </c>
      <c r="H691" s="2">
        <f>VLOOKUP(A691,Table3[#All],8,FALSE)</f>
        <v>10</v>
      </c>
      <c r="I691" s="2">
        <f>VLOOKUP(A691,Table3[#All],9,FALSE)</f>
        <v>38</v>
      </c>
      <c r="J691" s="2">
        <f>VLOOKUP(A691,Table3[#All],10,FALSE)</f>
        <v>4</v>
      </c>
      <c r="K691" s="2">
        <f>VLOOKUP(A691,Table3[#All],11,FALSE)</f>
        <v>85</v>
      </c>
      <c r="L691" s="2" t="str">
        <f>VLOOKUP(A691,Table3[#All],12,FALSE)</f>
        <v>Delhi</v>
      </c>
      <c r="M691" s="2" t="str">
        <f t="shared" si="10"/>
        <v>Not Eligible</v>
      </c>
    </row>
    <row r="692" spans="1:13" hidden="1" x14ac:dyDescent="0.25">
      <c r="A692" s="5" t="s">
        <v>990</v>
      </c>
      <c r="B692" s="2" t="str">
        <f>VLOOKUP(A692,Table3[#All],2,FALSE)</f>
        <v>Arun</v>
      </c>
      <c r="C692" s="2" t="str">
        <f>VLOOKUP(A692,Table3[#All],3,FALSE)</f>
        <v>HR</v>
      </c>
      <c r="D692" s="2">
        <f>VLOOKUP(A692,Table3[#All],4,FALSE)</f>
        <v>37</v>
      </c>
      <c r="E692" s="2" t="str">
        <f>VLOOKUP(A692,Table3[#All],5,FALSE)</f>
        <v>Female</v>
      </c>
      <c r="F692" s="2">
        <f>VLOOKUP(A692,Table3[#All],6,FALSE)</f>
        <v>7</v>
      </c>
      <c r="G692" s="2">
        <f>VLOOKUP(A692,Table3[#All],7,FALSE)</f>
        <v>61685</v>
      </c>
      <c r="H692" s="2">
        <f>VLOOKUP(A692,Table3[#All],8,FALSE)</f>
        <v>6</v>
      </c>
      <c r="I692" s="2">
        <f>VLOOKUP(A692,Table3[#All],9,FALSE)</f>
        <v>49</v>
      </c>
      <c r="J692" s="2">
        <f>VLOOKUP(A692,Table3[#All],10,FALSE)</f>
        <v>3</v>
      </c>
      <c r="K692" s="2">
        <f>VLOOKUP(A692,Table3[#All],11,FALSE)</f>
        <v>86</v>
      </c>
      <c r="L692" s="2" t="str">
        <f>VLOOKUP(A692,Table3[#All],12,FALSE)</f>
        <v>Chennai</v>
      </c>
      <c r="M692" s="2" t="str">
        <f t="shared" si="10"/>
        <v>Not Eligible</v>
      </c>
    </row>
    <row r="693" spans="1:13" hidden="1" x14ac:dyDescent="0.25">
      <c r="A693" s="6" t="s">
        <v>389</v>
      </c>
      <c r="B693" s="2" t="str">
        <f>VLOOKUP(A693,Table3[#All],2,FALSE)</f>
        <v>Kavya</v>
      </c>
      <c r="C693" s="2" t="str">
        <f>VLOOKUP(A693,Table3[#All],3,FALSE)</f>
        <v>HR</v>
      </c>
      <c r="D693" s="2">
        <f>VLOOKUP(A693,Table3[#All],4,FALSE)</f>
        <v>23</v>
      </c>
      <c r="E693" s="2" t="str">
        <f>VLOOKUP(A693,Table3[#All],5,FALSE)</f>
        <v>Female</v>
      </c>
      <c r="F693" s="2">
        <f>VLOOKUP(A693,Table3[#All],6,FALSE)</f>
        <v>14</v>
      </c>
      <c r="G693" s="2">
        <f>VLOOKUP(A693,Table3[#All],7,FALSE)</f>
        <v>61777</v>
      </c>
      <c r="H693" s="2">
        <f>VLOOKUP(A693,Table3[#All],8,FALSE)</f>
        <v>13</v>
      </c>
      <c r="I693" s="2">
        <f>VLOOKUP(A693,Table3[#All],9,FALSE)</f>
        <v>44</v>
      </c>
      <c r="J693" s="2">
        <f>VLOOKUP(A693,Table3[#All],10,FALSE)</f>
        <v>4</v>
      </c>
      <c r="K693" s="2">
        <f>VLOOKUP(A693,Table3[#All],11,FALSE)</f>
        <v>86</v>
      </c>
      <c r="L693" s="2" t="str">
        <f>VLOOKUP(A693,Table3[#All],12,FALSE)</f>
        <v>Hyderabad</v>
      </c>
      <c r="M693" s="2" t="str">
        <f t="shared" si="10"/>
        <v>Not Eligible</v>
      </c>
    </row>
    <row r="694" spans="1:13" hidden="1" x14ac:dyDescent="0.25">
      <c r="A694" s="5" t="s">
        <v>178</v>
      </c>
      <c r="B694" s="2" t="str">
        <f>VLOOKUP(A694,Table3[#All],2,FALSE)</f>
        <v>Lakshmi</v>
      </c>
      <c r="C694" s="2" t="str">
        <f>VLOOKUP(A694,Table3[#All],3,FALSE)</f>
        <v>Finance</v>
      </c>
      <c r="D694" s="2">
        <f>VLOOKUP(A694,Table3[#All],4,FALSE)</f>
        <v>27</v>
      </c>
      <c r="E694" s="2" t="str">
        <f>VLOOKUP(A694,Table3[#All],5,FALSE)</f>
        <v>Male</v>
      </c>
      <c r="F694" s="2">
        <f>VLOOKUP(A694,Table3[#All],6,FALSE)</f>
        <v>5</v>
      </c>
      <c r="G694" s="2">
        <f>VLOOKUP(A694,Table3[#All],7,FALSE)</f>
        <v>61779</v>
      </c>
      <c r="H694" s="2">
        <f>VLOOKUP(A694,Table3[#All],8,FALSE)</f>
        <v>6</v>
      </c>
      <c r="I694" s="2">
        <f>VLOOKUP(A694,Table3[#All],9,FALSE)</f>
        <v>42</v>
      </c>
      <c r="J694" s="2">
        <f>VLOOKUP(A694,Table3[#All],10,FALSE)</f>
        <v>2</v>
      </c>
      <c r="K694" s="2">
        <f>VLOOKUP(A694,Table3[#All],11,FALSE)</f>
        <v>93</v>
      </c>
      <c r="L694" s="2" t="str">
        <f>VLOOKUP(A694,Table3[#All],12,FALSE)</f>
        <v>Mumbai</v>
      </c>
      <c r="M694" s="2" t="str">
        <f t="shared" si="10"/>
        <v>Not Eligible</v>
      </c>
    </row>
    <row r="695" spans="1:13" hidden="1" x14ac:dyDescent="0.25">
      <c r="A695" s="6" t="s">
        <v>737</v>
      </c>
      <c r="B695" s="2" t="str">
        <f>VLOOKUP(A695,Table3[#All],2,FALSE)</f>
        <v>Rekha</v>
      </c>
      <c r="C695" s="2" t="str">
        <f>VLOOKUP(A695,Table3[#All],3,FALSE)</f>
        <v>Sales</v>
      </c>
      <c r="D695" s="2">
        <f>VLOOKUP(A695,Table3[#All],4,FALSE)</f>
        <v>38</v>
      </c>
      <c r="E695" s="2" t="str">
        <f>VLOOKUP(A695,Table3[#All],5,FALSE)</f>
        <v>Female</v>
      </c>
      <c r="F695" s="2">
        <f>VLOOKUP(A695,Table3[#All],6,FALSE)</f>
        <v>1</v>
      </c>
      <c r="G695" s="2">
        <f>VLOOKUP(A695,Table3[#All],7,FALSE)</f>
        <v>63566</v>
      </c>
      <c r="H695" s="2">
        <f>VLOOKUP(A695,Table3[#All],8,FALSE)</f>
        <v>15</v>
      </c>
      <c r="I695" s="2">
        <f>VLOOKUP(A695,Table3[#All],9,FALSE)</f>
        <v>47</v>
      </c>
      <c r="J695" s="2">
        <f>VLOOKUP(A695,Table3[#All],10,FALSE)</f>
        <v>3</v>
      </c>
      <c r="K695" s="2">
        <f>VLOOKUP(A695,Table3[#All],11,FALSE)</f>
        <v>94</v>
      </c>
      <c r="L695" s="2" t="str">
        <f>VLOOKUP(A695,Table3[#All],12,FALSE)</f>
        <v>Hyderabad</v>
      </c>
      <c r="M695" s="2" t="str">
        <f t="shared" si="10"/>
        <v>Not Eligible</v>
      </c>
    </row>
    <row r="696" spans="1:13" hidden="1" x14ac:dyDescent="0.25">
      <c r="A696" s="5" t="s">
        <v>738</v>
      </c>
      <c r="B696" s="2" t="str">
        <f>VLOOKUP(A696,Table3[#All],2,FALSE)</f>
        <v>Divya</v>
      </c>
      <c r="C696" s="2" t="str">
        <f>VLOOKUP(A696,Table3[#All],3,FALSE)</f>
        <v>IT</v>
      </c>
      <c r="D696" s="2">
        <f>VLOOKUP(A696,Table3[#All],4,FALSE)</f>
        <v>23</v>
      </c>
      <c r="E696" s="2" t="str">
        <f>VLOOKUP(A696,Table3[#All],5,FALSE)</f>
        <v>Male</v>
      </c>
      <c r="F696" s="2">
        <f>VLOOKUP(A696,Table3[#All],6,FALSE)</f>
        <v>1</v>
      </c>
      <c r="G696" s="2">
        <f>VLOOKUP(A696,Table3[#All],7,FALSE)</f>
        <v>54295</v>
      </c>
      <c r="H696" s="2">
        <f>VLOOKUP(A696,Table3[#All],8,FALSE)</f>
        <v>10</v>
      </c>
      <c r="I696" s="2">
        <f>VLOOKUP(A696,Table3[#All],9,FALSE)</f>
        <v>41</v>
      </c>
      <c r="J696" s="2">
        <f>VLOOKUP(A696,Table3[#All],10,FALSE)</f>
        <v>4</v>
      </c>
      <c r="K696" s="2">
        <f>VLOOKUP(A696,Table3[#All],11,FALSE)</f>
        <v>94</v>
      </c>
      <c r="L696" s="2" t="str">
        <f>VLOOKUP(A696,Table3[#All],12,FALSE)</f>
        <v>Chennai</v>
      </c>
      <c r="M696" s="2" t="str">
        <f t="shared" si="10"/>
        <v>Not Eligible</v>
      </c>
    </row>
    <row r="697" spans="1:13" hidden="1" x14ac:dyDescent="0.25">
      <c r="A697" s="5" t="s">
        <v>150</v>
      </c>
      <c r="B697" s="2" t="str">
        <f>VLOOKUP(A697,Table3[#All],2,FALSE)</f>
        <v>Sneha</v>
      </c>
      <c r="C697" s="2" t="str">
        <f>VLOOKUP(A697,Table3[#All],3,FALSE)</f>
        <v>Sales</v>
      </c>
      <c r="D697" s="2">
        <f>VLOOKUP(A697,Table3[#All],4,FALSE)</f>
        <v>29</v>
      </c>
      <c r="E697" s="2" t="str">
        <f>VLOOKUP(A697,Table3[#All],5,FALSE)</f>
        <v>Male</v>
      </c>
      <c r="F697" s="2">
        <f>VLOOKUP(A697,Table3[#All],6,FALSE)</f>
        <v>15</v>
      </c>
      <c r="G697" s="2">
        <f>VLOOKUP(A697,Table3[#All],7,FALSE)</f>
        <v>61847</v>
      </c>
      <c r="H697" s="2">
        <f>VLOOKUP(A697,Table3[#All],8,FALSE)</f>
        <v>7</v>
      </c>
      <c r="I697" s="2">
        <f>VLOOKUP(A697,Table3[#All],9,FALSE)</f>
        <v>37</v>
      </c>
      <c r="J697" s="2">
        <f>VLOOKUP(A697,Table3[#All],10,FALSE)</f>
        <v>1</v>
      </c>
      <c r="K697" s="2">
        <f>VLOOKUP(A697,Table3[#All],11,FALSE)</f>
        <v>88</v>
      </c>
      <c r="L697" s="2" t="str">
        <f>VLOOKUP(A697,Table3[#All],12,FALSE)</f>
        <v>Pune</v>
      </c>
      <c r="M697" s="2" t="str">
        <f t="shared" si="10"/>
        <v>Not Eligible</v>
      </c>
    </row>
    <row r="698" spans="1:13" hidden="1" x14ac:dyDescent="0.25">
      <c r="A698" s="5" t="s">
        <v>652</v>
      </c>
      <c r="B698" s="2" t="str">
        <f>VLOOKUP(A698,Table3[#All],2,FALSE)</f>
        <v>Manoj</v>
      </c>
      <c r="C698" s="2" t="str">
        <f>VLOOKUP(A698,Table3[#All],3,FALSE)</f>
        <v>Finance</v>
      </c>
      <c r="D698" s="2">
        <f>VLOOKUP(A698,Table3[#All],4,FALSE)</f>
        <v>36</v>
      </c>
      <c r="E698" s="2" t="str">
        <f>VLOOKUP(A698,Table3[#All],5,FALSE)</f>
        <v>Male</v>
      </c>
      <c r="F698" s="2">
        <f>VLOOKUP(A698,Table3[#All],6,FALSE)</f>
        <v>11</v>
      </c>
      <c r="G698" s="2">
        <f>VLOOKUP(A698,Table3[#All],7,FALSE)</f>
        <v>61878</v>
      </c>
      <c r="H698" s="2">
        <f>VLOOKUP(A698,Table3[#All],8,FALSE)</f>
        <v>9</v>
      </c>
      <c r="I698" s="2">
        <f>VLOOKUP(A698,Table3[#All],9,FALSE)</f>
        <v>42</v>
      </c>
      <c r="J698" s="2">
        <f>VLOOKUP(A698,Table3[#All],10,FALSE)</f>
        <v>1</v>
      </c>
      <c r="K698" s="2">
        <f>VLOOKUP(A698,Table3[#All],11,FALSE)</f>
        <v>97</v>
      </c>
      <c r="L698" s="2" t="str">
        <f>VLOOKUP(A698,Table3[#All],12,FALSE)</f>
        <v>Mumbai</v>
      </c>
      <c r="M698" s="2" t="str">
        <f t="shared" si="10"/>
        <v>Eligible</v>
      </c>
    </row>
    <row r="699" spans="1:13" hidden="1" x14ac:dyDescent="0.25">
      <c r="A699" s="5" t="s">
        <v>504</v>
      </c>
      <c r="B699" s="2" t="str">
        <f>VLOOKUP(A699,Table3[#All],2,FALSE)</f>
        <v>Karthik</v>
      </c>
      <c r="C699" s="2" t="str">
        <f>VLOOKUP(A699,Table3[#All],3,FALSE)</f>
        <v>IT</v>
      </c>
      <c r="D699" s="2">
        <f>VLOOKUP(A699,Table3[#All],4,FALSE)</f>
        <v>23</v>
      </c>
      <c r="E699" s="2" t="str">
        <f>VLOOKUP(A699,Table3[#All],5,FALSE)</f>
        <v>Female</v>
      </c>
      <c r="F699" s="2">
        <f>VLOOKUP(A699,Table3[#All],6,FALSE)</f>
        <v>8</v>
      </c>
      <c r="G699" s="2">
        <f>VLOOKUP(A699,Table3[#All],7,FALSE)</f>
        <v>61982</v>
      </c>
      <c r="H699" s="2">
        <f>VLOOKUP(A699,Table3[#All],8,FALSE)</f>
        <v>3</v>
      </c>
      <c r="I699" s="2">
        <f>VLOOKUP(A699,Table3[#All],9,FALSE)</f>
        <v>42</v>
      </c>
      <c r="J699" s="2">
        <f>VLOOKUP(A699,Table3[#All],10,FALSE)</f>
        <v>1</v>
      </c>
      <c r="K699" s="2">
        <f>VLOOKUP(A699,Table3[#All],11,FALSE)</f>
        <v>85</v>
      </c>
      <c r="L699" s="2" t="str">
        <f>VLOOKUP(A699,Table3[#All],12,FALSE)</f>
        <v>Chennai</v>
      </c>
      <c r="M699" s="2" t="str">
        <f t="shared" si="10"/>
        <v>Not Eligible</v>
      </c>
    </row>
    <row r="700" spans="1:13" hidden="1" x14ac:dyDescent="0.25">
      <c r="A700" s="6" t="s">
        <v>987</v>
      </c>
      <c r="B700" s="2" t="str">
        <f>VLOOKUP(A700,Table3[#All],2,FALSE)</f>
        <v>Ajay</v>
      </c>
      <c r="C700" s="2" t="str">
        <f>VLOOKUP(A700,Table3[#All],3,FALSE)</f>
        <v>HR</v>
      </c>
      <c r="D700" s="2">
        <f>VLOOKUP(A700,Table3[#All],4,FALSE)</f>
        <v>39</v>
      </c>
      <c r="E700" s="2" t="str">
        <f>VLOOKUP(A700,Table3[#All],5,FALSE)</f>
        <v>Male</v>
      </c>
      <c r="F700" s="2">
        <f>VLOOKUP(A700,Table3[#All],6,FALSE)</f>
        <v>11</v>
      </c>
      <c r="G700" s="2">
        <f>VLOOKUP(A700,Table3[#All],7,FALSE)</f>
        <v>62072</v>
      </c>
      <c r="H700" s="2">
        <f>VLOOKUP(A700,Table3[#All],8,FALSE)</f>
        <v>7</v>
      </c>
      <c r="I700" s="2">
        <f>VLOOKUP(A700,Table3[#All],9,FALSE)</f>
        <v>42</v>
      </c>
      <c r="J700" s="2">
        <f>VLOOKUP(A700,Table3[#All],10,FALSE)</f>
        <v>3</v>
      </c>
      <c r="K700" s="2">
        <f>VLOOKUP(A700,Table3[#All],11,FALSE)</f>
        <v>90</v>
      </c>
      <c r="L700" s="2" t="str">
        <f>VLOOKUP(A700,Table3[#All],12,FALSE)</f>
        <v>Mumbai</v>
      </c>
      <c r="M700" s="2" t="str">
        <f t="shared" si="10"/>
        <v>Not Eligible</v>
      </c>
    </row>
    <row r="701" spans="1:13" hidden="1" x14ac:dyDescent="0.25">
      <c r="A701" s="6" t="s">
        <v>575</v>
      </c>
      <c r="B701" s="2" t="str">
        <f>VLOOKUP(A701,Table3[#All],2,FALSE)</f>
        <v>Nisha</v>
      </c>
      <c r="C701" s="2" t="str">
        <f>VLOOKUP(A701,Table3[#All],3,FALSE)</f>
        <v>IT</v>
      </c>
      <c r="D701" s="2">
        <f>VLOOKUP(A701,Table3[#All],4,FALSE)</f>
        <v>40</v>
      </c>
      <c r="E701" s="2" t="str">
        <f>VLOOKUP(A701,Table3[#All],5,FALSE)</f>
        <v>Female</v>
      </c>
      <c r="F701" s="2">
        <f>VLOOKUP(A701,Table3[#All],6,FALSE)</f>
        <v>8</v>
      </c>
      <c r="G701" s="2">
        <f>VLOOKUP(A701,Table3[#All],7,FALSE)</f>
        <v>62083</v>
      </c>
      <c r="H701" s="2">
        <f>VLOOKUP(A701,Table3[#All],8,FALSE)</f>
        <v>7</v>
      </c>
      <c r="I701" s="2">
        <f>VLOOKUP(A701,Table3[#All],9,FALSE)</f>
        <v>43</v>
      </c>
      <c r="J701" s="2">
        <f>VLOOKUP(A701,Table3[#All],10,FALSE)</f>
        <v>2</v>
      </c>
      <c r="K701" s="2">
        <f>VLOOKUP(A701,Table3[#All],11,FALSE)</f>
        <v>97</v>
      </c>
      <c r="L701" s="2" t="str">
        <f>VLOOKUP(A701,Table3[#All],12,FALSE)</f>
        <v>Chennai</v>
      </c>
      <c r="M701" s="2" t="str">
        <f t="shared" si="10"/>
        <v>Eligible</v>
      </c>
    </row>
    <row r="702" spans="1:13" hidden="1" x14ac:dyDescent="0.25">
      <c r="A702" s="6" t="s">
        <v>979</v>
      </c>
      <c r="B702" s="2" t="str">
        <f>VLOOKUP(A702,Table3[#All],2,FALSE)</f>
        <v>Ajay</v>
      </c>
      <c r="C702" s="2" t="str">
        <f>VLOOKUP(A702,Table3[#All],3,FALSE)</f>
        <v>Finance</v>
      </c>
      <c r="D702" s="2">
        <f>VLOOKUP(A702,Table3[#All],4,FALSE)</f>
        <v>36</v>
      </c>
      <c r="E702" s="2" t="str">
        <f>VLOOKUP(A702,Table3[#All],5,FALSE)</f>
        <v>Female</v>
      </c>
      <c r="F702" s="2">
        <f>VLOOKUP(A702,Table3[#All],6,FALSE)</f>
        <v>10</v>
      </c>
      <c r="G702" s="2">
        <f>VLOOKUP(A702,Table3[#All],7,FALSE)</f>
        <v>62179</v>
      </c>
      <c r="H702" s="2">
        <f>VLOOKUP(A702,Table3[#All],8,FALSE)</f>
        <v>6</v>
      </c>
      <c r="I702" s="2">
        <f>VLOOKUP(A702,Table3[#All],9,FALSE)</f>
        <v>44</v>
      </c>
      <c r="J702" s="2">
        <f>VLOOKUP(A702,Table3[#All],10,FALSE)</f>
        <v>5</v>
      </c>
      <c r="K702" s="2">
        <f>VLOOKUP(A702,Table3[#All],11,FALSE)</f>
        <v>90</v>
      </c>
      <c r="L702" s="2" t="str">
        <f>VLOOKUP(A702,Table3[#All],12,FALSE)</f>
        <v>Hyderabad</v>
      </c>
      <c r="M702" s="2" t="str">
        <f t="shared" si="10"/>
        <v>Not Eligible</v>
      </c>
    </row>
    <row r="703" spans="1:13" hidden="1" x14ac:dyDescent="0.25">
      <c r="A703" s="5" t="s">
        <v>384</v>
      </c>
      <c r="B703" s="2" t="str">
        <f>VLOOKUP(A703,Table3[#All],2,FALSE)</f>
        <v>Sneha</v>
      </c>
      <c r="C703" s="2" t="str">
        <f>VLOOKUP(A703,Table3[#All],3,FALSE)</f>
        <v>HR</v>
      </c>
      <c r="D703" s="2">
        <f>VLOOKUP(A703,Table3[#All],4,FALSE)</f>
        <v>34</v>
      </c>
      <c r="E703" s="2" t="str">
        <f>VLOOKUP(A703,Table3[#All],5,FALSE)</f>
        <v>Female</v>
      </c>
      <c r="F703" s="2">
        <f>VLOOKUP(A703,Table3[#All],6,FALSE)</f>
        <v>8</v>
      </c>
      <c r="G703" s="2">
        <f>VLOOKUP(A703,Table3[#All],7,FALSE)</f>
        <v>62224</v>
      </c>
      <c r="H703" s="2">
        <f>VLOOKUP(A703,Table3[#All],8,FALSE)</f>
        <v>6</v>
      </c>
      <c r="I703" s="2">
        <f>VLOOKUP(A703,Table3[#All],9,FALSE)</f>
        <v>44</v>
      </c>
      <c r="J703" s="2">
        <f>VLOOKUP(A703,Table3[#All],10,FALSE)</f>
        <v>1</v>
      </c>
      <c r="K703" s="2">
        <f>VLOOKUP(A703,Table3[#All],11,FALSE)</f>
        <v>87</v>
      </c>
      <c r="L703" s="2" t="str">
        <f>VLOOKUP(A703,Table3[#All],12,FALSE)</f>
        <v>Chennai</v>
      </c>
      <c r="M703" s="2" t="str">
        <f t="shared" si="10"/>
        <v>Not Eligible</v>
      </c>
    </row>
    <row r="704" spans="1:13" hidden="1" x14ac:dyDescent="0.25">
      <c r="A704" s="5" t="s">
        <v>746</v>
      </c>
      <c r="B704" s="2" t="str">
        <f>VLOOKUP(A704,Table3[#All],2,FALSE)</f>
        <v>Arun</v>
      </c>
      <c r="C704" s="2" t="str">
        <f>VLOOKUP(A704,Table3[#All],3,FALSE)</f>
        <v>HR</v>
      </c>
      <c r="D704" s="2">
        <f>VLOOKUP(A704,Table3[#All],4,FALSE)</f>
        <v>31</v>
      </c>
      <c r="E704" s="2" t="str">
        <f>VLOOKUP(A704,Table3[#All],5,FALSE)</f>
        <v>Female</v>
      </c>
      <c r="F704" s="2">
        <f>VLOOKUP(A704,Table3[#All],6,FALSE)</f>
        <v>3</v>
      </c>
      <c r="G704" s="2">
        <f>VLOOKUP(A704,Table3[#All],7,FALSE)</f>
        <v>36106</v>
      </c>
      <c r="H704" s="2">
        <f>VLOOKUP(A704,Table3[#All],8,FALSE)</f>
        <v>9</v>
      </c>
      <c r="I704" s="2">
        <f>VLOOKUP(A704,Table3[#All],9,FALSE)</f>
        <v>38</v>
      </c>
      <c r="J704" s="2">
        <f>VLOOKUP(A704,Table3[#All],10,FALSE)</f>
        <v>2</v>
      </c>
      <c r="K704" s="2">
        <f>VLOOKUP(A704,Table3[#All],11,FALSE)</f>
        <v>87</v>
      </c>
      <c r="L704" s="2" t="str">
        <f>VLOOKUP(A704,Table3[#All],12,FALSE)</f>
        <v>Bangalore</v>
      </c>
      <c r="M704" s="2" t="str">
        <f t="shared" si="10"/>
        <v>Not Eligible</v>
      </c>
    </row>
    <row r="705" spans="1:13" hidden="1" x14ac:dyDescent="0.25">
      <c r="A705" s="6" t="s">
        <v>115</v>
      </c>
      <c r="B705" s="2" t="str">
        <f>VLOOKUP(A705,Table3[#All],2,FALSE)</f>
        <v>Kavya</v>
      </c>
      <c r="C705" s="2" t="str">
        <f>VLOOKUP(A705,Table3[#All],3,FALSE)</f>
        <v>Sales</v>
      </c>
      <c r="D705" s="2">
        <f>VLOOKUP(A705,Table3[#All],4,FALSE)</f>
        <v>33</v>
      </c>
      <c r="E705" s="2" t="str">
        <f>VLOOKUP(A705,Table3[#All],5,FALSE)</f>
        <v>Female</v>
      </c>
      <c r="F705" s="2">
        <f>VLOOKUP(A705,Table3[#All],6,FALSE)</f>
        <v>8</v>
      </c>
      <c r="G705" s="2">
        <f>VLOOKUP(A705,Table3[#All],7,FALSE)</f>
        <v>62295</v>
      </c>
      <c r="H705" s="2">
        <f>VLOOKUP(A705,Table3[#All],8,FALSE)</f>
        <v>4</v>
      </c>
      <c r="I705" s="2">
        <f>VLOOKUP(A705,Table3[#All],9,FALSE)</f>
        <v>38</v>
      </c>
      <c r="J705" s="2">
        <f>VLOOKUP(A705,Table3[#All],10,FALSE)</f>
        <v>5</v>
      </c>
      <c r="K705" s="2">
        <f>VLOOKUP(A705,Table3[#All],11,FALSE)</f>
        <v>94</v>
      </c>
      <c r="L705" s="2" t="str">
        <f>VLOOKUP(A705,Table3[#All],12,FALSE)</f>
        <v>Hyderabad</v>
      </c>
      <c r="M705" s="2" t="str">
        <f t="shared" si="10"/>
        <v>Not Eligible</v>
      </c>
    </row>
    <row r="706" spans="1:13" x14ac:dyDescent="0.25">
      <c r="A706" s="5" t="s">
        <v>544</v>
      </c>
      <c r="B706" s="2" t="str">
        <f>VLOOKUP(A706,Table3[#All],2,FALSE)</f>
        <v>Ajay</v>
      </c>
      <c r="C706" s="2" t="str">
        <f>VLOOKUP(A706,Table3[#All],3,FALSE)</f>
        <v>HR</v>
      </c>
      <c r="D706" s="2">
        <f>VLOOKUP(A706,Table3[#All],4,FALSE)</f>
        <v>32</v>
      </c>
      <c r="E706" s="2" t="str">
        <f>VLOOKUP(A706,Table3[#All],5,FALSE)</f>
        <v>Female</v>
      </c>
      <c r="F706" s="2">
        <f>VLOOKUP(A706,Table3[#All],6,FALSE)</f>
        <v>14</v>
      </c>
      <c r="G706" s="2">
        <f>VLOOKUP(A706,Table3[#All],7,FALSE)</f>
        <v>62346</v>
      </c>
      <c r="H706" s="2">
        <f>VLOOKUP(A706,Table3[#All],8,FALSE)</f>
        <v>12</v>
      </c>
      <c r="I706" s="2">
        <f>VLOOKUP(A706,Table3[#All],9,FALSE)</f>
        <v>40</v>
      </c>
      <c r="J706" s="2">
        <f>VLOOKUP(A706,Table3[#All],10,FALSE)</f>
        <v>2</v>
      </c>
      <c r="K706" s="2">
        <f>VLOOKUP(A706,Table3[#All],11,FALSE)</f>
        <v>97</v>
      </c>
      <c r="L706" s="2" t="str">
        <f>VLOOKUP(A706,Table3[#All],12,FALSE)</f>
        <v>Bangalore</v>
      </c>
      <c r="M706" s="2" t="str">
        <f t="shared" ref="M706:M769" si="11">IF(K706&gt;=95,"Eligible","Not Eligible")</f>
        <v>Eligible</v>
      </c>
    </row>
    <row r="707" spans="1:13" hidden="1" x14ac:dyDescent="0.25">
      <c r="A707" s="6" t="s">
        <v>66</v>
      </c>
      <c r="B707" s="2" t="str">
        <f>VLOOKUP(A707,Table3[#All],2,FALSE)</f>
        <v>Ravi</v>
      </c>
      <c r="C707" s="2" t="str">
        <f>VLOOKUP(A707,Table3[#All],3,FALSE)</f>
        <v>Finance</v>
      </c>
      <c r="D707" s="2">
        <f>VLOOKUP(A707,Table3[#All],4,FALSE)</f>
        <v>34</v>
      </c>
      <c r="E707" s="2" t="str">
        <f>VLOOKUP(A707,Table3[#All],5,FALSE)</f>
        <v>Female</v>
      </c>
      <c r="F707" s="2">
        <f>VLOOKUP(A707,Table3[#All],6,FALSE)</f>
        <v>15</v>
      </c>
      <c r="G707" s="2">
        <f>VLOOKUP(A707,Table3[#All],7,FALSE)</f>
        <v>62356</v>
      </c>
      <c r="H707" s="2">
        <f>VLOOKUP(A707,Table3[#All],8,FALSE)</f>
        <v>5</v>
      </c>
      <c r="I707" s="2">
        <f>VLOOKUP(A707,Table3[#All],9,FALSE)</f>
        <v>46</v>
      </c>
      <c r="J707" s="2">
        <f>VLOOKUP(A707,Table3[#All],10,FALSE)</f>
        <v>2</v>
      </c>
      <c r="K707" s="2">
        <f>VLOOKUP(A707,Table3[#All],11,FALSE)</f>
        <v>97</v>
      </c>
      <c r="L707" s="2" t="str">
        <f>VLOOKUP(A707,Table3[#All],12,FALSE)</f>
        <v>Delhi</v>
      </c>
      <c r="M707" s="2" t="str">
        <f t="shared" si="11"/>
        <v>Eligible</v>
      </c>
    </row>
    <row r="708" spans="1:13" x14ac:dyDescent="0.25">
      <c r="A708" s="6" t="s">
        <v>309</v>
      </c>
      <c r="B708" s="2" t="str">
        <f>VLOOKUP(A708,Table3[#All],2,FALSE)</f>
        <v>Sanjay</v>
      </c>
      <c r="C708" s="2" t="str">
        <f>VLOOKUP(A708,Table3[#All],3,FALSE)</f>
        <v>HR</v>
      </c>
      <c r="D708" s="2">
        <f>VLOOKUP(A708,Table3[#All],4,FALSE)</f>
        <v>39</v>
      </c>
      <c r="E708" s="2" t="str">
        <f>VLOOKUP(A708,Table3[#All],5,FALSE)</f>
        <v>Female</v>
      </c>
      <c r="F708" s="2">
        <f>VLOOKUP(A708,Table3[#All],6,FALSE)</f>
        <v>7</v>
      </c>
      <c r="G708" s="2">
        <f>VLOOKUP(A708,Table3[#All],7,FALSE)</f>
        <v>62373</v>
      </c>
      <c r="H708" s="2">
        <f>VLOOKUP(A708,Table3[#All],8,FALSE)</f>
        <v>15</v>
      </c>
      <c r="I708" s="2">
        <f>VLOOKUP(A708,Table3[#All],9,FALSE)</f>
        <v>49</v>
      </c>
      <c r="J708" s="2">
        <f>VLOOKUP(A708,Table3[#All],10,FALSE)</f>
        <v>5</v>
      </c>
      <c r="K708" s="2">
        <f>VLOOKUP(A708,Table3[#All],11,FALSE)</f>
        <v>100</v>
      </c>
      <c r="L708" s="2" t="str">
        <f>VLOOKUP(A708,Table3[#All],12,FALSE)</f>
        <v>Mumbai</v>
      </c>
      <c r="M708" s="2" t="str">
        <f t="shared" si="11"/>
        <v>Eligible</v>
      </c>
    </row>
    <row r="709" spans="1:13" hidden="1" x14ac:dyDescent="0.25">
      <c r="A709" s="6" t="s">
        <v>531</v>
      </c>
      <c r="B709" s="2" t="str">
        <f>VLOOKUP(A709,Table3[#All],2,FALSE)</f>
        <v>Deepa</v>
      </c>
      <c r="C709" s="2" t="str">
        <f>VLOOKUP(A709,Table3[#All],3,FALSE)</f>
        <v>Finance</v>
      </c>
      <c r="D709" s="2">
        <f>VLOOKUP(A709,Table3[#All],4,FALSE)</f>
        <v>31</v>
      </c>
      <c r="E709" s="2" t="str">
        <f>VLOOKUP(A709,Table3[#All],5,FALSE)</f>
        <v>Female</v>
      </c>
      <c r="F709" s="2">
        <f>VLOOKUP(A709,Table3[#All],6,FALSE)</f>
        <v>5</v>
      </c>
      <c r="G709" s="2">
        <f>VLOOKUP(A709,Table3[#All],7,FALSE)</f>
        <v>62380</v>
      </c>
      <c r="H709" s="2">
        <f>VLOOKUP(A709,Table3[#All],8,FALSE)</f>
        <v>4</v>
      </c>
      <c r="I709" s="2">
        <f>VLOOKUP(A709,Table3[#All],9,FALSE)</f>
        <v>35</v>
      </c>
      <c r="J709" s="2">
        <f>VLOOKUP(A709,Table3[#All],10,FALSE)</f>
        <v>2</v>
      </c>
      <c r="K709" s="2">
        <f>VLOOKUP(A709,Table3[#All],11,FALSE)</f>
        <v>89</v>
      </c>
      <c r="L709" s="2" t="str">
        <f>VLOOKUP(A709,Table3[#All],12,FALSE)</f>
        <v>Hyderabad</v>
      </c>
      <c r="M709" s="2" t="str">
        <f t="shared" si="11"/>
        <v>Not Eligible</v>
      </c>
    </row>
    <row r="710" spans="1:13" hidden="1" x14ac:dyDescent="0.25">
      <c r="A710" s="5" t="s">
        <v>952</v>
      </c>
      <c r="B710" s="2" t="str">
        <f>VLOOKUP(A710,Table3[#All],2,FALSE)</f>
        <v>Ajay</v>
      </c>
      <c r="C710" s="2" t="str">
        <f>VLOOKUP(A710,Table3[#All],3,FALSE)</f>
        <v>Finance</v>
      </c>
      <c r="D710" s="2">
        <f>VLOOKUP(A710,Table3[#All],4,FALSE)</f>
        <v>34</v>
      </c>
      <c r="E710" s="2" t="str">
        <f>VLOOKUP(A710,Table3[#All],5,FALSE)</f>
        <v>Female</v>
      </c>
      <c r="F710" s="2">
        <f>VLOOKUP(A710,Table3[#All],6,FALSE)</f>
        <v>6</v>
      </c>
      <c r="G710" s="2">
        <f>VLOOKUP(A710,Table3[#All],7,FALSE)</f>
        <v>62532</v>
      </c>
      <c r="H710" s="2">
        <f>VLOOKUP(A710,Table3[#All],8,FALSE)</f>
        <v>13</v>
      </c>
      <c r="I710" s="2">
        <f>VLOOKUP(A710,Table3[#All],9,FALSE)</f>
        <v>50</v>
      </c>
      <c r="J710" s="2">
        <f>VLOOKUP(A710,Table3[#All],10,FALSE)</f>
        <v>3</v>
      </c>
      <c r="K710" s="2">
        <f>VLOOKUP(A710,Table3[#All],11,FALSE)</f>
        <v>86</v>
      </c>
      <c r="L710" s="2" t="str">
        <f>VLOOKUP(A710,Table3[#All],12,FALSE)</f>
        <v>Bangalore</v>
      </c>
      <c r="M710" s="2" t="str">
        <f t="shared" si="11"/>
        <v>Not Eligible</v>
      </c>
    </row>
    <row r="711" spans="1:13" hidden="1" x14ac:dyDescent="0.25">
      <c r="A711" s="6" t="s">
        <v>499</v>
      </c>
      <c r="B711" s="2" t="str">
        <f>VLOOKUP(A711,Table3[#All],2,FALSE)</f>
        <v>Lakshmi</v>
      </c>
      <c r="C711" s="2" t="str">
        <f>VLOOKUP(A711,Table3[#All],3,FALSE)</f>
        <v>Finance</v>
      </c>
      <c r="D711" s="2">
        <f>VLOOKUP(A711,Table3[#All],4,FALSE)</f>
        <v>36</v>
      </c>
      <c r="E711" s="2" t="str">
        <f>VLOOKUP(A711,Table3[#All],5,FALSE)</f>
        <v>Male</v>
      </c>
      <c r="F711" s="2">
        <f>VLOOKUP(A711,Table3[#All],6,FALSE)</f>
        <v>6</v>
      </c>
      <c r="G711" s="2">
        <f>VLOOKUP(A711,Table3[#All],7,FALSE)</f>
        <v>62694</v>
      </c>
      <c r="H711" s="2">
        <f>VLOOKUP(A711,Table3[#All],8,FALSE)</f>
        <v>7</v>
      </c>
      <c r="I711" s="2">
        <f>VLOOKUP(A711,Table3[#All],9,FALSE)</f>
        <v>39</v>
      </c>
      <c r="J711" s="2">
        <f>VLOOKUP(A711,Table3[#All],10,FALSE)</f>
        <v>2</v>
      </c>
      <c r="K711" s="2">
        <f>VLOOKUP(A711,Table3[#All],11,FALSE)</f>
        <v>93</v>
      </c>
      <c r="L711" s="2" t="str">
        <f>VLOOKUP(A711,Table3[#All],12,FALSE)</f>
        <v>Hyderabad</v>
      </c>
      <c r="M711" s="2" t="str">
        <f t="shared" si="11"/>
        <v>Not Eligible</v>
      </c>
    </row>
    <row r="712" spans="1:13" hidden="1" x14ac:dyDescent="0.25">
      <c r="A712" s="5" t="s">
        <v>754</v>
      </c>
      <c r="B712" s="2" t="str">
        <f>VLOOKUP(A712,Table3[#All],2,FALSE)</f>
        <v>Sanjay</v>
      </c>
      <c r="C712" s="2" t="str">
        <f>VLOOKUP(A712,Table3[#All],3,FALSE)</f>
        <v>HR</v>
      </c>
      <c r="D712" s="2">
        <f>VLOOKUP(A712,Table3[#All],4,FALSE)</f>
        <v>39</v>
      </c>
      <c r="E712" s="2" t="str">
        <f>VLOOKUP(A712,Table3[#All],5,FALSE)</f>
        <v>Male</v>
      </c>
      <c r="F712" s="2">
        <f>VLOOKUP(A712,Table3[#All],6,FALSE)</f>
        <v>1</v>
      </c>
      <c r="G712" s="2">
        <f>VLOOKUP(A712,Table3[#All],7,FALSE)</f>
        <v>64229</v>
      </c>
      <c r="H712" s="2">
        <f>VLOOKUP(A712,Table3[#All],8,FALSE)</f>
        <v>14</v>
      </c>
      <c r="I712" s="2">
        <f>VLOOKUP(A712,Table3[#All],9,FALSE)</f>
        <v>48</v>
      </c>
      <c r="J712" s="2">
        <f>VLOOKUP(A712,Table3[#All],10,FALSE)</f>
        <v>4</v>
      </c>
      <c r="K712" s="2">
        <f>VLOOKUP(A712,Table3[#All],11,FALSE)</f>
        <v>100</v>
      </c>
      <c r="L712" s="2" t="str">
        <f>VLOOKUP(A712,Table3[#All],12,FALSE)</f>
        <v>Chennai</v>
      </c>
      <c r="M712" s="2" t="str">
        <f t="shared" si="11"/>
        <v>Eligible</v>
      </c>
    </row>
    <row r="713" spans="1:13" hidden="1" x14ac:dyDescent="0.25">
      <c r="A713" s="5" t="s">
        <v>500</v>
      </c>
      <c r="B713" s="2" t="str">
        <f>VLOOKUP(A713,Table3[#All],2,FALSE)</f>
        <v>Vijay</v>
      </c>
      <c r="C713" s="2" t="str">
        <f>VLOOKUP(A713,Table3[#All],3,FALSE)</f>
        <v>IT</v>
      </c>
      <c r="D713" s="2">
        <f>VLOOKUP(A713,Table3[#All],4,FALSE)</f>
        <v>32</v>
      </c>
      <c r="E713" s="2" t="str">
        <f>VLOOKUP(A713,Table3[#All],5,FALSE)</f>
        <v>Female</v>
      </c>
      <c r="F713" s="2">
        <f>VLOOKUP(A713,Table3[#All],6,FALSE)</f>
        <v>8</v>
      </c>
      <c r="G713" s="2">
        <f>VLOOKUP(A713,Table3[#All],7,FALSE)</f>
        <v>62704</v>
      </c>
      <c r="H713" s="2">
        <f>VLOOKUP(A713,Table3[#All],8,FALSE)</f>
        <v>10</v>
      </c>
      <c r="I713" s="2">
        <f>VLOOKUP(A713,Table3[#All],9,FALSE)</f>
        <v>45</v>
      </c>
      <c r="J713" s="2">
        <f>VLOOKUP(A713,Table3[#All],10,FALSE)</f>
        <v>3</v>
      </c>
      <c r="K713" s="2">
        <f>VLOOKUP(A713,Table3[#All],11,FALSE)</f>
        <v>85</v>
      </c>
      <c r="L713" s="2" t="str">
        <f>VLOOKUP(A713,Table3[#All],12,FALSE)</f>
        <v>Chennai</v>
      </c>
      <c r="M713" s="2" t="str">
        <f t="shared" si="11"/>
        <v>Not Eligible</v>
      </c>
    </row>
    <row r="714" spans="1:13" hidden="1" x14ac:dyDescent="0.25">
      <c r="A714" s="6" t="s">
        <v>683</v>
      </c>
      <c r="B714" s="2" t="str">
        <f>VLOOKUP(A714,Table3[#All],2,FALSE)</f>
        <v>Karthik</v>
      </c>
      <c r="C714" s="2" t="str">
        <f>VLOOKUP(A714,Table3[#All],3,FALSE)</f>
        <v>Finance</v>
      </c>
      <c r="D714" s="2">
        <f>VLOOKUP(A714,Table3[#All],4,FALSE)</f>
        <v>33</v>
      </c>
      <c r="E714" s="2" t="str">
        <f>VLOOKUP(A714,Table3[#All],5,FALSE)</f>
        <v>Male</v>
      </c>
      <c r="F714" s="2">
        <f>VLOOKUP(A714,Table3[#All],6,FALSE)</f>
        <v>11</v>
      </c>
      <c r="G714" s="2">
        <f>VLOOKUP(A714,Table3[#All],7,FALSE)</f>
        <v>62892</v>
      </c>
      <c r="H714" s="2">
        <f>VLOOKUP(A714,Table3[#All],8,FALSE)</f>
        <v>4</v>
      </c>
      <c r="I714" s="2">
        <f>VLOOKUP(A714,Table3[#All],9,FALSE)</f>
        <v>47</v>
      </c>
      <c r="J714" s="2">
        <f>VLOOKUP(A714,Table3[#All],10,FALSE)</f>
        <v>4</v>
      </c>
      <c r="K714" s="2">
        <f>VLOOKUP(A714,Table3[#All],11,FALSE)</f>
        <v>85</v>
      </c>
      <c r="L714" s="2" t="str">
        <f>VLOOKUP(A714,Table3[#All],12,FALSE)</f>
        <v>Mumbai</v>
      </c>
      <c r="M714" s="2" t="str">
        <f t="shared" si="11"/>
        <v>Not Eligible</v>
      </c>
    </row>
    <row r="715" spans="1:13" x14ac:dyDescent="0.25">
      <c r="A715" s="5" t="s">
        <v>494</v>
      </c>
      <c r="B715" s="2" t="str">
        <f>VLOOKUP(A715,Table3[#All],2,FALSE)</f>
        <v>Rekha</v>
      </c>
      <c r="C715" s="2" t="str">
        <f>VLOOKUP(A715,Table3[#All],3,FALSE)</f>
        <v>IT</v>
      </c>
      <c r="D715" s="2">
        <f>VLOOKUP(A715,Table3[#All],4,FALSE)</f>
        <v>34</v>
      </c>
      <c r="E715" s="2" t="str">
        <f>VLOOKUP(A715,Table3[#All],5,FALSE)</f>
        <v>Male</v>
      </c>
      <c r="F715" s="2">
        <f>VLOOKUP(A715,Table3[#All],6,FALSE)</f>
        <v>13</v>
      </c>
      <c r="G715" s="2">
        <f>VLOOKUP(A715,Table3[#All],7,FALSE)</f>
        <v>63016</v>
      </c>
      <c r="H715" s="2">
        <f>VLOOKUP(A715,Table3[#All],8,FALSE)</f>
        <v>13</v>
      </c>
      <c r="I715" s="2">
        <f>VLOOKUP(A715,Table3[#All],9,FALSE)</f>
        <v>46</v>
      </c>
      <c r="J715" s="2">
        <f>VLOOKUP(A715,Table3[#All],10,FALSE)</f>
        <v>4</v>
      </c>
      <c r="K715" s="2">
        <f>VLOOKUP(A715,Table3[#All],11,FALSE)</f>
        <v>93</v>
      </c>
      <c r="L715" s="2" t="str">
        <f>VLOOKUP(A715,Table3[#All],12,FALSE)</f>
        <v>Hyderabad</v>
      </c>
      <c r="M715" s="2" t="str">
        <f t="shared" si="11"/>
        <v>Not Eligible</v>
      </c>
    </row>
    <row r="716" spans="1:13" hidden="1" x14ac:dyDescent="0.25">
      <c r="A716" s="6" t="s">
        <v>679</v>
      </c>
      <c r="B716" s="2" t="str">
        <f>VLOOKUP(A716,Table3[#All],2,FALSE)</f>
        <v>Karthik</v>
      </c>
      <c r="C716" s="2" t="str">
        <f>VLOOKUP(A716,Table3[#All],3,FALSE)</f>
        <v>IT</v>
      </c>
      <c r="D716" s="2">
        <f>VLOOKUP(A716,Table3[#All],4,FALSE)</f>
        <v>25</v>
      </c>
      <c r="E716" s="2" t="str">
        <f>VLOOKUP(A716,Table3[#All],5,FALSE)</f>
        <v>Male</v>
      </c>
      <c r="F716" s="2">
        <f>VLOOKUP(A716,Table3[#All],6,FALSE)</f>
        <v>5</v>
      </c>
      <c r="G716" s="2">
        <f>VLOOKUP(A716,Table3[#All],7,FALSE)</f>
        <v>63107</v>
      </c>
      <c r="H716" s="2">
        <f>VLOOKUP(A716,Table3[#All],8,FALSE)</f>
        <v>7</v>
      </c>
      <c r="I716" s="2">
        <f>VLOOKUP(A716,Table3[#All],9,FALSE)</f>
        <v>44</v>
      </c>
      <c r="J716" s="2">
        <f>VLOOKUP(A716,Table3[#All],10,FALSE)</f>
        <v>3</v>
      </c>
      <c r="K716" s="2">
        <f>VLOOKUP(A716,Table3[#All],11,FALSE)</f>
        <v>85</v>
      </c>
      <c r="L716" s="2" t="str">
        <f>VLOOKUP(A716,Table3[#All],12,FALSE)</f>
        <v>Mumbai</v>
      </c>
      <c r="M716" s="2" t="str">
        <f t="shared" si="11"/>
        <v>Not Eligible</v>
      </c>
    </row>
    <row r="717" spans="1:13" hidden="1" x14ac:dyDescent="0.25">
      <c r="A717" s="6" t="s">
        <v>759</v>
      </c>
      <c r="B717" s="2" t="str">
        <f>VLOOKUP(A717,Table3[#All],2,FALSE)</f>
        <v>Kavya</v>
      </c>
      <c r="C717" s="2" t="str">
        <f>VLOOKUP(A717,Table3[#All],3,FALSE)</f>
        <v>HR</v>
      </c>
      <c r="D717" s="2">
        <f>VLOOKUP(A717,Table3[#All],4,FALSE)</f>
        <v>36</v>
      </c>
      <c r="E717" s="2" t="str">
        <f>VLOOKUP(A717,Table3[#All],5,FALSE)</f>
        <v>Male</v>
      </c>
      <c r="F717" s="2">
        <f>VLOOKUP(A717,Table3[#All],6,FALSE)</f>
        <v>3</v>
      </c>
      <c r="G717" s="2">
        <f>VLOOKUP(A717,Table3[#All],7,FALSE)</f>
        <v>46803</v>
      </c>
      <c r="H717" s="2">
        <f>VLOOKUP(A717,Table3[#All],8,FALSE)</f>
        <v>3</v>
      </c>
      <c r="I717" s="2">
        <f>VLOOKUP(A717,Table3[#All],9,FALSE)</f>
        <v>44</v>
      </c>
      <c r="J717" s="2">
        <f>VLOOKUP(A717,Table3[#All],10,FALSE)</f>
        <v>1</v>
      </c>
      <c r="K717" s="2">
        <f>VLOOKUP(A717,Table3[#All],11,FALSE)</f>
        <v>85</v>
      </c>
      <c r="L717" s="2" t="str">
        <f>VLOOKUP(A717,Table3[#All],12,FALSE)</f>
        <v>Delhi</v>
      </c>
      <c r="M717" s="2" t="str">
        <f t="shared" si="11"/>
        <v>Not Eligible</v>
      </c>
    </row>
    <row r="718" spans="1:13" hidden="1" x14ac:dyDescent="0.25">
      <c r="A718" s="5" t="s">
        <v>760</v>
      </c>
      <c r="B718" s="2" t="str">
        <f>VLOOKUP(A718,Table3[#All],2,FALSE)</f>
        <v>Divya</v>
      </c>
      <c r="C718" s="2" t="str">
        <f>VLOOKUP(A718,Table3[#All],3,FALSE)</f>
        <v>Finance</v>
      </c>
      <c r="D718" s="2">
        <f>VLOOKUP(A718,Table3[#All],4,FALSE)</f>
        <v>33</v>
      </c>
      <c r="E718" s="2" t="str">
        <f>VLOOKUP(A718,Table3[#All],5,FALSE)</f>
        <v>Male</v>
      </c>
      <c r="F718" s="2">
        <f>VLOOKUP(A718,Table3[#All],6,FALSE)</f>
        <v>3</v>
      </c>
      <c r="G718" s="2">
        <f>VLOOKUP(A718,Table3[#All],7,FALSE)</f>
        <v>30382</v>
      </c>
      <c r="H718" s="2">
        <f>VLOOKUP(A718,Table3[#All],8,FALSE)</f>
        <v>11</v>
      </c>
      <c r="I718" s="2">
        <f>VLOOKUP(A718,Table3[#All],9,FALSE)</f>
        <v>45</v>
      </c>
      <c r="J718" s="2">
        <f>VLOOKUP(A718,Table3[#All],10,FALSE)</f>
        <v>1</v>
      </c>
      <c r="K718" s="2">
        <f>VLOOKUP(A718,Table3[#All],11,FALSE)</f>
        <v>88</v>
      </c>
      <c r="L718" s="2" t="str">
        <f>VLOOKUP(A718,Table3[#All],12,FALSE)</f>
        <v>Mumbai</v>
      </c>
      <c r="M718" s="2" t="str">
        <f t="shared" si="11"/>
        <v>Not Eligible</v>
      </c>
    </row>
    <row r="719" spans="1:13" x14ac:dyDescent="0.25">
      <c r="A719" s="6" t="s">
        <v>695</v>
      </c>
      <c r="B719" s="2" t="str">
        <f>VLOOKUP(A719,Table3[#All],2,FALSE)</f>
        <v>Hari</v>
      </c>
      <c r="C719" s="2" t="str">
        <f>VLOOKUP(A719,Table3[#All],3,FALSE)</f>
        <v>Sales</v>
      </c>
      <c r="D719" s="2">
        <f>VLOOKUP(A719,Table3[#All],4,FALSE)</f>
        <v>33</v>
      </c>
      <c r="E719" s="2" t="str">
        <f>VLOOKUP(A719,Table3[#All],5,FALSE)</f>
        <v>Female</v>
      </c>
      <c r="F719" s="2">
        <f>VLOOKUP(A719,Table3[#All],6,FALSE)</f>
        <v>5</v>
      </c>
      <c r="G719" s="2">
        <f>VLOOKUP(A719,Table3[#All],7,FALSE)</f>
        <v>63111</v>
      </c>
      <c r="H719" s="2">
        <f>VLOOKUP(A719,Table3[#All],8,FALSE)</f>
        <v>12</v>
      </c>
      <c r="I719" s="2">
        <f>VLOOKUP(A719,Table3[#All],9,FALSE)</f>
        <v>49</v>
      </c>
      <c r="J719" s="2">
        <f>VLOOKUP(A719,Table3[#All],10,FALSE)</f>
        <v>1</v>
      </c>
      <c r="K719" s="2">
        <f>VLOOKUP(A719,Table3[#All],11,FALSE)</f>
        <v>95</v>
      </c>
      <c r="L719" s="2" t="str">
        <f>VLOOKUP(A719,Table3[#All],12,FALSE)</f>
        <v>Delhi</v>
      </c>
      <c r="M719" s="2" t="str">
        <f t="shared" si="11"/>
        <v>Eligible</v>
      </c>
    </row>
    <row r="720" spans="1:13" hidden="1" x14ac:dyDescent="0.25">
      <c r="A720" s="6" t="s">
        <v>227</v>
      </c>
      <c r="B720" s="2" t="str">
        <f>VLOOKUP(A720,Table3[#All],2,FALSE)</f>
        <v>Manoj</v>
      </c>
      <c r="C720" s="2" t="str">
        <f>VLOOKUP(A720,Table3[#All],3,FALSE)</f>
        <v>HR</v>
      </c>
      <c r="D720" s="2">
        <f>VLOOKUP(A720,Table3[#All],4,FALSE)</f>
        <v>36</v>
      </c>
      <c r="E720" s="2" t="str">
        <f>VLOOKUP(A720,Table3[#All],5,FALSE)</f>
        <v>Male</v>
      </c>
      <c r="F720" s="2">
        <f>VLOOKUP(A720,Table3[#All],6,FALSE)</f>
        <v>15</v>
      </c>
      <c r="G720" s="2">
        <f>VLOOKUP(A720,Table3[#All],7,FALSE)</f>
        <v>63136</v>
      </c>
      <c r="H720" s="2">
        <f>VLOOKUP(A720,Table3[#All],8,FALSE)</f>
        <v>8</v>
      </c>
      <c r="I720" s="2">
        <f>VLOOKUP(A720,Table3[#All],9,FALSE)</f>
        <v>37</v>
      </c>
      <c r="J720" s="2">
        <f>VLOOKUP(A720,Table3[#All],10,FALSE)</f>
        <v>4</v>
      </c>
      <c r="K720" s="2">
        <f>VLOOKUP(A720,Table3[#All],11,FALSE)</f>
        <v>92</v>
      </c>
      <c r="L720" s="2" t="str">
        <f>VLOOKUP(A720,Table3[#All],12,FALSE)</f>
        <v>Chennai</v>
      </c>
      <c r="M720" s="2" t="str">
        <f t="shared" si="11"/>
        <v>Not Eligible</v>
      </c>
    </row>
    <row r="721" spans="1:13" hidden="1" x14ac:dyDescent="0.25">
      <c r="A721" s="6" t="s">
        <v>739</v>
      </c>
      <c r="B721" s="2" t="str">
        <f>VLOOKUP(A721,Table3[#All],2,FALSE)</f>
        <v>Rekha</v>
      </c>
      <c r="C721" s="2" t="str">
        <f>VLOOKUP(A721,Table3[#All],3,FALSE)</f>
        <v>IT</v>
      </c>
      <c r="D721" s="2">
        <f>VLOOKUP(A721,Table3[#All],4,FALSE)</f>
        <v>35</v>
      </c>
      <c r="E721" s="2" t="str">
        <f>VLOOKUP(A721,Table3[#All],5,FALSE)</f>
        <v>Female</v>
      </c>
      <c r="F721" s="2">
        <f>VLOOKUP(A721,Table3[#All],6,FALSE)</f>
        <v>13</v>
      </c>
      <c r="G721" s="2">
        <f>VLOOKUP(A721,Table3[#All],7,FALSE)</f>
        <v>63153</v>
      </c>
      <c r="H721" s="2">
        <f>VLOOKUP(A721,Table3[#All],8,FALSE)</f>
        <v>5</v>
      </c>
      <c r="I721" s="2">
        <f>VLOOKUP(A721,Table3[#All],9,FALSE)</f>
        <v>46</v>
      </c>
      <c r="J721" s="2">
        <f>VLOOKUP(A721,Table3[#All],10,FALSE)</f>
        <v>3</v>
      </c>
      <c r="K721" s="2">
        <f>VLOOKUP(A721,Table3[#All],11,FALSE)</f>
        <v>91</v>
      </c>
      <c r="L721" s="2" t="str">
        <f>VLOOKUP(A721,Table3[#All],12,FALSE)</f>
        <v>Hyderabad</v>
      </c>
      <c r="M721" s="2" t="str">
        <f t="shared" si="11"/>
        <v>Not Eligible</v>
      </c>
    </row>
    <row r="722" spans="1:13" hidden="1" x14ac:dyDescent="0.25">
      <c r="A722" s="5" t="s">
        <v>782</v>
      </c>
      <c r="B722" s="2" t="str">
        <f>VLOOKUP(A722,Table3[#All],2,FALSE)</f>
        <v>Nisha</v>
      </c>
      <c r="C722" s="2" t="str">
        <f>VLOOKUP(A722,Table3[#All],3,FALSE)</f>
        <v>HR</v>
      </c>
      <c r="D722" s="2">
        <f>VLOOKUP(A722,Table3[#All],4,FALSE)</f>
        <v>26</v>
      </c>
      <c r="E722" s="2" t="str">
        <f>VLOOKUP(A722,Table3[#All],5,FALSE)</f>
        <v>Male</v>
      </c>
      <c r="F722" s="2">
        <f>VLOOKUP(A722,Table3[#All],6,FALSE)</f>
        <v>10</v>
      </c>
      <c r="G722" s="2">
        <f>VLOOKUP(A722,Table3[#All],7,FALSE)</f>
        <v>63222</v>
      </c>
      <c r="H722" s="2">
        <f>VLOOKUP(A722,Table3[#All],8,FALSE)</f>
        <v>7</v>
      </c>
      <c r="I722" s="2">
        <f>VLOOKUP(A722,Table3[#All],9,FALSE)</f>
        <v>47</v>
      </c>
      <c r="J722" s="2">
        <f>VLOOKUP(A722,Table3[#All],10,FALSE)</f>
        <v>2</v>
      </c>
      <c r="K722" s="2">
        <f>VLOOKUP(A722,Table3[#All],11,FALSE)</f>
        <v>87</v>
      </c>
      <c r="L722" s="2" t="str">
        <f>VLOOKUP(A722,Table3[#All],12,FALSE)</f>
        <v>Bangalore</v>
      </c>
      <c r="M722" s="2" t="str">
        <f t="shared" si="11"/>
        <v>Not Eligible</v>
      </c>
    </row>
    <row r="723" spans="1:13" hidden="1" x14ac:dyDescent="0.25">
      <c r="A723" s="6" t="s">
        <v>265</v>
      </c>
      <c r="B723" s="2" t="str">
        <f>VLOOKUP(A723,Table3[#All],2,FALSE)</f>
        <v>Lakshmi</v>
      </c>
      <c r="C723" s="2" t="str">
        <f>VLOOKUP(A723,Table3[#All],3,FALSE)</f>
        <v>HR</v>
      </c>
      <c r="D723" s="2">
        <f>VLOOKUP(A723,Table3[#All],4,FALSE)</f>
        <v>24</v>
      </c>
      <c r="E723" s="2" t="str">
        <f>VLOOKUP(A723,Table3[#All],5,FALSE)</f>
        <v>Male</v>
      </c>
      <c r="F723" s="2">
        <f>VLOOKUP(A723,Table3[#All],6,FALSE)</f>
        <v>9</v>
      </c>
      <c r="G723" s="2">
        <f>VLOOKUP(A723,Table3[#All],7,FALSE)</f>
        <v>63268</v>
      </c>
      <c r="H723" s="2">
        <f>VLOOKUP(A723,Table3[#All],8,FALSE)</f>
        <v>9</v>
      </c>
      <c r="I723" s="2">
        <f>VLOOKUP(A723,Table3[#All],9,FALSE)</f>
        <v>37</v>
      </c>
      <c r="J723" s="2">
        <f>VLOOKUP(A723,Table3[#All],10,FALSE)</f>
        <v>5</v>
      </c>
      <c r="K723" s="2">
        <f>VLOOKUP(A723,Table3[#All],11,FALSE)</f>
        <v>95</v>
      </c>
      <c r="L723" s="2" t="str">
        <f>VLOOKUP(A723,Table3[#All],12,FALSE)</f>
        <v>Chennai</v>
      </c>
      <c r="M723" s="2" t="str">
        <f t="shared" si="11"/>
        <v>Eligible</v>
      </c>
    </row>
    <row r="724" spans="1:13" hidden="1" x14ac:dyDescent="0.25">
      <c r="A724" s="6" t="s">
        <v>159</v>
      </c>
      <c r="B724" s="2" t="str">
        <f>VLOOKUP(A724,Table3[#All],2,FALSE)</f>
        <v>Ramesh</v>
      </c>
      <c r="C724" s="2" t="str">
        <f>VLOOKUP(A724,Table3[#All],3,FALSE)</f>
        <v>IT</v>
      </c>
      <c r="D724" s="2">
        <f>VLOOKUP(A724,Table3[#All],4,FALSE)</f>
        <v>29</v>
      </c>
      <c r="E724" s="2" t="str">
        <f>VLOOKUP(A724,Table3[#All],5,FALSE)</f>
        <v>Male</v>
      </c>
      <c r="F724" s="2">
        <f>VLOOKUP(A724,Table3[#All],6,FALSE)</f>
        <v>5</v>
      </c>
      <c r="G724" s="2">
        <f>VLOOKUP(A724,Table3[#All],7,FALSE)</f>
        <v>63398</v>
      </c>
      <c r="H724" s="2">
        <f>VLOOKUP(A724,Table3[#All],8,FALSE)</f>
        <v>10</v>
      </c>
      <c r="I724" s="2">
        <f>VLOOKUP(A724,Table3[#All],9,FALSE)</f>
        <v>37</v>
      </c>
      <c r="J724" s="2">
        <f>VLOOKUP(A724,Table3[#All],10,FALSE)</f>
        <v>3</v>
      </c>
      <c r="K724" s="2">
        <f>VLOOKUP(A724,Table3[#All],11,FALSE)</f>
        <v>87</v>
      </c>
      <c r="L724" s="2" t="str">
        <f>VLOOKUP(A724,Table3[#All],12,FALSE)</f>
        <v>Chennai</v>
      </c>
      <c r="M724" s="2" t="str">
        <f t="shared" si="11"/>
        <v>Not Eligible</v>
      </c>
    </row>
    <row r="725" spans="1:13" hidden="1" x14ac:dyDescent="0.25">
      <c r="A725" s="6" t="s">
        <v>845</v>
      </c>
      <c r="B725" s="2" t="str">
        <f>VLOOKUP(A725,Table3[#All],2,FALSE)</f>
        <v>Nisha</v>
      </c>
      <c r="C725" s="2" t="str">
        <f>VLOOKUP(A725,Table3[#All],3,FALSE)</f>
        <v>HR</v>
      </c>
      <c r="D725" s="2">
        <f>VLOOKUP(A725,Table3[#All],4,FALSE)</f>
        <v>32</v>
      </c>
      <c r="E725" s="2" t="str">
        <f>VLOOKUP(A725,Table3[#All],5,FALSE)</f>
        <v>Female</v>
      </c>
      <c r="F725" s="2">
        <f>VLOOKUP(A725,Table3[#All],6,FALSE)</f>
        <v>11</v>
      </c>
      <c r="G725" s="2">
        <f>VLOOKUP(A725,Table3[#All],7,FALSE)</f>
        <v>63673</v>
      </c>
      <c r="H725" s="2">
        <f>VLOOKUP(A725,Table3[#All],8,FALSE)</f>
        <v>5</v>
      </c>
      <c r="I725" s="2">
        <f>VLOOKUP(A725,Table3[#All],9,FALSE)</f>
        <v>42</v>
      </c>
      <c r="J725" s="2">
        <f>VLOOKUP(A725,Table3[#All],10,FALSE)</f>
        <v>1</v>
      </c>
      <c r="K725" s="2">
        <f>VLOOKUP(A725,Table3[#All],11,FALSE)</f>
        <v>87</v>
      </c>
      <c r="L725" s="2" t="str">
        <f>VLOOKUP(A725,Table3[#All],12,FALSE)</f>
        <v>Pune</v>
      </c>
      <c r="M725" s="2" t="str">
        <f t="shared" si="11"/>
        <v>Not Eligible</v>
      </c>
    </row>
    <row r="726" spans="1:13" x14ac:dyDescent="0.25">
      <c r="A726" s="5" t="s">
        <v>814</v>
      </c>
      <c r="B726" s="2" t="str">
        <f>VLOOKUP(A726,Table3[#All],2,FALSE)</f>
        <v>Priya</v>
      </c>
      <c r="C726" s="2" t="str">
        <f>VLOOKUP(A726,Table3[#All],3,FALSE)</f>
        <v>Finance</v>
      </c>
      <c r="D726" s="2">
        <f>VLOOKUP(A726,Table3[#All],4,FALSE)</f>
        <v>38</v>
      </c>
      <c r="E726" s="2" t="str">
        <f>VLOOKUP(A726,Table3[#All],5,FALSE)</f>
        <v>Female</v>
      </c>
      <c r="F726" s="2">
        <f>VLOOKUP(A726,Table3[#All],6,FALSE)</f>
        <v>12</v>
      </c>
      <c r="G726" s="2">
        <f>VLOOKUP(A726,Table3[#All],7,FALSE)</f>
        <v>63711</v>
      </c>
      <c r="H726" s="2">
        <f>VLOOKUP(A726,Table3[#All],8,FALSE)</f>
        <v>15</v>
      </c>
      <c r="I726" s="2">
        <f>VLOOKUP(A726,Table3[#All],9,FALSE)</f>
        <v>50</v>
      </c>
      <c r="J726" s="2">
        <f>VLOOKUP(A726,Table3[#All],10,FALSE)</f>
        <v>3</v>
      </c>
      <c r="K726" s="2">
        <f>VLOOKUP(A726,Table3[#All],11,FALSE)</f>
        <v>94</v>
      </c>
      <c r="L726" s="2" t="str">
        <f>VLOOKUP(A726,Table3[#All],12,FALSE)</f>
        <v>Mumbai</v>
      </c>
      <c r="M726" s="2" t="str">
        <f t="shared" si="11"/>
        <v>Not Eligible</v>
      </c>
    </row>
    <row r="727" spans="1:13" hidden="1" x14ac:dyDescent="0.25">
      <c r="A727" s="6" t="s">
        <v>769</v>
      </c>
      <c r="B727" s="2" t="str">
        <f>VLOOKUP(A727,Table3[#All],2,FALSE)</f>
        <v>Rekha</v>
      </c>
      <c r="C727" s="2" t="str">
        <f>VLOOKUP(A727,Table3[#All],3,FALSE)</f>
        <v>Finance</v>
      </c>
      <c r="D727" s="2">
        <f>VLOOKUP(A727,Table3[#All],4,FALSE)</f>
        <v>39</v>
      </c>
      <c r="E727" s="2" t="str">
        <f>VLOOKUP(A727,Table3[#All],5,FALSE)</f>
        <v>Female</v>
      </c>
      <c r="F727" s="2">
        <f>VLOOKUP(A727,Table3[#All],6,FALSE)</f>
        <v>4</v>
      </c>
      <c r="G727" s="2">
        <f>VLOOKUP(A727,Table3[#All],7,FALSE)</f>
        <v>76635</v>
      </c>
      <c r="H727" s="2">
        <f>VLOOKUP(A727,Table3[#All],8,FALSE)</f>
        <v>12</v>
      </c>
      <c r="I727" s="2">
        <f>VLOOKUP(A727,Table3[#All],9,FALSE)</f>
        <v>35</v>
      </c>
      <c r="J727" s="2">
        <f>VLOOKUP(A727,Table3[#All],10,FALSE)</f>
        <v>3</v>
      </c>
      <c r="K727" s="2">
        <f>VLOOKUP(A727,Table3[#All],11,FALSE)</f>
        <v>87</v>
      </c>
      <c r="L727" s="2" t="str">
        <f>VLOOKUP(A727,Table3[#All],12,FALSE)</f>
        <v>Mumbai</v>
      </c>
      <c r="M727" s="2" t="str">
        <f t="shared" si="11"/>
        <v>Not Eligible</v>
      </c>
    </row>
    <row r="728" spans="1:13" hidden="1" x14ac:dyDescent="0.25">
      <c r="A728" s="6" t="s">
        <v>117</v>
      </c>
      <c r="B728" s="2" t="str">
        <f>VLOOKUP(A728,Table3[#All],2,FALSE)</f>
        <v>Anitha</v>
      </c>
      <c r="C728" s="2" t="str">
        <f>VLOOKUP(A728,Table3[#All],3,FALSE)</f>
        <v>Finance</v>
      </c>
      <c r="D728" s="2">
        <f>VLOOKUP(A728,Table3[#All],4,FALSE)</f>
        <v>26</v>
      </c>
      <c r="E728" s="2" t="str">
        <f>VLOOKUP(A728,Table3[#All],5,FALSE)</f>
        <v>Female</v>
      </c>
      <c r="F728" s="2">
        <f>VLOOKUP(A728,Table3[#All],6,FALSE)</f>
        <v>7</v>
      </c>
      <c r="G728" s="2">
        <f>VLOOKUP(A728,Table3[#All],7,FALSE)</f>
        <v>63858</v>
      </c>
      <c r="H728" s="2">
        <f>VLOOKUP(A728,Table3[#All],8,FALSE)</f>
        <v>6</v>
      </c>
      <c r="I728" s="2">
        <f>VLOOKUP(A728,Table3[#All],9,FALSE)</f>
        <v>50</v>
      </c>
      <c r="J728" s="2">
        <f>VLOOKUP(A728,Table3[#All],10,FALSE)</f>
        <v>5</v>
      </c>
      <c r="K728" s="2">
        <f>VLOOKUP(A728,Table3[#All],11,FALSE)</f>
        <v>92</v>
      </c>
      <c r="L728" s="2" t="str">
        <f>VLOOKUP(A728,Table3[#All],12,FALSE)</f>
        <v>Pune</v>
      </c>
      <c r="M728" s="2" t="str">
        <f t="shared" si="11"/>
        <v>Not Eligible</v>
      </c>
    </row>
    <row r="729" spans="1:13" hidden="1" x14ac:dyDescent="0.25">
      <c r="A729" s="6" t="s">
        <v>771</v>
      </c>
      <c r="B729" s="2" t="str">
        <f>VLOOKUP(A729,Table3[#All],2,FALSE)</f>
        <v>Kavya</v>
      </c>
      <c r="C729" s="2" t="str">
        <f>VLOOKUP(A729,Table3[#All],3,FALSE)</f>
        <v>IT</v>
      </c>
      <c r="D729" s="2">
        <f>VLOOKUP(A729,Table3[#All],4,FALSE)</f>
        <v>40</v>
      </c>
      <c r="E729" s="2" t="str">
        <f>VLOOKUP(A729,Table3[#All],5,FALSE)</f>
        <v>Female</v>
      </c>
      <c r="F729" s="2">
        <f>VLOOKUP(A729,Table3[#All],6,FALSE)</f>
        <v>1</v>
      </c>
      <c r="G729" s="2">
        <f>VLOOKUP(A729,Table3[#All],7,FALSE)</f>
        <v>31414</v>
      </c>
      <c r="H729" s="2">
        <f>VLOOKUP(A729,Table3[#All],8,FALSE)</f>
        <v>6</v>
      </c>
      <c r="I729" s="2">
        <f>VLOOKUP(A729,Table3[#All],9,FALSE)</f>
        <v>44</v>
      </c>
      <c r="J729" s="2">
        <f>VLOOKUP(A729,Table3[#All],10,FALSE)</f>
        <v>4</v>
      </c>
      <c r="K729" s="2">
        <f>VLOOKUP(A729,Table3[#All],11,FALSE)</f>
        <v>100</v>
      </c>
      <c r="L729" s="2" t="str">
        <f>VLOOKUP(A729,Table3[#All],12,FALSE)</f>
        <v>Bangalore</v>
      </c>
      <c r="M729" s="2" t="str">
        <f t="shared" si="11"/>
        <v>Eligible</v>
      </c>
    </row>
    <row r="730" spans="1:13" x14ac:dyDescent="0.25">
      <c r="A730" s="5" t="s">
        <v>772</v>
      </c>
      <c r="B730" s="2" t="str">
        <f>VLOOKUP(A730,Table3[#All],2,FALSE)</f>
        <v>Priya</v>
      </c>
      <c r="C730" s="2" t="str">
        <f>VLOOKUP(A730,Table3[#All],3,FALSE)</f>
        <v>Sales</v>
      </c>
      <c r="D730" s="2">
        <f>VLOOKUP(A730,Table3[#All],4,FALSE)</f>
        <v>39</v>
      </c>
      <c r="E730" s="2" t="str">
        <f>VLOOKUP(A730,Table3[#All],5,FALSE)</f>
        <v>Female</v>
      </c>
      <c r="F730" s="2">
        <f>VLOOKUP(A730,Table3[#All],6,FALSE)</f>
        <v>12</v>
      </c>
      <c r="G730" s="2">
        <f>VLOOKUP(A730,Table3[#All],7,FALSE)</f>
        <v>63943</v>
      </c>
      <c r="H730" s="2">
        <f>VLOOKUP(A730,Table3[#All],8,FALSE)</f>
        <v>15</v>
      </c>
      <c r="I730" s="2">
        <f>VLOOKUP(A730,Table3[#All],9,FALSE)</f>
        <v>48</v>
      </c>
      <c r="J730" s="2">
        <f>VLOOKUP(A730,Table3[#All],10,FALSE)</f>
        <v>4</v>
      </c>
      <c r="K730" s="2">
        <f>VLOOKUP(A730,Table3[#All],11,FALSE)</f>
        <v>95</v>
      </c>
      <c r="L730" s="2" t="str">
        <f>VLOOKUP(A730,Table3[#All],12,FALSE)</f>
        <v>Chennai</v>
      </c>
      <c r="M730" s="2" t="str">
        <f t="shared" si="11"/>
        <v>Eligible</v>
      </c>
    </row>
    <row r="731" spans="1:13" hidden="1" x14ac:dyDescent="0.25">
      <c r="A731" s="5" t="s">
        <v>844</v>
      </c>
      <c r="B731" s="2" t="str">
        <f>VLOOKUP(A731,Table3[#All],2,FALSE)</f>
        <v>Arun</v>
      </c>
      <c r="C731" s="2" t="str">
        <f>VLOOKUP(A731,Table3[#All],3,FALSE)</f>
        <v>HR</v>
      </c>
      <c r="D731" s="2">
        <f>VLOOKUP(A731,Table3[#All],4,FALSE)</f>
        <v>37</v>
      </c>
      <c r="E731" s="2" t="str">
        <f>VLOOKUP(A731,Table3[#All],5,FALSE)</f>
        <v>Male</v>
      </c>
      <c r="F731" s="2">
        <f>VLOOKUP(A731,Table3[#All],6,FALSE)</f>
        <v>7</v>
      </c>
      <c r="G731" s="2">
        <f>VLOOKUP(A731,Table3[#All],7,FALSE)</f>
        <v>64028</v>
      </c>
      <c r="H731" s="2">
        <f>VLOOKUP(A731,Table3[#All],8,FALSE)</f>
        <v>8</v>
      </c>
      <c r="I731" s="2">
        <f>VLOOKUP(A731,Table3[#All],9,FALSE)</f>
        <v>50</v>
      </c>
      <c r="J731" s="2">
        <f>VLOOKUP(A731,Table3[#All],10,FALSE)</f>
        <v>5</v>
      </c>
      <c r="K731" s="2">
        <f>VLOOKUP(A731,Table3[#All],11,FALSE)</f>
        <v>90</v>
      </c>
      <c r="L731" s="2" t="str">
        <f>VLOOKUP(A731,Table3[#All],12,FALSE)</f>
        <v>Pune</v>
      </c>
      <c r="M731" s="2" t="str">
        <f t="shared" si="11"/>
        <v>Not Eligible</v>
      </c>
    </row>
    <row r="732" spans="1:13" x14ac:dyDescent="0.25">
      <c r="A732" s="5" t="s">
        <v>460</v>
      </c>
      <c r="B732" s="2" t="str">
        <f>VLOOKUP(A732,Table3[#All],2,FALSE)</f>
        <v>Meena</v>
      </c>
      <c r="C732" s="2" t="str">
        <f>VLOOKUP(A732,Table3[#All],3,FALSE)</f>
        <v>IT</v>
      </c>
      <c r="D732" s="2">
        <f>VLOOKUP(A732,Table3[#All],4,FALSE)</f>
        <v>28</v>
      </c>
      <c r="E732" s="2" t="str">
        <f>VLOOKUP(A732,Table3[#All],5,FALSE)</f>
        <v>Male</v>
      </c>
      <c r="F732" s="2">
        <f>VLOOKUP(A732,Table3[#All],6,FALSE)</f>
        <v>13</v>
      </c>
      <c r="G732" s="2">
        <f>VLOOKUP(A732,Table3[#All],7,FALSE)</f>
        <v>64041</v>
      </c>
      <c r="H732" s="2">
        <f>VLOOKUP(A732,Table3[#All],8,FALSE)</f>
        <v>12</v>
      </c>
      <c r="I732" s="2">
        <f>VLOOKUP(A732,Table3[#All],9,FALSE)</f>
        <v>48</v>
      </c>
      <c r="J732" s="2">
        <f>VLOOKUP(A732,Table3[#All],10,FALSE)</f>
        <v>3</v>
      </c>
      <c r="K732" s="2">
        <f>VLOOKUP(A732,Table3[#All],11,FALSE)</f>
        <v>96</v>
      </c>
      <c r="L732" s="2" t="str">
        <f>VLOOKUP(A732,Table3[#All],12,FALSE)</f>
        <v>Delhi</v>
      </c>
      <c r="M732" s="2" t="str">
        <f t="shared" si="11"/>
        <v>Eligible</v>
      </c>
    </row>
    <row r="733" spans="1:13" hidden="1" x14ac:dyDescent="0.25">
      <c r="A733" s="6" t="s">
        <v>553</v>
      </c>
      <c r="B733" s="2" t="str">
        <f>VLOOKUP(A733,Table3[#All],2,FALSE)</f>
        <v>Anitha</v>
      </c>
      <c r="C733" s="2" t="str">
        <f>VLOOKUP(A733,Table3[#All],3,FALSE)</f>
        <v>IT</v>
      </c>
      <c r="D733" s="2">
        <f>VLOOKUP(A733,Table3[#All],4,FALSE)</f>
        <v>40</v>
      </c>
      <c r="E733" s="2" t="str">
        <f>VLOOKUP(A733,Table3[#All],5,FALSE)</f>
        <v>Male</v>
      </c>
      <c r="F733" s="2">
        <f>VLOOKUP(A733,Table3[#All],6,FALSE)</f>
        <v>8</v>
      </c>
      <c r="G733" s="2">
        <f>VLOOKUP(A733,Table3[#All],7,FALSE)</f>
        <v>64048</v>
      </c>
      <c r="H733" s="2">
        <f>VLOOKUP(A733,Table3[#All],8,FALSE)</f>
        <v>10</v>
      </c>
      <c r="I733" s="2">
        <f>VLOOKUP(A733,Table3[#All],9,FALSE)</f>
        <v>43</v>
      </c>
      <c r="J733" s="2">
        <f>VLOOKUP(A733,Table3[#All],10,FALSE)</f>
        <v>4</v>
      </c>
      <c r="K733" s="2">
        <f>VLOOKUP(A733,Table3[#All],11,FALSE)</f>
        <v>87</v>
      </c>
      <c r="L733" s="2" t="str">
        <f>VLOOKUP(A733,Table3[#All],12,FALSE)</f>
        <v>Bangalore</v>
      </c>
      <c r="M733" s="2" t="str">
        <f t="shared" si="11"/>
        <v>Not Eligible</v>
      </c>
    </row>
    <row r="734" spans="1:13" hidden="1" x14ac:dyDescent="0.25">
      <c r="A734" s="5" t="s">
        <v>776</v>
      </c>
      <c r="B734" s="2" t="str">
        <f>VLOOKUP(A734,Table3[#All],2,FALSE)</f>
        <v>Deepa</v>
      </c>
      <c r="C734" s="2" t="str">
        <f>VLOOKUP(A734,Table3[#All],3,FALSE)</f>
        <v>HR</v>
      </c>
      <c r="D734" s="2">
        <f>VLOOKUP(A734,Table3[#All],4,FALSE)</f>
        <v>33</v>
      </c>
      <c r="E734" s="2" t="str">
        <f>VLOOKUP(A734,Table3[#All],5,FALSE)</f>
        <v>Female</v>
      </c>
      <c r="F734" s="2">
        <f>VLOOKUP(A734,Table3[#All],6,FALSE)</f>
        <v>4</v>
      </c>
      <c r="G734" s="2">
        <f>VLOOKUP(A734,Table3[#All],7,FALSE)</f>
        <v>50835</v>
      </c>
      <c r="H734" s="2">
        <f>VLOOKUP(A734,Table3[#All],8,FALSE)</f>
        <v>6</v>
      </c>
      <c r="I734" s="2">
        <f>VLOOKUP(A734,Table3[#All],9,FALSE)</f>
        <v>43</v>
      </c>
      <c r="J734" s="2">
        <f>VLOOKUP(A734,Table3[#All],10,FALSE)</f>
        <v>3</v>
      </c>
      <c r="K734" s="2">
        <f>VLOOKUP(A734,Table3[#All],11,FALSE)</f>
        <v>86</v>
      </c>
      <c r="L734" s="2" t="str">
        <f>VLOOKUP(A734,Table3[#All],12,FALSE)</f>
        <v>Chennai</v>
      </c>
      <c r="M734" s="2" t="str">
        <f t="shared" si="11"/>
        <v>Not Eligible</v>
      </c>
    </row>
    <row r="735" spans="1:13" hidden="1" x14ac:dyDescent="0.25">
      <c r="A735" s="6" t="s">
        <v>777</v>
      </c>
      <c r="B735" s="2" t="str">
        <f>VLOOKUP(A735,Table3[#All],2,FALSE)</f>
        <v>Divya</v>
      </c>
      <c r="C735" s="2" t="str">
        <f>VLOOKUP(A735,Table3[#All],3,FALSE)</f>
        <v>Finance</v>
      </c>
      <c r="D735" s="2">
        <f>VLOOKUP(A735,Table3[#All],4,FALSE)</f>
        <v>24</v>
      </c>
      <c r="E735" s="2" t="str">
        <f>VLOOKUP(A735,Table3[#All],5,FALSE)</f>
        <v>Female</v>
      </c>
      <c r="F735" s="2">
        <f>VLOOKUP(A735,Table3[#All],6,FALSE)</f>
        <v>2</v>
      </c>
      <c r="G735" s="2">
        <f>VLOOKUP(A735,Table3[#All],7,FALSE)</f>
        <v>46387</v>
      </c>
      <c r="H735" s="2">
        <f>VLOOKUP(A735,Table3[#All],8,FALSE)</f>
        <v>6</v>
      </c>
      <c r="I735" s="2">
        <f>VLOOKUP(A735,Table3[#All],9,FALSE)</f>
        <v>41</v>
      </c>
      <c r="J735" s="2">
        <f>VLOOKUP(A735,Table3[#All],10,FALSE)</f>
        <v>4</v>
      </c>
      <c r="K735" s="2">
        <f>VLOOKUP(A735,Table3[#All],11,FALSE)</f>
        <v>96</v>
      </c>
      <c r="L735" s="2" t="str">
        <f>VLOOKUP(A735,Table3[#All],12,FALSE)</f>
        <v>Chennai</v>
      </c>
      <c r="M735" s="2" t="str">
        <f t="shared" si="11"/>
        <v>Eligible</v>
      </c>
    </row>
    <row r="736" spans="1:13" x14ac:dyDescent="0.25">
      <c r="A736" s="6" t="s">
        <v>751</v>
      </c>
      <c r="B736" s="2" t="str">
        <f>VLOOKUP(A736,Table3[#All],2,FALSE)</f>
        <v>Priya</v>
      </c>
      <c r="C736" s="2" t="str">
        <f>VLOOKUP(A736,Table3[#All],3,FALSE)</f>
        <v>Finance</v>
      </c>
      <c r="D736" s="2">
        <f>VLOOKUP(A736,Table3[#All],4,FALSE)</f>
        <v>30</v>
      </c>
      <c r="E736" s="2" t="str">
        <f>VLOOKUP(A736,Table3[#All],5,FALSE)</f>
        <v>Female</v>
      </c>
      <c r="F736" s="2">
        <f>VLOOKUP(A736,Table3[#All],6,FALSE)</f>
        <v>8</v>
      </c>
      <c r="G736" s="2">
        <f>VLOOKUP(A736,Table3[#All],7,FALSE)</f>
        <v>64104</v>
      </c>
      <c r="H736" s="2">
        <f>VLOOKUP(A736,Table3[#All],8,FALSE)</f>
        <v>13</v>
      </c>
      <c r="I736" s="2">
        <f>VLOOKUP(A736,Table3[#All],9,FALSE)</f>
        <v>50</v>
      </c>
      <c r="J736" s="2">
        <f>VLOOKUP(A736,Table3[#All],10,FALSE)</f>
        <v>3</v>
      </c>
      <c r="K736" s="2">
        <f>VLOOKUP(A736,Table3[#All],11,FALSE)</f>
        <v>93</v>
      </c>
      <c r="L736" s="2" t="str">
        <f>VLOOKUP(A736,Table3[#All],12,FALSE)</f>
        <v>Hyderabad</v>
      </c>
      <c r="M736" s="2" t="str">
        <f t="shared" si="11"/>
        <v>Not Eligible</v>
      </c>
    </row>
    <row r="737" spans="1:13" hidden="1" x14ac:dyDescent="0.25">
      <c r="A737" s="5" t="s">
        <v>808</v>
      </c>
      <c r="B737" s="2" t="str">
        <f>VLOOKUP(A737,Table3[#All],2,FALSE)</f>
        <v>Lakshmi</v>
      </c>
      <c r="C737" s="2" t="str">
        <f>VLOOKUP(A737,Table3[#All],3,FALSE)</f>
        <v>IT</v>
      </c>
      <c r="D737" s="2">
        <f>VLOOKUP(A737,Table3[#All],4,FALSE)</f>
        <v>28</v>
      </c>
      <c r="E737" s="2" t="str">
        <f>VLOOKUP(A737,Table3[#All],5,FALSE)</f>
        <v>Male</v>
      </c>
      <c r="F737" s="2">
        <f>VLOOKUP(A737,Table3[#All],6,FALSE)</f>
        <v>11</v>
      </c>
      <c r="G737" s="2">
        <f>VLOOKUP(A737,Table3[#All],7,FALSE)</f>
        <v>64181</v>
      </c>
      <c r="H737" s="2">
        <f>VLOOKUP(A737,Table3[#All],8,FALSE)</f>
        <v>15</v>
      </c>
      <c r="I737" s="2">
        <f>VLOOKUP(A737,Table3[#All],9,FALSE)</f>
        <v>41</v>
      </c>
      <c r="J737" s="2">
        <f>VLOOKUP(A737,Table3[#All],10,FALSE)</f>
        <v>4</v>
      </c>
      <c r="K737" s="2">
        <f>VLOOKUP(A737,Table3[#All],11,FALSE)</f>
        <v>89</v>
      </c>
      <c r="L737" s="2" t="str">
        <f>VLOOKUP(A737,Table3[#All],12,FALSE)</f>
        <v>Pune</v>
      </c>
      <c r="M737" s="2" t="str">
        <f t="shared" si="11"/>
        <v>Not Eligible</v>
      </c>
    </row>
    <row r="738" spans="1:13" hidden="1" x14ac:dyDescent="0.25">
      <c r="A738" s="5" t="s">
        <v>780</v>
      </c>
      <c r="B738" s="2" t="str">
        <f>VLOOKUP(A738,Table3[#All],2,FALSE)</f>
        <v>Meena</v>
      </c>
      <c r="C738" s="2" t="str">
        <f>VLOOKUP(A738,Table3[#All],3,FALSE)</f>
        <v>HR</v>
      </c>
      <c r="D738" s="2">
        <f>VLOOKUP(A738,Table3[#All],4,FALSE)</f>
        <v>31</v>
      </c>
      <c r="E738" s="2" t="str">
        <f>VLOOKUP(A738,Table3[#All],5,FALSE)</f>
        <v>Female</v>
      </c>
      <c r="F738" s="2">
        <f>VLOOKUP(A738,Table3[#All],6,FALSE)</f>
        <v>4</v>
      </c>
      <c r="G738" s="2">
        <f>VLOOKUP(A738,Table3[#All],7,FALSE)</f>
        <v>28364</v>
      </c>
      <c r="H738" s="2">
        <f>VLOOKUP(A738,Table3[#All],8,FALSE)</f>
        <v>12</v>
      </c>
      <c r="I738" s="2">
        <f>VLOOKUP(A738,Table3[#All],9,FALSE)</f>
        <v>35</v>
      </c>
      <c r="J738" s="2">
        <f>VLOOKUP(A738,Table3[#All],10,FALSE)</f>
        <v>2</v>
      </c>
      <c r="K738" s="2">
        <f>VLOOKUP(A738,Table3[#All],11,FALSE)</f>
        <v>100</v>
      </c>
      <c r="L738" s="2" t="str">
        <f>VLOOKUP(A738,Table3[#All],12,FALSE)</f>
        <v>Pune</v>
      </c>
      <c r="M738" s="2" t="str">
        <f t="shared" si="11"/>
        <v>Eligible</v>
      </c>
    </row>
    <row r="739" spans="1:13" hidden="1" x14ac:dyDescent="0.25">
      <c r="A739" s="6" t="s">
        <v>551</v>
      </c>
      <c r="B739" s="2" t="str">
        <f>VLOOKUP(A739,Table3[#All],2,FALSE)</f>
        <v>Sneha</v>
      </c>
      <c r="C739" s="2" t="str">
        <f>VLOOKUP(A739,Table3[#All],3,FALSE)</f>
        <v>IT</v>
      </c>
      <c r="D739" s="2">
        <f>VLOOKUP(A739,Table3[#All],4,FALSE)</f>
        <v>22</v>
      </c>
      <c r="E739" s="2" t="str">
        <f>VLOOKUP(A739,Table3[#All],5,FALSE)</f>
        <v>Male</v>
      </c>
      <c r="F739" s="2">
        <f>VLOOKUP(A739,Table3[#All],6,FALSE)</f>
        <v>15</v>
      </c>
      <c r="G739" s="2">
        <f>VLOOKUP(A739,Table3[#All],7,FALSE)</f>
        <v>64463</v>
      </c>
      <c r="H739" s="2">
        <f>VLOOKUP(A739,Table3[#All],8,FALSE)</f>
        <v>8</v>
      </c>
      <c r="I739" s="2">
        <f>VLOOKUP(A739,Table3[#All],9,FALSE)</f>
        <v>36</v>
      </c>
      <c r="J739" s="2">
        <f>VLOOKUP(A739,Table3[#All],10,FALSE)</f>
        <v>4</v>
      </c>
      <c r="K739" s="2">
        <f>VLOOKUP(A739,Table3[#All],11,FALSE)</f>
        <v>87</v>
      </c>
      <c r="L739" s="2" t="str">
        <f>VLOOKUP(A739,Table3[#All],12,FALSE)</f>
        <v>Pune</v>
      </c>
      <c r="M739" s="2" t="str">
        <f t="shared" si="11"/>
        <v>Not Eligible</v>
      </c>
    </row>
    <row r="740" spans="1:13" hidden="1" x14ac:dyDescent="0.25">
      <c r="A740" s="6" t="s">
        <v>335</v>
      </c>
      <c r="B740" s="2" t="str">
        <f>VLOOKUP(A740,Table3[#All],2,FALSE)</f>
        <v>Rekha</v>
      </c>
      <c r="C740" s="2" t="str">
        <f>VLOOKUP(A740,Table3[#All],3,FALSE)</f>
        <v>HR</v>
      </c>
      <c r="D740" s="2">
        <f>VLOOKUP(A740,Table3[#All],4,FALSE)</f>
        <v>24</v>
      </c>
      <c r="E740" s="2" t="str">
        <f>VLOOKUP(A740,Table3[#All],5,FALSE)</f>
        <v>Male</v>
      </c>
      <c r="F740" s="2">
        <f>VLOOKUP(A740,Table3[#All],6,FALSE)</f>
        <v>10</v>
      </c>
      <c r="G740" s="2">
        <f>VLOOKUP(A740,Table3[#All],7,FALSE)</f>
        <v>64625</v>
      </c>
      <c r="H740" s="2">
        <f>VLOOKUP(A740,Table3[#All],8,FALSE)</f>
        <v>14</v>
      </c>
      <c r="I740" s="2">
        <f>VLOOKUP(A740,Table3[#All],9,FALSE)</f>
        <v>46</v>
      </c>
      <c r="J740" s="2">
        <f>VLOOKUP(A740,Table3[#All],10,FALSE)</f>
        <v>2</v>
      </c>
      <c r="K740" s="2">
        <f>VLOOKUP(A740,Table3[#All],11,FALSE)</f>
        <v>87</v>
      </c>
      <c r="L740" s="2" t="str">
        <f>VLOOKUP(A740,Table3[#All],12,FALSE)</f>
        <v>Delhi</v>
      </c>
      <c r="M740" s="2" t="str">
        <f t="shared" si="11"/>
        <v>Not Eligible</v>
      </c>
    </row>
    <row r="741" spans="1:13" x14ac:dyDescent="0.25">
      <c r="A741" s="6" t="s">
        <v>381</v>
      </c>
      <c r="B741" s="2" t="str">
        <f>VLOOKUP(A741,Table3[#All],2,FALSE)</f>
        <v>Deepa</v>
      </c>
      <c r="C741" s="2" t="str">
        <f>VLOOKUP(A741,Table3[#All],3,FALSE)</f>
        <v>HR</v>
      </c>
      <c r="D741" s="2">
        <f>VLOOKUP(A741,Table3[#All],4,FALSE)</f>
        <v>29</v>
      </c>
      <c r="E741" s="2" t="str">
        <f>VLOOKUP(A741,Table3[#All],5,FALSE)</f>
        <v>Female</v>
      </c>
      <c r="F741" s="2">
        <f>VLOOKUP(A741,Table3[#All],6,FALSE)</f>
        <v>10</v>
      </c>
      <c r="G741" s="2">
        <f>VLOOKUP(A741,Table3[#All],7,FALSE)</f>
        <v>64660</v>
      </c>
      <c r="H741" s="2">
        <f>VLOOKUP(A741,Table3[#All],8,FALSE)</f>
        <v>12</v>
      </c>
      <c r="I741" s="2">
        <f>VLOOKUP(A741,Table3[#All],9,FALSE)</f>
        <v>48</v>
      </c>
      <c r="J741" s="2">
        <f>VLOOKUP(A741,Table3[#All],10,FALSE)</f>
        <v>5</v>
      </c>
      <c r="K741" s="2">
        <f>VLOOKUP(A741,Table3[#All],11,FALSE)</f>
        <v>95</v>
      </c>
      <c r="L741" s="2" t="str">
        <f>VLOOKUP(A741,Table3[#All],12,FALSE)</f>
        <v>Chennai</v>
      </c>
      <c r="M741" s="2" t="str">
        <f t="shared" si="11"/>
        <v>Eligible</v>
      </c>
    </row>
    <row r="742" spans="1:13" x14ac:dyDescent="0.25">
      <c r="A742" s="6" t="s">
        <v>861</v>
      </c>
      <c r="B742" s="2" t="str">
        <f>VLOOKUP(A742,Table3[#All],2,FALSE)</f>
        <v>Lakshmi</v>
      </c>
      <c r="C742" s="2" t="str">
        <f>VLOOKUP(A742,Table3[#All],3,FALSE)</f>
        <v>IT</v>
      </c>
      <c r="D742" s="2">
        <f>VLOOKUP(A742,Table3[#All],4,FALSE)</f>
        <v>32</v>
      </c>
      <c r="E742" s="2" t="str">
        <f>VLOOKUP(A742,Table3[#All],5,FALSE)</f>
        <v>Female</v>
      </c>
      <c r="F742" s="2">
        <f>VLOOKUP(A742,Table3[#All],6,FALSE)</f>
        <v>14</v>
      </c>
      <c r="G742" s="2">
        <f>VLOOKUP(A742,Table3[#All],7,FALSE)</f>
        <v>64803</v>
      </c>
      <c r="H742" s="2">
        <f>VLOOKUP(A742,Table3[#All],8,FALSE)</f>
        <v>11</v>
      </c>
      <c r="I742" s="2">
        <f>VLOOKUP(A742,Table3[#All],9,FALSE)</f>
        <v>44</v>
      </c>
      <c r="J742" s="2">
        <f>VLOOKUP(A742,Table3[#All],10,FALSE)</f>
        <v>4</v>
      </c>
      <c r="K742" s="2">
        <f>VLOOKUP(A742,Table3[#All],11,FALSE)</f>
        <v>92</v>
      </c>
      <c r="L742" s="2" t="str">
        <f>VLOOKUP(A742,Table3[#All],12,FALSE)</f>
        <v>Hyderabad</v>
      </c>
      <c r="M742" s="2" t="str">
        <f t="shared" si="11"/>
        <v>Not Eligible</v>
      </c>
    </row>
    <row r="743" spans="1:13" hidden="1" x14ac:dyDescent="0.25">
      <c r="A743" s="5" t="s">
        <v>282</v>
      </c>
      <c r="B743" s="2" t="str">
        <f>VLOOKUP(A743,Table3[#All],2,FALSE)</f>
        <v>Hari</v>
      </c>
      <c r="C743" s="2" t="str">
        <f>VLOOKUP(A743,Table3[#All],3,FALSE)</f>
        <v>HR</v>
      </c>
      <c r="D743" s="2">
        <f>VLOOKUP(A743,Table3[#All],4,FALSE)</f>
        <v>34</v>
      </c>
      <c r="E743" s="2" t="str">
        <f>VLOOKUP(A743,Table3[#All],5,FALSE)</f>
        <v>Female</v>
      </c>
      <c r="F743" s="2">
        <f>VLOOKUP(A743,Table3[#All],6,FALSE)</f>
        <v>6</v>
      </c>
      <c r="G743" s="2">
        <f>VLOOKUP(A743,Table3[#All],7,FALSE)</f>
        <v>64915</v>
      </c>
      <c r="H743" s="2">
        <f>VLOOKUP(A743,Table3[#All],8,FALSE)</f>
        <v>7</v>
      </c>
      <c r="I743" s="2">
        <f>VLOOKUP(A743,Table3[#All],9,FALSE)</f>
        <v>38</v>
      </c>
      <c r="J743" s="2">
        <f>VLOOKUP(A743,Table3[#All],10,FALSE)</f>
        <v>3</v>
      </c>
      <c r="K743" s="2">
        <f>VLOOKUP(A743,Table3[#All],11,FALSE)</f>
        <v>95</v>
      </c>
      <c r="L743" s="2" t="str">
        <f>VLOOKUP(A743,Table3[#All],12,FALSE)</f>
        <v>Mumbai</v>
      </c>
      <c r="M743" s="2" t="str">
        <f t="shared" si="11"/>
        <v>Eligible</v>
      </c>
    </row>
    <row r="744" spans="1:13" x14ac:dyDescent="0.25">
      <c r="A744" s="6" t="s">
        <v>317</v>
      </c>
      <c r="B744" s="2" t="str">
        <f>VLOOKUP(A744,Table3[#All],2,FALSE)</f>
        <v>Lakshmi</v>
      </c>
      <c r="C744" s="2" t="str">
        <f>VLOOKUP(A744,Table3[#All],3,FALSE)</f>
        <v>Finance</v>
      </c>
      <c r="D744" s="2">
        <f>VLOOKUP(A744,Table3[#All],4,FALSE)</f>
        <v>28</v>
      </c>
      <c r="E744" s="2" t="str">
        <f>VLOOKUP(A744,Table3[#All],5,FALSE)</f>
        <v>Female</v>
      </c>
      <c r="F744" s="2">
        <f>VLOOKUP(A744,Table3[#All],6,FALSE)</f>
        <v>9</v>
      </c>
      <c r="G744" s="2">
        <f>VLOOKUP(A744,Table3[#All],7,FALSE)</f>
        <v>65062</v>
      </c>
      <c r="H744" s="2">
        <f>VLOOKUP(A744,Table3[#All],8,FALSE)</f>
        <v>11</v>
      </c>
      <c r="I744" s="2">
        <f>VLOOKUP(A744,Table3[#All],9,FALSE)</f>
        <v>42</v>
      </c>
      <c r="J744" s="2">
        <f>VLOOKUP(A744,Table3[#All],10,FALSE)</f>
        <v>4</v>
      </c>
      <c r="K744" s="2">
        <f>VLOOKUP(A744,Table3[#All],11,FALSE)</f>
        <v>96</v>
      </c>
      <c r="L744" s="2" t="str">
        <f>VLOOKUP(A744,Table3[#All],12,FALSE)</f>
        <v>Chennai</v>
      </c>
      <c r="M744" s="2" t="str">
        <f t="shared" si="11"/>
        <v>Eligible</v>
      </c>
    </row>
    <row r="745" spans="1:13" hidden="1" x14ac:dyDescent="0.25">
      <c r="A745" s="6" t="s">
        <v>877</v>
      </c>
      <c r="B745" s="2" t="str">
        <f>VLOOKUP(A745,Table3[#All],2,FALSE)</f>
        <v>Ajay</v>
      </c>
      <c r="C745" s="2" t="str">
        <f>VLOOKUP(A745,Table3[#All],3,FALSE)</f>
        <v>Finance</v>
      </c>
      <c r="D745" s="2">
        <f>VLOOKUP(A745,Table3[#All],4,FALSE)</f>
        <v>27</v>
      </c>
      <c r="E745" s="2" t="str">
        <f>VLOOKUP(A745,Table3[#All],5,FALSE)</f>
        <v>Female</v>
      </c>
      <c r="F745" s="2">
        <f>VLOOKUP(A745,Table3[#All],6,FALSE)</f>
        <v>12</v>
      </c>
      <c r="G745" s="2">
        <f>VLOOKUP(A745,Table3[#All],7,FALSE)</f>
        <v>65112</v>
      </c>
      <c r="H745" s="2">
        <f>VLOOKUP(A745,Table3[#All],8,FALSE)</f>
        <v>15</v>
      </c>
      <c r="I745" s="2">
        <f>VLOOKUP(A745,Table3[#All],9,FALSE)</f>
        <v>39</v>
      </c>
      <c r="J745" s="2">
        <f>VLOOKUP(A745,Table3[#All],10,FALSE)</f>
        <v>1</v>
      </c>
      <c r="K745" s="2">
        <f>VLOOKUP(A745,Table3[#All],11,FALSE)</f>
        <v>87</v>
      </c>
      <c r="L745" s="2" t="str">
        <f>VLOOKUP(A745,Table3[#All],12,FALSE)</f>
        <v>Hyderabad</v>
      </c>
      <c r="M745" s="2" t="str">
        <f t="shared" si="11"/>
        <v>Not Eligible</v>
      </c>
    </row>
    <row r="746" spans="1:13" hidden="1" x14ac:dyDescent="0.25">
      <c r="A746" s="6" t="s">
        <v>863</v>
      </c>
      <c r="B746" s="2" t="str">
        <f>VLOOKUP(A746,Table3[#All],2,FALSE)</f>
        <v>Meena</v>
      </c>
      <c r="C746" s="2" t="str">
        <f>VLOOKUP(A746,Table3[#All],3,FALSE)</f>
        <v>Sales</v>
      </c>
      <c r="D746" s="2">
        <f>VLOOKUP(A746,Table3[#All],4,FALSE)</f>
        <v>37</v>
      </c>
      <c r="E746" s="2" t="str">
        <f>VLOOKUP(A746,Table3[#All],5,FALSE)</f>
        <v>Female</v>
      </c>
      <c r="F746" s="2">
        <f>VLOOKUP(A746,Table3[#All],6,FALSE)</f>
        <v>7</v>
      </c>
      <c r="G746" s="2">
        <f>VLOOKUP(A746,Table3[#All],7,FALSE)</f>
        <v>65122</v>
      </c>
      <c r="H746" s="2">
        <f>VLOOKUP(A746,Table3[#All],8,FALSE)</f>
        <v>6</v>
      </c>
      <c r="I746" s="2">
        <f>VLOOKUP(A746,Table3[#All],9,FALSE)</f>
        <v>41</v>
      </c>
      <c r="J746" s="2">
        <f>VLOOKUP(A746,Table3[#All],10,FALSE)</f>
        <v>4</v>
      </c>
      <c r="K746" s="2">
        <f>VLOOKUP(A746,Table3[#All],11,FALSE)</f>
        <v>89</v>
      </c>
      <c r="L746" s="2" t="str">
        <f>VLOOKUP(A746,Table3[#All],12,FALSE)</f>
        <v>Mumbai</v>
      </c>
      <c r="M746" s="2" t="str">
        <f t="shared" si="11"/>
        <v>Not Eligible</v>
      </c>
    </row>
    <row r="747" spans="1:13" hidden="1" x14ac:dyDescent="0.25">
      <c r="A747" s="6" t="s">
        <v>221</v>
      </c>
      <c r="B747" s="2" t="str">
        <f>VLOOKUP(A747,Table3[#All],2,FALSE)</f>
        <v>Meena</v>
      </c>
      <c r="C747" s="2" t="str">
        <f>VLOOKUP(A747,Table3[#All],3,FALSE)</f>
        <v>HR</v>
      </c>
      <c r="D747" s="2">
        <f>VLOOKUP(A747,Table3[#All],4,FALSE)</f>
        <v>39</v>
      </c>
      <c r="E747" s="2" t="str">
        <f>VLOOKUP(A747,Table3[#All],5,FALSE)</f>
        <v>Male</v>
      </c>
      <c r="F747" s="2">
        <f>VLOOKUP(A747,Table3[#All],6,FALSE)</f>
        <v>10</v>
      </c>
      <c r="G747" s="2">
        <f>VLOOKUP(A747,Table3[#All],7,FALSE)</f>
        <v>65136</v>
      </c>
      <c r="H747" s="2">
        <f>VLOOKUP(A747,Table3[#All],8,FALSE)</f>
        <v>3</v>
      </c>
      <c r="I747" s="2">
        <f>VLOOKUP(A747,Table3[#All],9,FALSE)</f>
        <v>45</v>
      </c>
      <c r="J747" s="2">
        <f>VLOOKUP(A747,Table3[#All],10,FALSE)</f>
        <v>2</v>
      </c>
      <c r="K747" s="2">
        <f>VLOOKUP(A747,Table3[#All],11,FALSE)</f>
        <v>98</v>
      </c>
      <c r="L747" s="2" t="str">
        <f>VLOOKUP(A747,Table3[#All],12,FALSE)</f>
        <v>Pune</v>
      </c>
      <c r="M747" s="2" t="str">
        <f t="shared" si="11"/>
        <v>Eligible</v>
      </c>
    </row>
    <row r="748" spans="1:13" hidden="1" x14ac:dyDescent="0.25">
      <c r="A748" s="5" t="s">
        <v>486</v>
      </c>
      <c r="B748" s="2" t="str">
        <f>VLOOKUP(A748,Table3[#All],2,FALSE)</f>
        <v>Ramesh</v>
      </c>
      <c r="C748" s="2" t="str">
        <f>VLOOKUP(A748,Table3[#All],3,FALSE)</f>
        <v>IT</v>
      </c>
      <c r="D748" s="2">
        <f>VLOOKUP(A748,Table3[#All],4,FALSE)</f>
        <v>30</v>
      </c>
      <c r="E748" s="2" t="str">
        <f>VLOOKUP(A748,Table3[#All],5,FALSE)</f>
        <v>Male</v>
      </c>
      <c r="F748" s="2">
        <f>VLOOKUP(A748,Table3[#All],6,FALSE)</f>
        <v>11</v>
      </c>
      <c r="G748" s="2">
        <f>VLOOKUP(A748,Table3[#All],7,FALSE)</f>
        <v>65189</v>
      </c>
      <c r="H748" s="2">
        <f>VLOOKUP(A748,Table3[#All],8,FALSE)</f>
        <v>15</v>
      </c>
      <c r="I748" s="2">
        <f>VLOOKUP(A748,Table3[#All],9,FALSE)</f>
        <v>50</v>
      </c>
      <c r="J748" s="2">
        <f>VLOOKUP(A748,Table3[#All],10,FALSE)</f>
        <v>2</v>
      </c>
      <c r="K748" s="2">
        <f>VLOOKUP(A748,Table3[#All],11,FALSE)</f>
        <v>86</v>
      </c>
      <c r="L748" s="2" t="str">
        <f>VLOOKUP(A748,Table3[#All],12,FALSE)</f>
        <v>Bangalore</v>
      </c>
      <c r="M748" s="2" t="str">
        <f t="shared" si="11"/>
        <v>Not Eligible</v>
      </c>
    </row>
    <row r="749" spans="1:13" hidden="1" x14ac:dyDescent="0.25">
      <c r="A749" s="6" t="s">
        <v>815</v>
      </c>
      <c r="B749" s="2" t="str">
        <f>VLOOKUP(A749,Table3[#All],2,FALSE)</f>
        <v>Ravi</v>
      </c>
      <c r="C749" s="2" t="str">
        <f>VLOOKUP(A749,Table3[#All],3,FALSE)</f>
        <v>Finance</v>
      </c>
      <c r="D749" s="2">
        <f>VLOOKUP(A749,Table3[#All],4,FALSE)</f>
        <v>27</v>
      </c>
      <c r="E749" s="2" t="str">
        <f>VLOOKUP(A749,Table3[#All],5,FALSE)</f>
        <v>Female</v>
      </c>
      <c r="F749" s="2">
        <f>VLOOKUP(A749,Table3[#All],6,FALSE)</f>
        <v>5</v>
      </c>
      <c r="G749" s="2">
        <f>VLOOKUP(A749,Table3[#All],7,FALSE)</f>
        <v>65198</v>
      </c>
      <c r="H749" s="2">
        <f>VLOOKUP(A749,Table3[#All],8,FALSE)</f>
        <v>3</v>
      </c>
      <c r="I749" s="2">
        <f>VLOOKUP(A749,Table3[#All],9,FALSE)</f>
        <v>38</v>
      </c>
      <c r="J749" s="2">
        <f>VLOOKUP(A749,Table3[#All],10,FALSE)</f>
        <v>1</v>
      </c>
      <c r="K749" s="2">
        <f>VLOOKUP(A749,Table3[#All],11,FALSE)</f>
        <v>92</v>
      </c>
      <c r="L749" s="2" t="str">
        <f>VLOOKUP(A749,Table3[#All],12,FALSE)</f>
        <v>Hyderabad</v>
      </c>
      <c r="M749" s="2" t="str">
        <f t="shared" si="11"/>
        <v>Not Eligible</v>
      </c>
    </row>
    <row r="750" spans="1:13" x14ac:dyDescent="0.25">
      <c r="A750" s="6" t="s">
        <v>817</v>
      </c>
      <c r="B750" s="2" t="str">
        <f>VLOOKUP(A750,Table3[#All],2,FALSE)</f>
        <v>Anitha</v>
      </c>
      <c r="C750" s="2" t="str">
        <f>VLOOKUP(A750,Table3[#All],3,FALSE)</f>
        <v>Finance</v>
      </c>
      <c r="D750" s="2">
        <f>VLOOKUP(A750,Table3[#All],4,FALSE)</f>
        <v>39</v>
      </c>
      <c r="E750" s="2" t="str">
        <f>VLOOKUP(A750,Table3[#All],5,FALSE)</f>
        <v>Male</v>
      </c>
      <c r="F750" s="2">
        <f>VLOOKUP(A750,Table3[#All],6,FALSE)</f>
        <v>15</v>
      </c>
      <c r="G750" s="2">
        <f>VLOOKUP(A750,Table3[#All],7,FALSE)</f>
        <v>65233</v>
      </c>
      <c r="H750" s="2">
        <f>VLOOKUP(A750,Table3[#All],8,FALSE)</f>
        <v>15</v>
      </c>
      <c r="I750" s="2">
        <f>VLOOKUP(A750,Table3[#All],9,FALSE)</f>
        <v>42</v>
      </c>
      <c r="J750" s="2">
        <f>VLOOKUP(A750,Table3[#All],10,FALSE)</f>
        <v>1</v>
      </c>
      <c r="K750" s="2">
        <f>VLOOKUP(A750,Table3[#All],11,FALSE)</f>
        <v>96</v>
      </c>
      <c r="L750" s="2" t="str">
        <f>VLOOKUP(A750,Table3[#All],12,FALSE)</f>
        <v>Chennai</v>
      </c>
      <c r="M750" s="2" t="str">
        <f t="shared" si="11"/>
        <v>Eligible</v>
      </c>
    </row>
    <row r="751" spans="1:13" hidden="1" x14ac:dyDescent="0.25">
      <c r="A751" s="6" t="s">
        <v>793</v>
      </c>
      <c r="B751" s="2" t="str">
        <f>VLOOKUP(A751,Table3[#All],2,FALSE)</f>
        <v>Vijay</v>
      </c>
      <c r="C751" s="2" t="str">
        <f>VLOOKUP(A751,Table3[#All],3,FALSE)</f>
        <v>Finance</v>
      </c>
      <c r="D751" s="2">
        <f>VLOOKUP(A751,Table3[#All],4,FALSE)</f>
        <v>37</v>
      </c>
      <c r="E751" s="2" t="str">
        <f>VLOOKUP(A751,Table3[#All],5,FALSE)</f>
        <v>Male</v>
      </c>
      <c r="F751" s="2">
        <f>VLOOKUP(A751,Table3[#All],6,FALSE)</f>
        <v>2</v>
      </c>
      <c r="G751" s="2">
        <f>VLOOKUP(A751,Table3[#All],7,FALSE)</f>
        <v>55675</v>
      </c>
      <c r="H751" s="2">
        <f>VLOOKUP(A751,Table3[#All],8,FALSE)</f>
        <v>8</v>
      </c>
      <c r="I751" s="2">
        <f>VLOOKUP(A751,Table3[#All],9,FALSE)</f>
        <v>48</v>
      </c>
      <c r="J751" s="2">
        <f>VLOOKUP(A751,Table3[#All],10,FALSE)</f>
        <v>2</v>
      </c>
      <c r="K751" s="2">
        <f>VLOOKUP(A751,Table3[#All],11,FALSE)</f>
        <v>98</v>
      </c>
      <c r="L751" s="2" t="str">
        <f>VLOOKUP(A751,Table3[#All],12,FALSE)</f>
        <v>Chennai</v>
      </c>
      <c r="M751" s="2" t="str">
        <f t="shared" si="11"/>
        <v>Eligible</v>
      </c>
    </row>
    <row r="752" spans="1:13" hidden="1" x14ac:dyDescent="0.25">
      <c r="A752" s="5" t="s">
        <v>794</v>
      </c>
      <c r="B752" s="2" t="str">
        <f>VLOOKUP(A752,Table3[#All],2,FALSE)</f>
        <v>Priya</v>
      </c>
      <c r="C752" s="2" t="str">
        <f>VLOOKUP(A752,Table3[#All],3,FALSE)</f>
        <v>Finance</v>
      </c>
      <c r="D752" s="2">
        <f>VLOOKUP(A752,Table3[#All],4,FALSE)</f>
        <v>35</v>
      </c>
      <c r="E752" s="2" t="str">
        <f>VLOOKUP(A752,Table3[#All],5,FALSE)</f>
        <v>Female</v>
      </c>
      <c r="F752" s="2">
        <f>VLOOKUP(A752,Table3[#All],6,FALSE)</f>
        <v>2</v>
      </c>
      <c r="G752" s="2">
        <f>VLOOKUP(A752,Table3[#All],7,FALSE)</f>
        <v>36294</v>
      </c>
      <c r="H752" s="2">
        <f>VLOOKUP(A752,Table3[#All],8,FALSE)</f>
        <v>15</v>
      </c>
      <c r="I752" s="2">
        <f>VLOOKUP(A752,Table3[#All],9,FALSE)</f>
        <v>45</v>
      </c>
      <c r="J752" s="2">
        <f>VLOOKUP(A752,Table3[#All],10,FALSE)</f>
        <v>4</v>
      </c>
      <c r="K752" s="2">
        <f>VLOOKUP(A752,Table3[#All],11,FALSE)</f>
        <v>87</v>
      </c>
      <c r="L752" s="2" t="str">
        <f>VLOOKUP(A752,Table3[#All],12,FALSE)</f>
        <v>Hyderabad</v>
      </c>
      <c r="M752" s="2" t="str">
        <f t="shared" si="11"/>
        <v>Not Eligible</v>
      </c>
    </row>
    <row r="753" spans="1:13" x14ac:dyDescent="0.25">
      <c r="A753" s="5" t="s">
        <v>518</v>
      </c>
      <c r="B753" s="2" t="str">
        <f>VLOOKUP(A753,Table3[#All],2,FALSE)</f>
        <v>Sneha</v>
      </c>
      <c r="C753" s="2" t="str">
        <f>VLOOKUP(A753,Table3[#All],3,FALSE)</f>
        <v>Sales</v>
      </c>
      <c r="D753" s="2">
        <f>VLOOKUP(A753,Table3[#All],4,FALSE)</f>
        <v>31</v>
      </c>
      <c r="E753" s="2" t="str">
        <f>VLOOKUP(A753,Table3[#All],5,FALSE)</f>
        <v>Male</v>
      </c>
      <c r="F753" s="2">
        <f>VLOOKUP(A753,Table3[#All],6,FALSE)</f>
        <v>15</v>
      </c>
      <c r="G753" s="2">
        <f>VLOOKUP(A753,Table3[#All],7,FALSE)</f>
        <v>65275</v>
      </c>
      <c r="H753" s="2">
        <f>VLOOKUP(A753,Table3[#All],8,FALSE)</f>
        <v>14</v>
      </c>
      <c r="I753" s="2">
        <f>VLOOKUP(A753,Table3[#All],9,FALSE)</f>
        <v>43</v>
      </c>
      <c r="J753" s="2">
        <f>VLOOKUP(A753,Table3[#All],10,FALSE)</f>
        <v>4</v>
      </c>
      <c r="K753" s="2">
        <f>VLOOKUP(A753,Table3[#All],11,FALSE)</f>
        <v>97</v>
      </c>
      <c r="L753" s="2" t="str">
        <f>VLOOKUP(A753,Table3[#All],12,FALSE)</f>
        <v>Hyderabad</v>
      </c>
      <c r="M753" s="2" t="str">
        <f t="shared" si="11"/>
        <v>Eligible</v>
      </c>
    </row>
    <row r="754" spans="1:13" hidden="1" x14ac:dyDescent="0.25">
      <c r="A754" s="5" t="s">
        <v>582</v>
      </c>
      <c r="B754" s="2" t="str">
        <f>VLOOKUP(A754,Table3[#All],2,FALSE)</f>
        <v>Ravi</v>
      </c>
      <c r="C754" s="2" t="str">
        <f>VLOOKUP(A754,Table3[#All],3,FALSE)</f>
        <v>Sales</v>
      </c>
      <c r="D754" s="2">
        <f>VLOOKUP(A754,Table3[#All],4,FALSE)</f>
        <v>30</v>
      </c>
      <c r="E754" s="2" t="str">
        <f>VLOOKUP(A754,Table3[#All],5,FALSE)</f>
        <v>Female</v>
      </c>
      <c r="F754" s="2">
        <f>VLOOKUP(A754,Table3[#All],6,FALSE)</f>
        <v>11</v>
      </c>
      <c r="G754" s="2">
        <f>VLOOKUP(A754,Table3[#All],7,FALSE)</f>
        <v>65473</v>
      </c>
      <c r="H754" s="2">
        <f>VLOOKUP(A754,Table3[#All],8,FALSE)</f>
        <v>5</v>
      </c>
      <c r="I754" s="2">
        <f>VLOOKUP(A754,Table3[#All],9,FALSE)</f>
        <v>47</v>
      </c>
      <c r="J754" s="2">
        <f>VLOOKUP(A754,Table3[#All],10,FALSE)</f>
        <v>3</v>
      </c>
      <c r="K754" s="2">
        <f>VLOOKUP(A754,Table3[#All],11,FALSE)</f>
        <v>89</v>
      </c>
      <c r="L754" s="2" t="str">
        <f>VLOOKUP(A754,Table3[#All],12,FALSE)</f>
        <v>Bangalore</v>
      </c>
      <c r="M754" s="2" t="str">
        <f t="shared" si="11"/>
        <v>Not Eligible</v>
      </c>
    </row>
    <row r="755" spans="1:13" hidden="1" x14ac:dyDescent="0.25">
      <c r="A755" s="5" t="s">
        <v>168</v>
      </c>
      <c r="B755" s="2" t="str">
        <f>VLOOKUP(A755,Table3[#All],2,FALSE)</f>
        <v>Priya</v>
      </c>
      <c r="C755" s="2" t="str">
        <f>VLOOKUP(A755,Table3[#All],3,FALSE)</f>
        <v>HR</v>
      </c>
      <c r="D755" s="2">
        <f>VLOOKUP(A755,Table3[#All],4,FALSE)</f>
        <v>35</v>
      </c>
      <c r="E755" s="2" t="str">
        <f>VLOOKUP(A755,Table3[#All],5,FALSE)</f>
        <v>Female</v>
      </c>
      <c r="F755" s="2">
        <f>VLOOKUP(A755,Table3[#All],6,FALSE)</f>
        <v>6</v>
      </c>
      <c r="G755" s="2">
        <f>VLOOKUP(A755,Table3[#All],7,FALSE)</f>
        <v>65583</v>
      </c>
      <c r="H755" s="2">
        <f>VLOOKUP(A755,Table3[#All],8,FALSE)</f>
        <v>4</v>
      </c>
      <c r="I755" s="2">
        <f>VLOOKUP(A755,Table3[#All],9,FALSE)</f>
        <v>43</v>
      </c>
      <c r="J755" s="2">
        <f>VLOOKUP(A755,Table3[#All],10,FALSE)</f>
        <v>1</v>
      </c>
      <c r="K755" s="2">
        <f>VLOOKUP(A755,Table3[#All],11,FALSE)</f>
        <v>87</v>
      </c>
      <c r="L755" s="2" t="str">
        <f>VLOOKUP(A755,Table3[#All],12,FALSE)</f>
        <v>Chennai</v>
      </c>
      <c r="M755" s="2" t="str">
        <f t="shared" si="11"/>
        <v>Not Eligible</v>
      </c>
    </row>
    <row r="756" spans="1:13" hidden="1" x14ac:dyDescent="0.25">
      <c r="A756" s="6" t="s">
        <v>883</v>
      </c>
      <c r="B756" s="2" t="str">
        <f>VLOOKUP(A756,Table3[#All],2,FALSE)</f>
        <v>Divya</v>
      </c>
      <c r="C756" s="2" t="str">
        <f>VLOOKUP(A756,Table3[#All],3,FALSE)</f>
        <v>Finance</v>
      </c>
      <c r="D756" s="2">
        <f>VLOOKUP(A756,Table3[#All],4,FALSE)</f>
        <v>23</v>
      </c>
      <c r="E756" s="2" t="str">
        <f>VLOOKUP(A756,Table3[#All],5,FALSE)</f>
        <v>Female</v>
      </c>
      <c r="F756" s="2">
        <f>VLOOKUP(A756,Table3[#All],6,FALSE)</f>
        <v>8</v>
      </c>
      <c r="G756" s="2">
        <f>VLOOKUP(A756,Table3[#All],7,FALSE)</f>
        <v>65686</v>
      </c>
      <c r="H756" s="2">
        <f>VLOOKUP(A756,Table3[#All],8,FALSE)</f>
        <v>4</v>
      </c>
      <c r="I756" s="2">
        <f>VLOOKUP(A756,Table3[#All],9,FALSE)</f>
        <v>46</v>
      </c>
      <c r="J756" s="2">
        <f>VLOOKUP(A756,Table3[#All],10,FALSE)</f>
        <v>4</v>
      </c>
      <c r="K756" s="2">
        <f>VLOOKUP(A756,Table3[#All],11,FALSE)</f>
        <v>94</v>
      </c>
      <c r="L756" s="2" t="str">
        <f>VLOOKUP(A756,Table3[#All],12,FALSE)</f>
        <v>Mumbai</v>
      </c>
      <c r="M756" s="2" t="str">
        <f t="shared" si="11"/>
        <v>Not Eligible</v>
      </c>
    </row>
    <row r="757" spans="1:13" hidden="1" x14ac:dyDescent="0.25">
      <c r="A757" s="6" t="s">
        <v>659</v>
      </c>
      <c r="B757" s="2" t="str">
        <f>VLOOKUP(A757,Table3[#All],2,FALSE)</f>
        <v>Ramesh</v>
      </c>
      <c r="C757" s="2" t="str">
        <f>VLOOKUP(A757,Table3[#All],3,FALSE)</f>
        <v>HR</v>
      </c>
      <c r="D757" s="2">
        <f>VLOOKUP(A757,Table3[#All],4,FALSE)</f>
        <v>32</v>
      </c>
      <c r="E757" s="2" t="str">
        <f>VLOOKUP(A757,Table3[#All],5,FALSE)</f>
        <v>Female</v>
      </c>
      <c r="F757" s="2">
        <f>VLOOKUP(A757,Table3[#All],6,FALSE)</f>
        <v>8</v>
      </c>
      <c r="G757" s="2">
        <f>VLOOKUP(A757,Table3[#All],7,FALSE)</f>
        <v>65732</v>
      </c>
      <c r="H757" s="2">
        <f>VLOOKUP(A757,Table3[#All],8,FALSE)</f>
        <v>6</v>
      </c>
      <c r="I757" s="2">
        <f>VLOOKUP(A757,Table3[#All],9,FALSE)</f>
        <v>38</v>
      </c>
      <c r="J757" s="2">
        <f>VLOOKUP(A757,Table3[#All],10,FALSE)</f>
        <v>3</v>
      </c>
      <c r="K757" s="2">
        <f>VLOOKUP(A757,Table3[#All],11,FALSE)</f>
        <v>91</v>
      </c>
      <c r="L757" s="2" t="str">
        <f>VLOOKUP(A757,Table3[#All],12,FALSE)</f>
        <v>Bangalore</v>
      </c>
      <c r="M757" s="2" t="str">
        <f t="shared" si="11"/>
        <v>Not Eligible</v>
      </c>
    </row>
    <row r="758" spans="1:13" hidden="1" x14ac:dyDescent="0.25">
      <c r="A758" s="6" t="s">
        <v>813</v>
      </c>
      <c r="B758" s="2" t="str">
        <f>VLOOKUP(A758,Table3[#All],2,FALSE)</f>
        <v>Hari</v>
      </c>
      <c r="C758" s="2" t="str">
        <f>VLOOKUP(A758,Table3[#All],3,FALSE)</f>
        <v>Sales</v>
      </c>
      <c r="D758" s="2">
        <f>VLOOKUP(A758,Table3[#All],4,FALSE)</f>
        <v>31</v>
      </c>
      <c r="E758" s="2" t="str">
        <f>VLOOKUP(A758,Table3[#All],5,FALSE)</f>
        <v>Female</v>
      </c>
      <c r="F758" s="2">
        <f>VLOOKUP(A758,Table3[#All],6,FALSE)</f>
        <v>14</v>
      </c>
      <c r="G758" s="2">
        <f>VLOOKUP(A758,Table3[#All],7,FALSE)</f>
        <v>65770</v>
      </c>
      <c r="H758" s="2">
        <f>VLOOKUP(A758,Table3[#All],8,FALSE)</f>
        <v>6</v>
      </c>
      <c r="I758" s="2">
        <f>VLOOKUP(A758,Table3[#All],9,FALSE)</f>
        <v>39</v>
      </c>
      <c r="J758" s="2">
        <f>VLOOKUP(A758,Table3[#All],10,FALSE)</f>
        <v>3</v>
      </c>
      <c r="K758" s="2">
        <f>VLOOKUP(A758,Table3[#All],11,FALSE)</f>
        <v>97</v>
      </c>
      <c r="L758" s="2" t="str">
        <f>VLOOKUP(A758,Table3[#All],12,FALSE)</f>
        <v>Mumbai</v>
      </c>
      <c r="M758" s="2" t="str">
        <f t="shared" si="11"/>
        <v>Eligible</v>
      </c>
    </row>
    <row r="759" spans="1:13" hidden="1" x14ac:dyDescent="0.25">
      <c r="A759" s="6" t="s">
        <v>801</v>
      </c>
      <c r="B759" s="2" t="str">
        <f>VLOOKUP(A759,Table3[#All],2,FALSE)</f>
        <v>Sanjay</v>
      </c>
      <c r="C759" s="2" t="str">
        <f>VLOOKUP(A759,Table3[#All],3,FALSE)</f>
        <v>Finance</v>
      </c>
      <c r="D759" s="2">
        <f>VLOOKUP(A759,Table3[#All],4,FALSE)</f>
        <v>35</v>
      </c>
      <c r="E759" s="2" t="str">
        <f>VLOOKUP(A759,Table3[#All],5,FALSE)</f>
        <v>Female</v>
      </c>
      <c r="F759" s="2">
        <f>VLOOKUP(A759,Table3[#All],6,FALSE)</f>
        <v>1</v>
      </c>
      <c r="G759" s="2">
        <f>VLOOKUP(A759,Table3[#All],7,FALSE)</f>
        <v>58532</v>
      </c>
      <c r="H759" s="2">
        <f>VLOOKUP(A759,Table3[#All],8,FALSE)</f>
        <v>13</v>
      </c>
      <c r="I759" s="2">
        <f>VLOOKUP(A759,Table3[#All],9,FALSE)</f>
        <v>38</v>
      </c>
      <c r="J759" s="2">
        <f>VLOOKUP(A759,Table3[#All],10,FALSE)</f>
        <v>4</v>
      </c>
      <c r="K759" s="2">
        <f>VLOOKUP(A759,Table3[#All],11,FALSE)</f>
        <v>90</v>
      </c>
      <c r="L759" s="2" t="str">
        <f>VLOOKUP(A759,Table3[#All],12,FALSE)</f>
        <v>Delhi</v>
      </c>
      <c r="M759" s="2" t="str">
        <f t="shared" si="11"/>
        <v>Not Eligible</v>
      </c>
    </row>
    <row r="760" spans="1:13" x14ac:dyDescent="0.25">
      <c r="A760" s="6" t="s">
        <v>707</v>
      </c>
      <c r="B760" s="2" t="str">
        <f>VLOOKUP(A760,Table3[#All],2,FALSE)</f>
        <v>Suresh</v>
      </c>
      <c r="C760" s="2" t="str">
        <f>VLOOKUP(A760,Table3[#All],3,FALSE)</f>
        <v>HR</v>
      </c>
      <c r="D760" s="2">
        <f>VLOOKUP(A760,Table3[#All],4,FALSE)</f>
        <v>24</v>
      </c>
      <c r="E760" s="2" t="str">
        <f>VLOOKUP(A760,Table3[#All],5,FALSE)</f>
        <v>Male</v>
      </c>
      <c r="F760" s="2">
        <f>VLOOKUP(A760,Table3[#All],6,FALSE)</f>
        <v>6</v>
      </c>
      <c r="G760" s="2">
        <f>VLOOKUP(A760,Table3[#All],7,FALSE)</f>
        <v>65779</v>
      </c>
      <c r="H760" s="2">
        <f>VLOOKUP(A760,Table3[#All],8,FALSE)</f>
        <v>15</v>
      </c>
      <c r="I760" s="2">
        <f>VLOOKUP(A760,Table3[#All],9,FALSE)</f>
        <v>43</v>
      </c>
      <c r="J760" s="2">
        <f>VLOOKUP(A760,Table3[#All],10,FALSE)</f>
        <v>3</v>
      </c>
      <c r="K760" s="2">
        <f>VLOOKUP(A760,Table3[#All],11,FALSE)</f>
        <v>91</v>
      </c>
      <c r="L760" s="2" t="str">
        <f>VLOOKUP(A760,Table3[#All],12,FALSE)</f>
        <v>Delhi</v>
      </c>
      <c r="M760" s="2" t="str">
        <f t="shared" si="11"/>
        <v>Not Eligible</v>
      </c>
    </row>
    <row r="761" spans="1:13" hidden="1" x14ac:dyDescent="0.25">
      <c r="A761" s="6" t="s">
        <v>137</v>
      </c>
      <c r="B761" s="2" t="str">
        <f>VLOOKUP(A761,Table3[#All],2,FALSE)</f>
        <v>Ajay</v>
      </c>
      <c r="C761" s="2" t="str">
        <f>VLOOKUP(A761,Table3[#All],3,FALSE)</f>
        <v>IT</v>
      </c>
      <c r="D761" s="2">
        <f>VLOOKUP(A761,Table3[#All],4,FALSE)</f>
        <v>32</v>
      </c>
      <c r="E761" s="2" t="str">
        <f>VLOOKUP(A761,Table3[#All],5,FALSE)</f>
        <v>Female</v>
      </c>
      <c r="F761" s="2">
        <f>VLOOKUP(A761,Table3[#All],6,FALSE)</f>
        <v>13</v>
      </c>
      <c r="G761" s="2">
        <f>VLOOKUP(A761,Table3[#All],7,FALSE)</f>
        <v>65786</v>
      </c>
      <c r="H761" s="2">
        <f>VLOOKUP(A761,Table3[#All],8,FALSE)</f>
        <v>3</v>
      </c>
      <c r="I761" s="2">
        <f>VLOOKUP(A761,Table3[#All],9,FALSE)</f>
        <v>41</v>
      </c>
      <c r="J761" s="2">
        <f>VLOOKUP(A761,Table3[#All],10,FALSE)</f>
        <v>5</v>
      </c>
      <c r="K761" s="2">
        <f>VLOOKUP(A761,Table3[#All],11,FALSE)</f>
        <v>99</v>
      </c>
      <c r="L761" s="2" t="str">
        <f>VLOOKUP(A761,Table3[#All],12,FALSE)</f>
        <v>Bangalore</v>
      </c>
      <c r="M761" s="2" t="str">
        <f t="shared" si="11"/>
        <v>Eligible</v>
      </c>
    </row>
    <row r="762" spans="1:13" x14ac:dyDescent="0.25">
      <c r="A762" s="6" t="s">
        <v>169</v>
      </c>
      <c r="B762" s="2" t="str">
        <f>VLOOKUP(A762,Table3[#All],2,FALSE)</f>
        <v>Arun</v>
      </c>
      <c r="C762" s="2" t="str">
        <f>VLOOKUP(A762,Table3[#All],3,FALSE)</f>
        <v>Sales</v>
      </c>
      <c r="D762" s="2">
        <f>VLOOKUP(A762,Table3[#All],4,FALSE)</f>
        <v>40</v>
      </c>
      <c r="E762" s="2" t="str">
        <f>VLOOKUP(A762,Table3[#All],5,FALSE)</f>
        <v>Female</v>
      </c>
      <c r="F762" s="2">
        <f>VLOOKUP(A762,Table3[#All],6,FALSE)</f>
        <v>15</v>
      </c>
      <c r="G762" s="2">
        <f>VLOOKUP(A762,Table3[#All],7,FALSE)</f>
        <v>65839</v>
      </c>
      <c r="H762" s="2">
        <f>VLOOKUP(A762,Table3[#All],8,FALSE)</f>
        <v>10</v>
      </c>
      <c r="I762" s="2">
        <f>VLOOKUP(A762,Table3[#All],9,FALSE)</f>
        <v>37</v>
      </c>
      <c r="J762" s="2">
        <f>VLOOKUP(A762,Table3[#All],10,FALSE)</f>
        <v>1</v>
      </c>
      <c r="K762" s="2">
        <f>VLOOKUP(A762,Table3[#All],11,FALSE)</f>
        <v>93</v>
      </c>
      <c r="L762" s="2" t="str">
        <f>VLOOKUP(A762,Table3[#All],12,FALSE)</f>
        <v>Delhi</v>
      </c>
      <c r="M762" s="2" t="str">
        <f t="shared" si="11"/>
        <v>Not Eligible</v>
      </c>
    </row>
    <row r="763" spans="1:13" hidden="1" x14ac:dyDescent="0.25">
      <c r="A763" s="6" t="s">
        <v>805</v>
      </c>
      <c r="B763" s="2" t="str">
        <f>VLOOKUP(A763,Table3[#All],2,FALSE)</f>
        <v>Sanjay</v>
      </c>
      <c r="C763" s="2" t="str">
        <f>VLOOKUP(A763,Table3[#All],3,FALSE)</f>
        <v>IT</v>
      </c>
      <c r="D763" s="2">
        <f>VLOOKUP(A763,Table3[#All],4,FALSE)</f>
        <v>28</v>
      </c>
      <c r="E763" s="2" t="str">
        <f>VLOOKUP(A763,Table3[#All],5,FALSE)</f>
        <v>Male</v>
      </c>
      <c r="F763" s="2">
        <f>VLOOKUP(A763,Table3[#All],6,FALSE)</f>
        <v>4</v>
      </c>
      <c r="G763" s="2">
        <f>VLOOKUP(A763,Table3[#All],7,FALSE)</f>
        <v>68844</v>
      </c>
      <c r="H763" s="2">
        <f>VLOOKUP(A763,Table3[#All],8,FALSE)</f>
        <v>15</v>
      </c>
      <c r="I763" s="2">
        <f>VLOOKUP(A763,Table3[#All],9,FALSE)</f>
        <v>37</v>
      </c>
      <c r="J763" s="2">
        <f>VLOOKUP(A763,Table3[#All],10,FALSE)</f>
        <v>4</v>
      </c>
      <c r="K763" s="2">
        <f>VLOOKUP(A763,Table3[#All],11,FALSE)</f>
        <v>91</v>
      </c>
      <c r="L763" s="2" t="str">
        <f>VLOOKUP(A763,Table3[#All],12,FALSE)</f>
        <v>Mumbai</v>
      </c>
      <c r="M763" s="2" t="str">
        <f t="shared" si="11"/>
        <v>Not Eligible</v>
      </c>
    </row>
    <row r="764" spans="1:13" hidden="1" x14ac:dyDescent="0.25">
      <c r="A764" s="6" t="s">
        <v>745</v>
      </c>
      <c r="B764" s="2" t="str">
        <f>VLOOKUP(A764,Table3[#All],2,FALSE)</f>
        <v>Priya</v>
      </c>
      <c r="C764" s="2" t="str">
        <f>VLOOKUP(A764,Table3[#All],3,FALSE)</f>
        <v>IT</v>
      </c>
      <c r="D764" s="2">
        <f>VLOOKUP(A764,Table3[#All],4,FALSE)</f>
        <v>33</v>
      </c>
      <c r="E764" s="2" t="str">
        <f>VLOOKUP(A764,Table3[#All],5,FALSE)</f>
        <v>Male</v>
      </c>
      <c r="F764" s="2">
        <f>VLOOKUP(A764,Table3[#All],6,FALSE)</f>
        <v>11</v>
      </c>
      <c r="G764" s="2">
        <f>VLOOKUP(A764,Table3[#All],7,FALSE)</f>
        <v>65958</v>
      </c>
      <c r="H764" s="2">
        <f>VLOOKUP(A764,Table3[#All],8,FALSE)</f>
        <v>6</v>
      </c>
      <c r="I764" s="2">
        <f>VLOOKUP(A764,Table3[#All],9,FALSE)</f>
        <v>42</v>
      </c>
      <c r="J764" s="2">
        <f>VLOOKUP(A764,Table3[#All],10,FALSE)</f>
        <v>2</v>
      </c>
      <c r="K764" s="2">
        <f>VLOOKUP(A764,Table3[#All],11,FALSE)</f>
        <v>99</v>
      </c>
      <c r="L764" s="2" t="str">
        <f>VLOOKUP(A764,Table3[#All],12,FALSE)</f>
        <v>Hyderabad</v>
      </c>
      <c r="M764" s="2" t="str">
        <f t="shared" si="11"/>
        <v>Eligible</v>
      </c>
    </row>
    <row r="765" spans="1:13" x14ac:dyDescent="0.25">
      <c r="A765" s="6" t="s">
        <v>1023</v>
      </c>
      <c r="B765" s="2" t="str">
        <f>VLOOKUP(A765,Table3[#All],2,FALSE)</f>
        <v>Ramesh</v>
      </c>
      <c r="C765" s="2" t="str">
        <f>VLOOKUP(A765,Table3[#All],3,FALSE)</f>
        <v>Sales</v>
      </c>
      <c r="D765" s="2">
        <f>VLOOKUP(A765,Table3[#All],4,FALSE)</f>
        <v>38</v>
      </c>
      <c r="E765" s="2" t="str">
        <f>VLOOKUP(A765,Table3[#All],5,FALSE)</f>
        <v>Male</v>
      </c>
      <c r="F765" s="2">
        <f>VLOOKUP(A765,Table3[#All],6,FALSE)</f>
        <v>9</v>
      </c>
      <c r="G765" s="2">
        <f>VLOOKUP(A765,Table3[#All],7,FALSE)</f>
        <v>66138</v>
      </c>
      <c r="H765" s="2">
        <f>VLOOKUP(A765,Table3[#All],8,FALSE)</f>
        <v>15</v>
      </c>
      <c r="I765" s="2">
        <f>VLOOKUP(A765,Table3[#All],9,FALSE)</f>
        <v>48</v>
      </c>
      <c r="J765" s="2">
        <f>VLOOKUP(A765,Table3[#All],10,FALSE)</f>
        <v>4</v>
      </c>
      <c r="K765" s="2">
        <f>VLOOKUP(A765,Table3[#All],11,FALSE)</f>
        <v>99</v>
      </c>
      <c r="L765" s="2" t="str">
        <f>VLOOKUP(A765,Table3[#All],12,FALSE)</f>
        <v>Delhi</v>
      </c>
      <c r="M765" s="2" t="str">
        <f t="shared" si="11"/>
        <v>Eligible</v>
      </c>
    </row>
    <row r="766" spans="1:13" hidden="1" x14ac:dyDescent="0.25">
      <c r="A766" s="6" t="s">
        <v>525</v>
      </c>
      <c r="B766" s="2" t="str">
        <f>VLOOKUP(A766,Table3[#All],2,FALSE)</f>
        <v>Sanjay</v>
      </c>
      <c r="C766" s="2" t="str">
        <f>VLOOKUP(A766,Table3[#All],3,FALSE)</f>
        <v>IT</v>
      </c>
      <c r="D766" s="2">
        <f>VLOOKUP(A766,Table3[#All],4,FALSE)</f>
        <v>38</v>
      </c>
      <c r="E766" s="2" t="str">
        <f>VLOOKUP(A766,Table3[#All],5,FALSE)</f>
        <v>Female</v>
      </c>
      <c r="F766" s="2">
        <f>VLOOKUP(A766,Table3[#All],6,FALSE)</f>
        <v>12</v>
      </c>
      <c r="G766" s="2">
        <f>VLOOKUP(A766,Table3[#All],7,FALSE)</f>
        <v>66323</v>
      </c>
      <c r="H766" s="2">
        <f>VLOOKUP(A766,Table3[#All],8,FALSE)</f>
        <v>3</v>
      </c>
      <c r="I766" s="2">
        <f>VLOOKUP(A766,Table3[#All],9,FALSE)</f>
        <v>39</v>
      </c>
      <c r="J766" s="2">
        <f>VLOOKUP(A766,Table3[#All],10,FALSE)</f>
        <v>3</v>
      </c>
      <c r="K766" s="2">
        <f>VLOOKUP(A766,Table3[#All],11,FALSE)</f>
        <v>98</v>
      </c>
      <c r="L766" s="2" t="str">
        <f>VLOOKUP(A766,Table3[#All],12,FALSE)</f>
        <v>Chennai</v>
      </c>
      <c r="M766" s="2" t="str">
        <f t="shared" si="11"/>
        <v>Eligible</v>
      </c>
    </row>
    <row r="767" spans="1:13" hidden="1" x14ac:dyDescent="0.25">
      <c r="A767" s="5" t="s">
        <v>546</v>
      </c>
      <c r="B767" s="2" t="str">
        <f>VLOOKUP(A767,Table3[#All],2,FALSE)</f>
        <v>Anitha</v>
      </c>
      <c r="C767" s="2" t="str">
        <f>VLOOKUP(A767,Table3[#All],3,FALSE)</f>
        <v>Finance</v>
      </c>
      <c r="D767" s="2">
        <f>VLOOKUP(A767,Table3[#All],4,FALSE)</f>
        <v>32</v>
      </c>
      <c r="E767" s="2" t="str">
        <f>VLOOKUP(A767,Table3[#All],5,FALSE)</f>
        <v>Male</v>
      </c>
      <c r="F767" s="2">
        <f>VLOOKUP(A767,Table3[#All],6,FALSE)</f>
        <v>12</v>
      </c>
      <c r="G767" s="2">
        <f>VLOOKUP(A767,Table3[#All],7,FALSE)</f>
        <v>66342</v>
      </c>
      <c r="H767" s="2">
        <f>VLOOKUP(A767,Table3[#All],8,FALSE)</f>
        <v>7</v>
      </c>
      <c r="I767" s="2">
        <f>VLOOKUP(A767,Table3[#All],9,FALSE)</f>
        <v>44</v>
      </c>
      <c r="J767" s="2">
        <f>VLOOKUP(A767,Table3[#All],10,FALSE)</f>
        <v>4</v>
      </c>
      <c r="K767" s="2">
        <f>VLOOKUP(A767,Table3[#All],11,FALSE)</f>
        <v>86</v>
      </c>
      <c r="L767" s="2" t="str">
        <f>VLOOKUP(A767,Table3[#All],12,FALSE)</f>
        <v>Bangalore</v>
      </c>
      <c r="M767" s="2" t="str">
        <f t="shared" si="11"/>
        <v>Not Eligible</v>
      </c>
    </row>
    <row r="768" spans="1:13" x14ac:dyDescent="0.25">
      <c r="A768" s="5" t="s">
        <v>680</v>
      </c>
      <c r="B768" s="2" t="str">
        <f>VLOOKUP(A768,Table3[#All],2,FALSE)</f>
        <v>Arun</v>
      </c>
      <c r="C768" s="2" t="str">
        <f>VLOOKUP(A768,Table3[#All],3,FALSE)</f>
        <v>HR</v>
      </c>
      <c r="D768" s="2">
        <f>VLOOKUP(A768,Table3[#All],4,FALSE)</f>
        <v>38</v>
      </c>
      <c r="E768" s="2" t="str">
        <f>VLOOKUP(A768,Table3[#All],5,FALSE)</f>
        <v>Male</v>
      </c>
      <c r="F768" s="2">
        <f>VLOOKUP(A768,Table3[#All],6,FALSE)</f>
        <v>15</v>
      </c>
      <c r="G768" s="2">
        <f>VLOOKUP(A768,Table3[#All],7,FALSE)</f>
        <v>66562</v>
      </c>
      <c r="H768" s="2">
        <f>VLOOKUP(A768,Table3[#All],8,FALSE)</f>
        <v>14</v>
      </c>
      <c r="I768" s="2">
        <f>VLOOKUP(A768,Table3[#All],9,FALSE)</f>
        <v>42</v>
      </c>
      <c r="J768" s="2">
        <f>VLOOKUP(A768,Table3[#All],10,FALSE)</f>
        <v>1</v>
      </c>
      <c r="K768" s="2">
        <f>VLOOKUP(A768,Table3[#All],11,FALSE)</f>
        <v>93</v>
      </c>
      <c r="L768" s="2" t="str">
        <f>VLOOKUP(A768,Table3[#All],12,FALSE)</f>
        <v>Pune</v>
      </c>
      <c r="M768" s="2" t="str">
        <f t="shared" si="11"/>
        <v>Not Eligible</v>
      </c>
    </row>
    <row r="769" spans="1:13" x14ac:dyDescent="0.25">
      <c r="A769" s="6" t="s">
        <v>791</v>
      </c>
      <c r="B769" s="2" t="str">
        <f>VLOOKUP(A769,Table3[#All],2,FALSE)</f>
        <v>Priya</v>
      </c>
      <c r="C769" s="2" t="str">
        <f>VLOOKUP(A769,Table3[#All],3,FALSE)</f>
        <v>IT</v>
      </c>
      <c r="D769" s="2">
        <f>VLOOKUP(A769,Table3[#All],4,FALSE)</f>
        <v>38</v>
      </c>
      <c r="E769" s="2" t="str">
        <f>VLOOKUP(A769,Table3[#All],5,FALSE)</f>
        <v>Female</v>
      </c>
      <c r="F769" s="2">
        <f>VLOOKUP(A769,Table3[#All],6,FALSE)</f>
        <v>12</v>
      </c>
      <c r="G769" s="2">
        <f>VLOOKUP(A769,Table3[#All],7,FALSE)</f>
        <v>66664</v>
      </c>
      <c r="H769" s="2">
        <f>VLOOKUP(A769,Table3[#All],8,FALSE)</f>
        <v>10</v>
      </c>
      <c r="I769" s="2">
        <f>VLOOKUP(A769,Table3[#All],9,FALSE)</f>
        <v>47</v>
      </c>
      <c r="J769" s="2">
        <f>VLOOKUP(A769,Table3[#All],10,FALSE)</f>
        <v>1</v>
      </c>
      <c r="K769" s="2">
        <f>VLOOKUP(A769,Table3[#All],11,FALSE)</f>
        <v>100</v>
      </c>
      <c r="L769" s="2" t="str">
        <f>VLOOKUP(A769,Table3[#All],12,FALSE)</f>
        <v>Mumbai</v>
      </c>
      <c r="M769" s="2" t="str">
        <f t="shared" si="11"/>
        <v>Eligible</v>
      </c>
    </row>
    <row r="770" spans="1:13" hidden="1" x14ac:dyDescent="0.25">
      <c r="A770" s="5" t="s">
        <v>512</v>
      </c>
      <c r="B770" s="2" t="str">
        <f>VLOOKUP(A770,Table3[#All],2,FALSE)</f>
        <v>Manoj</v>
      </c>
      <c r="C770" s="2" t="str">
        <f>VLOOKUP(A770,Table3[#All],3,FALSE)</f>
        <v>HR</v>
      </c>
      <c r="D770" s="2">
        <f>VLOOKUP(A770,Table3[#All],4,FALSE)</f>
        <v>26</v>
      </c>
      <c r="E770" s="2" t="str">
        <f>VLOOKUP(A770,Table3[#All],5,FALSE)</f>
        <v>Female</v>
      </c>
      <c r="F770" s="2">
        <f>VLOOKUP(A770,Table3[#All],6,FALSE)</f>
        <v>6</v>
      </c>
      <c r="G770" s="2">
        <f>VLOOKUP(A770,Table3[#All],7,FALSE)</f>
        <v>66767</v>
      </c>
      <c r="H770" s="2">
        <f>VLOOKUP(A770,Table3[#All],8,FALSE)</f>
        <v>7</v>
      </c>
      <c r="I770" s="2">
        <f>VLOOKUP(A770,Table3[#All],9,FALSE)</f>
        <v>45</v>
      </c>
      <c r="J770" s="2">
        <f>VLOOKUP(A770,Table3[#All],10,FALSE)</f>
        <v>3</v>
      </c>
      <c r="K770" s="2">
        <f>VLOOKUP(A770,Table3[#All],11,FALSE)</f>
        <v>85</v>
      </c>
      <c r="L770" s="2" t="str">
        <f>VLOOKUP(A770,Table3[#All],12,FALSE)</f>
        <v>Pune</v>
      </c>
      <c r="M770" s="2" t="str">
        <f t="shared" ref="M770:M833" si="12">IF(K770&gt;=95,"Eligible","Not Eligible")</f>
        <v>Not Eligible</v>
      </c>
    </row>
    <row r="771" spans="1:13" hidden="1" x14ac:dyDescent="0.25">
      <c r="A771" s="6" t="s">
        <v>399</v>
      </c>
      <c r="B771" s="2" t="str">
        <f>VLOOKUP(A771,Table3[#All],2,FALSE)</f>
        <v>Karthik</v>
      </c>
      <c r="C771" s="2" t="str">
        <f>VLOOKUP(A771,Table3[#All],3,FALSE)</f>
        <v>Finance</v>
      </c>
      <c r="D771" s="2">
        <f>VLOOKUP(A771,Table3[#All],4,FALSE)</f>
        <v>28</v>
      </c>
      <c r="E771" s="2" t="str">
        <f>VLOOKUP(A771,Table3[#All],5,FALSE)</f>
        <v>Female</v>
      </c>
      <c r="F771" s="2">
        <f>VLOOKUP(A771,Table3[#All],6,FALSE)</f>
        <v>7</v>
      </c>
      <c r="G771" s="2">
        <f>VLOOKUP(A771,Table3[#All],7,FALSE)</f>
        <v>66771</v>
      </c>
      <c r="H771" s="2">
        <f>VLOOKUP(A771,Table3[#All],8,FALSE)</f>
        <v>5</v>
      </c>
      <c r="I771" s="2">
        <f>VLOOKUP(A771,Table3[#All],9,FALSE)</f>
        <v>35</v>
      </c>
      <c r="J771" s="2">
        <f>VLOOKUP(A771,Table3[#All],10,FALSE)</f>
        <v>2</v>
      </c>
      <c r="K771" s="2">
        <f>VLOOKUP(A771,Table3[#All],11,FALSE)</f>
        <v>93</v>
      </c>
      <c r="L771" s="2" t="str">
        <f>VLOOKUP(A771,Table3[#All],12,FALSE)</f>
        <v>Pune</v>
      </c>
      <c r="M771" s="2" t="str">
        <f t="shared" si="12"/>
        <v>Not Eligible</v>
      </c>
    </row>
    <row r="772" spans="1:13" hidden="1" x14ac:dyDescent="0.25">
      <c r="A772" s="6" t="s">
        <v>827</v>
      </c>
      <c r="B772" s="2" t="str">
        <f>VLOOKUP(A772,Table3[#All],2,FALSE)</f>
        <v>Manoj</v>
      </c>
      <c r="C772" s="2" t="str">
        <f>VLOOKUP(A772,Table3[#All],3,FALSE)</f>
        <v>Finance</v>
      </c>
      <c r="D772" s="2">
        <f>VLOOKUP(A772,Table3[#All],4,FALSE)</f>
        <v>37</v>
      </c>
      <c r="E772" s="2" t="str">
        <f>VLOOKUP(A772,Table3[#All],5,FALSE)</f>
        <v>Male</v>
      </c>
      <c r="F772" s="2">
        <f>VLOOKUP(A772,Table3[#All],6,FALSE)</f>
        <v>8</v>
      </c>
      <c r="G772" s="2">
        <f>VLOOKUP(A772,Table3[#All],7,FALSE)</f>
        <v>66787</v>
      </c>
      <c r="H772" s="2">
        <f>VLOOKUP(A772,Table3[#All],8,FALSE)</f>
        <v>6</v>
      </c>
      <c r="I772" s="2">
        <f>VLOOKUP(A772,Table3[#All],9,FALSE)</f>
        <v>50</v>
      </c>
      <c r="J772" s="2">
        <f>VLOOKUP(A772,Table3[#All],10,FALSE)</f>
        <v>2</v>
      </c>
      <c r="K772" s="2">
        <f>VLOOKUP(A772,Table3[#All],11,FALSE)</f>
        <v>91</v>
      </c>
      <c r="L772" s="2" t="str">
        <f>VLOOKUP(A772,Table3[#All],12,FALSE)</f>
        <v>Hyderabad</v>
      </c>
      <c r="M772" s="2" t="str">
        <f t="shared" si="12"/>
        <v>Not Eligible</v>
      </c>
    </row>
    <row r="773" spans="1:13" x14ac:dyDescent="0.25">
      <c r="A773" s="5" t="s">
        <v>450</v>
      </c>
      <c r="B773" s="2" t="str">
        <f>VLOOKUP(A773,Table3[#All],2,FALSE)</f>
        <v>Deepa</v>
      </c>
      <c r="C773" s="2" t="str">
        <f>VLOOKUP(A773,Table3[#All],3,FALSE)</f>
        <v>Sales</v>
      </c>
      <c r="D773" s="2">
        <f>VLOOKUP(A773,Table3[#All],4,FALSE)</f>
        <v>29</v>
      </c>
      <c r="E773" s="2" t="str">
        <f>VLOOKUP(A773,Table3[#All],5,FALSE)</f>
        <v>Female</v>
      </c>
      <c r="F773" s="2">
        <f>VLOOKUP(A773,Table3[#All],6,FALSE)</f>
        <v>9</v>
      </c>
      <c r="G773" s="2">
        <f>VLOOKUP(A773,Table3[#All],7,FALSE)</f>
        <v>66813</v>
      </c>
      <c r="H773" s="2">
        <f>VLOOKUP(A773,Table3[#All],8,FALSE)</f>
        <v>12</v>
      </c>
      <c r="I773" s="2">
        <f>VLOOKUP(A773,Table3[#All],9,FALSE)</f>
        <v>48</v>
      </c>
      <c r="J773" s="2">
        <f>VLOOKUP(A773,Table3[#All],10,FALSE)</f>
        <v>3</v>
      </c>
      <c r="K773" s="2">
        <f>VLOOKUP(A773,Table3[#All],11,FALSE)</f>
        <v>95</v>
      </c>
      <c r="L773" s="2" t="str">
        <f>VLOOKUP(A773,Table3[#All],12,FALSE)</f>
        <v>Pune</v>
      </c>
      <c r="M773" s="2" t="str">
        <f t="shared" si="12"/>
        <v>Eligible</v>
      </c>
    </row>
    <row r="774" spans="1:13" hidden="1" x14ac:dyDescent="0.25">
      <c r="A774" s="6" t="s">
        <v>749</v>
      </c>
      <c r="B774" s="2" t="str">
        <f>VLOOKUP(A774,Table3[#All],2,FALSE)</f>
        <v>Ajay</v>
      </c>
      <c r="C774" s="2" t="str">
        <f>VLOOKUP(A774,Table3[#All],3,FALSE)</f>
        <v>Finance</v>
      </c>
      <c r="D774" s="2">
        <f>VLOOKUP(A774,Table3[#All],4,FALSE)</f>
        <v>23</v>
      </c>
      <c r="E774" s="2" t="str">
        <f>VLOOKUP(A774,Table3[#All],5,FALSE)</f>
        <v>Female</v>
      </c>
      <c r="F774" s="2">
        <f>VLOOKUP(A774,Table3[#All],6,FALSE)</f>
        <v>13</v>
      </c>
      <c r="G774" s="2">
        <f>VLOOKUP(A774,Table3[#All],7,FALSE)</f>
        <v>66867</v>
      </c>
      <c r="H774" s="2">
        <f>VLOOKUP(A774,Table3[#All],8,FALSE)</f>
        <v>7</v>
      </c>
      <c r="I774" s="2">
        <f>VLOOKUP(A774,Table3[#All],9,FALSE)</f>
        <v>45</v>
      </c>
      <c r="J774" s="2">
        <f>VLOOKUP(A774,Table3[#All],10,FALSE)</f>
        <v>1</v>
      </c>
      <c r="K774" s="2">
        <f>VLOOKUP(A774,Table3[#All],11,FALSE)</f>
        <v>98</v>
      </c>
      <c r="L774" s="2" t="str">
        <f>VLOOKUP(A774,Table3[#All],12,FALSE)</f>
        <v>Delhi</v>
      </c>
      <c r="M774" s="2" t="str">
        <f t="shared" si="12"/>
        <v>Eligible</v>
      </c>
    </row>
    <row r="775" spans="1:13" hidden="1" x14ac:dyDescent="0.25">
      <c r="A775" s="5" t="s">
        <v>626</v>
      </c>
      <c r="B775" s="2" t="str">
        <f>VLOOKUP(A775,Table3[#All],2,FALSE)</f>
        <v>Deepa</v>
      </c>
      <c r="C775" s="2" t="str">
        <f>VLOOKUP(A775,Table3[#All],3,FALSE)</f>
        <v>IT</v>
      </c>
      <c r="D775" s="2">
        <f>VLOOKUP(A775,Table3[#All],4,FALSE)</f>
        <v>29</v>
      </c>
      <c r="E775" s="2" t="str">
        <f>VLOOKUP(A775,Table3[#All],5,FALSE)</f>
        <v>Male</v>
      </c>
      <c r="F775" s="2">
        <f>VLOOKUP(A775,Table3[#All],6,FALSE)</f>
        <v>7</v>
      </c>
      <c r="G775" s="2">
        <f>VLOOKUP(A775,Table3[#All],7,FALSE)</f>
        <v>66985</v>
      </c>
      <c r="H775" s="2">
        <f>VLOOKUP(A775,Table3[#All],8,FALSE)</f>
        <v>3</v>
      </c>
      <c r="I775" s="2">
        <f>VLOOKUP(A775,Table3[#All],9,FALSE)</f>
        <v>48</v>
      </c>
      <c r="J775" s="2">
        <f>VLOOKUP(A775,Table3[#All],10,FALSE)</f>
        <v>1</v>
      </c>
      <c r="K775" s="2">
        <f>VLOOKUP(A775,Table3[#All],11,FALSE)</f>
        <v>93</v>
      </c>
      <c r="L775" s="2" t="str">
        <f>VLOOKUP(A775,Table3[#All],12,FALSE)</f>
        <v>Mumbai</v>
      </c>
      <c r="M775" s="2" t="str">
        <f t="shared" si="12"/>
        <v>Not Eligible</v>
      </c>
    </row>
    <row r="776" spans="1:13" hidden="1" x14ac:dyDescent="0.25">
      <c r="A776" s="5" t="s">
        <v>818</v>
      </c>
      <c r="B776" s="2" t="str">
        <f>VLOOKUP(A776,Table3[#All],2,FALSE)</f>
        <v>Deepa</v>
      </c>
      <c r="C776" s="2" t="str">
        <f>VLOOKUP(A776,Table3[#All],3,FALSE)</f>
        <v>HR</v>
      </c>
      <c r="D776" s="2">
        <f>VLOOKUP(A776,Table3[#All],4,FALSE)</f>
        <v>24</v>
      </c>
      <c r="E776" s="2" t="str">
        <f>VLOOKUP(A776,Table3[#All],5,FALSE)</f>
        <v>Male</v>
      </c>
      <c r="F776" s="2">
        <f>VLOOKUP(A776,Table3[#All],6,FALSE)</f>
        <v>2</v>
      </c>
      <c r="G776" s="2">
        <f>VLOOKUP(A776,Table3[#All],7,FALSE)</f>
        <v>43037</v>
      </c>
      <c r="H776" s="2">
        <f>VLOOKUP(A776,Table3[#All],8,FALSE)</f>
        <v>4</v>
      </c>
      <c r="I776" s="2">
        <f>VLOOKUP(A776,Table3[#All],9,FALSE)</f>
        <v>48</v>
      </c>
      <c r="J776" s="2">
        <f>VLOOKUP(A776,Table3[#All],10,FALSE)</f>
        <v>4</v>
      </c>
      <c r="K776" s="2">
        <f>VLOOKUP(A776,Table3[#All],11,FALSE)</f>
        <v>90</v>
      </c>
      <c r="L776" s="2" t="str">
        <f>VLOOKUP(A776,Table3[#All],12,FALSE)</f>
        <v>Delhi</v>
      </c>
      <c r="M776" s="2" t="str">
        <f t="shared" si="12"/>
        <v>Not Eligible</v>
      </c>
    </row>
    <row r="777" spans="1:13" hidden="1" x14ac:dyDescent="0.25">
      <c r="A777" s="6" t="s">
        <v>921</v>
      </c>
      <c r="B777" s="2" t="str">
        <f>VLOOKUP(A777,Table3[#All],2,FALSE)</f>
        <v>Meena</v>
      </c>
      <c r="C777" s="2" t="str">
        <f>VLOOKUP(A777,Table3[#All],3,FALSE)</f>
        <v>Sales</v>
      </c>
      <c r="D777" s="2">
        <f>VLOOKUP(A777,Table3[#All],4,FALSE)</f>
        <v>34</v>
      </c>
      <c r="E777" s="2" t="str">
        <f>VLOOKUP(A777,Table3[#All],5,FALSE)</f>
        <v>Male</v>
      </c>
      <c r="F777" s="2">
        <f>VLOOKUP(A777,Table3[#All],6,FALSE)</f>
        <v>9</v>
      </c>
      <c r="G777" s="2">
        <f>VLOOKUP(A777,Table3[#All],7,FALSE)</f>
        <v>67051</v>
      </c>
      <c r="H777" s="2">
        <f>VLOOKUP(A777,Table3[#All],8,FALSE)</f>
        <v>5</v>
      </c>
      <c r="I777" s="2">
        <f>VLOOKUP(A777,Table3[#All],9,FALSE)</f>
        <v>46</v>
      </c>
      <c r="J777" s="2">
        <f>VLOOKUP(A777,Table3[#All],10,FALSE)</f>
        <v>1</v>
      </c>
      <c r="K777" s="2">
        <f>VLOOKUP(A777,Table3[#All],11,FALSE)</f>
        <v>92</v>
      </c>
      <c r="L777" s="2" t="str">
        <f>VLOOKUP(A777,Table3[#All],12,FALSE)</f>
        <v>Pune</v>
      </c>
      <c r="M777" s="2" t="str">
        <f t="shared" si="12"/>
        <v>Not Eligible</v>
      </c>
    </row>
    <row r="778" spans="1:13" hidden="1" x14ac:dyDescent="0.25">
      <c r="A778" s="5" t="s">
        <v>820</v>
      </c>
      <c r="B778" s="2" t="str">
        <f>VLOOKUP(A778,Table3[#All],2,FALSE)</f>
        <v>Karthik</v>
      </c>
      <c r="C778" s="2" t="str">
        <f>VLOOKUP(A778,Table3[#All],3,FALSE)</f>
        <v>HR</v>
      </c>
      <c r="D778" s="2">
        <f>VLOOKUP(A778,Table3[#All],4,FALSE)</f>
        <v>38</v>
      </c>
      <c r="E778" s="2" t="str">
        <f>VLOOKUP(A778,Table3[#All],5,FALSE)</f>
        <v>Male</v>
      </c>
      <c r="F778" s="2">
        <f>VLOOKUP(A778,Table3[#All],6,FALSE)</f>
        <v>2</v>
      </c>
      <c r="G778" s="2">
        <f>VLOOKUP(A778,Table3[#All],7,FALSE)</f>
        <v>54853</v>
      </c>
      <c r="H778" s="2">
        <f>VLOOKUP(A778,Table3[#All],8,FALSE)</f>
        <v>6</v>
      </c>
      <c r="I778" s="2">
        <f>VLOOKUP(A778,Table3[#All],9,FALSE)</f>
        <v>50</v>
      </c>
      <c r="J778" s="2">
        <f>VLOOKUP(A778,Table3[#All],10,FALSE)</f>
        <v>3</v>
      </c>
      <c r="K778" s="2">
        <f>VLOOKUP(A778,Table3[#All],11,FALSE)</f>
        <v>89</v>
      </c>
      <c r="L778" s="2" t="str">
        <f>VLOOKUP(A778,Table3[#All],12,FALSE)</f>
        <v>Mumbai</v>
      </c>
      <c r="M778" s="2" t="str">
        <f t="shared" si="12"/>
        <v>Not Eligible</v>
      </c>
    </row>
    <row r="779" spans="1:13" hidden="1" x14ac:dyDescent="0.25">
      <c r="A779" s="6" t="s">
        <v>821</v>
      </c>
      <c r="B779" s="2" t="str">
        <f>VLOOKUP(A779,Table3[#All],2,FALSE)</f>
        <v>Priya</v>
      </c>
      <c r="C779" s="2" t="str">
        <f>VLOOKUP(A779,Table3[#All],3,FALSE)</f>
        <v>Finance</v>
      </c>
      <c r="D779" s="2">
        <f>VLOOKUP(A779,Table3[#All],4,FALSE)</f>
        <v>32</v>
      </c>
      <c r="E779" s="2" t="str">
        <f>VLOOKUP(A779,Table3[#All],5,FALSE)</f>
        <v>Female</v>
      </c>
      <c r="F779" s="2">
        <f>VLOOKUP(A779,Table3[#All],6,FALSE)</f>
        <v>2</v>
      </c>
      <c r="G779" s="2">
        <f>VLOOKUP(A779,Table3[#All],7,FALSE)</f>
        <v>48319</v>
      </c>
      <c r="H779" s="2">
        <f>VLOOKUP(A779,Table3[#All],8,FALSE)</f>
        <v>10</v>
      </c>
      <c r="I779" s="2">
        <f>VLOOKUP(A779,Table3[#All],9,FALSE)</f>
        <v>37</v>
      </c>
      <c r="J779" s="2">
        <f>VLOOKUP(A779,Table3[#All],10,FALSE)</f>
        <v>1</v>
      </c>
      <c r="K779" s="2">
        <f>VLOOKUP(A779,Table3[#All],11,FALSE)</f>
        <v>86</v>
      </c>
      <c r="L779" s="2" t="str">
        <f>VLOOKUP(A779,Table3[#All],12,FALSE)</f>
        <v>Pune</v>
      </c>
      <c r="M779" s="2" t="str">
        <f t="shared" si="12"/>
        <v>Not Eligible</v>
      </c>
    </row>
    <row r="780" spans="1:13" x14ac:dyDescent="0.25">
      <c r="A780" s="5" t="s">
        <v>694</v>
      </c>
      <c r="B780" s="2" t="str">
        <f>VLOOKUP(A780,Table3[#All],2,FALSE)</f>
        <v>Vijay</v>
      </c>
      <c r="C780" s="2" t="str">
        <f>VLOOKUP(A780,Table3[#All],3,FALSE)</f>
        <v>IT</v>
      </c>
      <c r="D780" s="2">
        <f>VLOOKUP(A780,Table3[#All],4,FALSE)</f>
        <v>35</v>
      </c>
      <c r="E780" s="2" t="str">
        <f>VLOOKUP(A780,Table3[#All],5,FALSE)</f>
        <v>Female</v>
      </c>
      <c r="F780" s="2">
        <f>VLOOKUP(A780,Table3[#All],6,FALSE)</f>
        <v>6</v>
      </c>
      <c r="G780" s="2">
        <f>VLOOKUP(A780,Table3[#All],7,FALSE)</f>
        <v>67065</v>
      </c>
      <c r="H780" s="2">
        <f>VLOOKUP(A780,Table3[#All],8,FALSE)</f>
        <v>12</v>
      </c>
      <c r="I780" s="2">
        <f>VLOOKUP(A780,Table3[#All],9,FALSE)</f>
        <v>38</v>
      </c>
      <c r="J780" s="2">
        <f>VLOOKUP(A780,Table3[#All],10,FALSE)</f>
        <v>3</v>
      </c>
      <c r="K780" s="2">
        <f>VLOOKUP(A780,Table3[#All],11,FALSE)</f>
        <v>98</v>
      </c>
      <c r="L780" s="2" t="str">
        <f>VLOOKUP(A780,Table3[#All],12,FALSE)</f>
        <v>Hyderabad</v>
      </c>
      <c r="M780" s="2" t="str">
        <f t="shared" si="12"/>
        <v>Eligible</v>
      </c>
    </row>
    <row r="781" spans="1:13" hidden="1" x14ac:dyDescent="0.25">
      <c r="A781" s="5" t="s">
        <v>436</v>
      </c>
      <c r="B781" s="2" t="str">
        <f>VLOOKUP(A781,Table3[#All],2,FALSE)</f>
        <v>Nisha</v>
      </c>
      <c r="C781" s="2" t="str">
        <f>VLOOKUP(A781,Table3[#All],3,FALSE)</f>
        <v>Sales</v>
      </c>
      <c r="D781" s="2">
        <f>VLOOKUP(A781,Table3[#All],4,FALSE)</f>
        <v>23</v>
      </c>
      <c r="E781" s="2" t="str">
        <f>VLOOKUP(A781,Table3[#All],5,FALSE)</f>
        <v>Female</v>
      </c>
      <c r="F781" s="2">
        <f>VLOOKUP(A781,Table3[#All],6,FALSE)</f>
        <v>15</v>
      </c>
      <c r="G781" s="2">
        <f>VLOOKUP(A781,Table3[#All],7,FALSE)</f>
        <v>67166</v>
      </c>
      <c r="H781" s="2">
        <f>VLOOKUP(A781,Table3[#All],8,FALSE)</f>
        <v>15</v>
      </c>
      <c r="I781" s="2">
        <f>VLOOKUP(A781,Table3[#All],9,FALSE)</f>
        <v>48</v>
      </c>
      <c r="J781" s="2">
        <f>VLOOKUP(A781,Table3[#All],10,FALSE)</f>
        <v>4</v>
      </c>
      <c r="K781" s="2">
        <f>VLOOKUP(A781,Table3[#All],11,FALSE)</f>
        <v>87</v>
      </c>
      <c r="L781" s="2" t="str">
        <f>VLOOKUP(A781,Table3[#All],12,FALSE)</f>
        <v>Pune</v>
      </c>
      <c r="M781" s="2" t="str">
        <f t="shared" si="12"/>
        <v>Not Eligible</v>
      </c>
    </row>
    <row r="782" spans="1:13" hidden="1" x14ac:dyDescent="0.25">
      <c r="A782" s="5" t="s">
        <v>548</v>
      </c>
      <c r="B782" s="2" t="str">
        <f>VLOOKUP(A782,Table3[#All],2,FALSE)</f>
        <v>Meena</v>
      </c>
      <c r="C782" s="2" t="str">
        <f>VLOOKUP(A782,Table3[#All],3,FALSE)</f>
        <v>Finance</v>
      </c>
      <c r="D782" s="2">
        <f>VLOOKUP(A782,Table3[#All],4,FALSE)</f>
        <v>29</v>
      </c>
      <c r="E782" s="2" t="str">
        <f>VLOOKUP(A782,Table3[#All],5,FALSE)</f>
        <v>Male</v>
      </c>
      <c r="F782" s="2">
        <f>VLOOKUP(A782,Table3[#All],6,FALSE)</f>
        <v>10</v>
      </c>
      <c r="G782" s="2">
        <f>VLOOKUP(A782,Table3[#All],7,FALSE)</f>
        <v>67203</v>
      </c>
      <c r="H782" s="2">
        <f>VLOOKUP(A782,Table3[#All],8,FALSE)</f>
        <v>4</v>
      </c>
      <c r="I782" s="2">
        <f>VLOOKUP(A782,Table3[#All],9,FALSE)</f>
        <v>41</v>
      </c>
      <c r="J782" s="2">
        <f>VLOOKUP(A782,Table3[#All],10,FALSE)</f>
        <v>4</v>
      </c>
      <c r="K782" s="2">
        <f>VLOOKUP(A782,Table3[#All],11,FALSE)</f>
        <v>93</v>
      </c>
      <c r="L782" s="2" t="str">
        <f>VLOOKUP(A782,Table3[#All],12,FALSE)</f>
        <v>Chennai</v>
      </c>
      <c r="M782" s="2" t="str">
        <f t="shared" si="12"/>
        <v>Not Eligible</v>
      </c>
    </row>
    <row r="783" spans="1:13" hidden="1" x14ac:dyDescent="0.25">
      <c r="A783" s="6" t="s">
        <v>139</v>
      </c>
      <c r="B783" s="2" t="str">
        <f>VLOOKUP(A783,Table3[#All],2,FALSE)</f>
        <v>Anitha</v>
      </c>
      <c r="C783" s="2" t="str">
        <f>VLOOKUP(A783,Table3[#All],3,FALSE)</f>
        <v>Sales</v>
      </c>
      <c r="D783" s="2">
        <f>VLOOKUP(A783,Table3[#All],4,FALSE)</f>
        <v>23</v>
      </c>
      <c r="E783" s="2" t="str">
        <f>VLOOKUP(A783,Table3[#All],5,FALSE)</f>
        <v>Female</v>
      </c>
      <c r="F783" s="2">
        <f>VLOOKUP(A783,Table3[#All],6,FALSE)</f>
        <v>6</v>
      </c>
      <c r="G783" s="2">
        <f>VLOOKUP(A783,Table3[#All],7,FALSE)</f>
        <v>67517</v>
      </c>
      <c r="H783" s="2">
        <f>VLOOKUP(A783,Table3[#All],8,FALSE)</f>
        <v>12</v>
      </c>
      <c r="I783" s="2">
        <f>VLOOKUP(A783,Table3[#All],9,FALSE)</f>
        <v>37</v>
      </c>
      <c r="J783" s="2">
        <f>VLOOKUP(A783,Table3[#All],10,FALSE)</f>
        <v>3</v>
      </c>
      <c r="K783" s="2">
        <f>VLOOKUP(A783,Table3[#All],11,FALSE)</f>
        <v>87</v>
      </c>
      <c r="L783" s="2" t="str">
        <f>VLOOKUP(A783,Table3[#All],12,FALSE)</f>
        <v>Delhi</v>
      </c>
      <c r="M783" s="2" t="str">
        <f t="shared" si="12"/>
        <v>Not Eligible</v>
      </c>
    </row>
    <row r="784" spans="1:13" hidden="1" x14ac:dyDescent="0.25">
      <c r="A784" s="5" t="s">
        <v>314</v>
      </c>
      <c r="B784" s="2" t="str">
        <f>VLOOKUP(A784,Table3[#All],2,FALSE)</f>
        <v>Ajay</v>
      </c>
      <c r="C784" s="2" t="str">
        <f>VLOOKUP(A784,Table3[#All],3,FALSE)</f>
        <v>HR</v>
      </c>
      <c r="D784" s="2">
        <f>VLOOKUP(A784,Table3[#All],4,FALSE)</f>
        <v>26</v>
      </c>
      <c r="E784" s="2" t="str">
        <f>VLOOKUP(A784,Table3[#All],5,FALSE)</f>
        <v>Male</v>
      </c>
      <c r="F784" s="2">
        <f>VLOOKUP(A784,Table3[#All],6,FALSE)</f>
        <v>14</v>
      </c>
      <c r="G784" s="2">
        <f>VLOOKUP(A784,Table3[#All],7,FALSE)</f>
        <v>67518</v>
      </c>
      <c r="H784" s="2">
        <f>VLOOKUP(A784,Table3[#All],8,FALSE)</f>
        <v>11</v>
      </c>
      <c r="I784" s="2">
        <f>VLOOKUP(A784,Table3[#All],9,FALSE)</f>
        <v>40</v>
      </c>
      <c r="J784" s="2">
        <f>VLOOKUP(A784,Table3[#All],10,FALSE)</f>
        <v>5</v>
      </c>
      <c r="K784" s="2">
        <f>VLOOKUP(A784,Table3[#All],11,FALSE)</f>
        <v>90</v>
      </c>
      <c r="L784" s="2" t="str">
        <f>VLOOKUP(A784,Table3[#All],12,FALSE)</f>
        <v>Chennai</v>
      </c>
      <c r="M784" s="2" t="str">
        <f t="shared" si="12"/>
        <v>Not Eligible</v>
      </c>
    </row>
    <row r="785" spans="1:13" hidden="1" x14ac:dyDescent="0.25">
      <c r="A785" s="5" t="s">
        <v>72</v>
      </c>
      <c r="B785" s="2" t="str">
        <f>VLOOKUP(A785,Table3[#All],2,FALSE)</f>
        <v>Sneha</v>
      </c>
      <c r="C785" s="2" t="str">
        <f>VLOOKUP(A785,Table3[#All],3,FALSE)</f>
        <v>Finance</v>
      </c>
      <c r="D785" s="2">
        <f>VLOOKUP(A785,Table3[#All],4,FALSE)</f>
        <v>31</v>
      </c>
      <c r="E785" s="2" t="str">
        <f>VLOOKUP(A785,Table3[#All],5,FALSE)</f>
        <v>Male</v>
      </c>
      <c r="F785" s="2">
        <f>VLOOKUP(A785,Table3[#All],6,FALSE)</f>
        <v>12</v>
      </c>
      <c r="G785" s="2">
        <f>VLOOKUP(A785,Table3[#All],7,FALSE)</f>
        <v>67540</v>
      </c>
      <c r="H785" s="2">
        <f>VLOOKUP(A785,Table3[#All],8,FALSE)</f>
        <v>3</v>
      </c>
      <c r="I785" s="2">
        <f>VLOOKUP(A785,Table3[#All],9,FALSE)</f>
        <v>36</v>
      </c>
      <c r="J785" s="2">
        <f>VLOOKUP(A785,Table3[#All],10,FALSE)</f>
        <v>2</v>
      </c>
      <c r="K785" s="2">
        <f>VLOOKUP(A785,Table3[#All],11,FALSE)</f>
        <v>100</v>
      </c>
      <c r="L785" s="2" t="str">
        <f>VLOOKUP(A785,Table3[#All],12,FALSE)</f>
        <v>Mumbai</v>
      </c>
      <c r="M785" s="2" t="str">
        <f t="shared" si="12"/>
        <v>Eligible</v>
      </c>
    </row>
    <row r="786" spans="1:13" hidden="1" x14ac:dyDescent="0.25">
      <c r="A786" s="6" t="s">
        <v>647</v>
      </c>
      <c r="B786" s="2" t="str">
        <f>VLOOKUP(A786,Table3[#All],2,FALSE)</f>
        <v>Hari</v>
      </c>
      <c r="C786" s="2" t="str">
        <f>VLOOKUP(A786,Table3[#All],3,FALSE)</f>
        <v>Finance</v>
      </c>
      <c r="D786" s="2">
        <f>VLOOKUP(A786,Table3[#All],4,FALSE)</f>
        <v>32</v>
      </c>
      <c r="E786" s="2" t="str">
        <f>VLOOKUP(A786,Table3[#All],5,FALSE)</f>
        <v>Male</v>
      </c>
      <c r="F786" s="2">
        <f>VLOOKUP(A786,Table3[#All],6,FALSE)</f>
        <v>14</v>
      </c>
      <c r="G786" s="2">
        <f>VLOOKUP(A786,Table3[#All],7,FALSE)</f>
        <v>67574</v>
      </c>
      <c r="H786" s="2">
        <f>VLOOKUP(A786,Table3[#All],8,FALSE)</f>
        <v>5</v>
      </c>
      <c r="I786" s="2">
        <f>VLOOKUP(A786,Table3[#All],9,FALSE)</f>
        <v>44</v>
      </c>
      <c r="J786" s="2">
        <f>VLOOKUP(A786,Table3[#All],10,FALSE)</f>
        <v>2</v>
      </c>
      <c r="K786" s="2">
        <f>VLOOKUP(A786,Table3[#All],11,FALSE)</f>
        <v>99</v>
      </c>
      <c r="L786" s="2" t="str">
        <f>VLOOKUP(A786,Table3[#All],12,FALSE)</f>
        <v>Hyderabad</v>
      </c>
      <c r="M786" s="2" t="str">
        <f t="shared" si="12"/>
        <v>Eligible</v>
      </c>
    </row>
    <row r="787" spans="1:13" hidden="1" x14ac:dyDescent="0.25">
      <c r="A787" s="6" t="s">
        <v>1039</v>
      </c>
      <c r="B787" s="2" t="str">
        <f>VLOOKUP(A787,Table3[#All],2,FALSE)</f>
        <v>Karthik</v>
      </c>
      <c r="C787" s="2" t="str">
        <f>VLOOKUP(A787,Table3[#All],3,FALSE)</f>
        <v>IT</v>
      </c>
      <c r="D787" s="2">
        <f>VLOOKUP(A787,Table3[#All],4,FALSE)</f>
        <v>40</v>
      </c>
      <c r="E787" s="2" t="str">
        <f>VLOOKUP(A787,Table3[#All],5,FALSE)</f>
        <v>Male</v>
      </c>
      <c r="F787" s="2">
        <f>VLOOKUP(A787,Table3[#All],6,FALSE)</f>
        <v>9</v>
      </c>
      <c r="G787" s="2">
        <f>VLOOKUP(A787,Table3[#All],7,FALSE)</f>
        <v>67574</v>
      </c>
      <c r="H787" s="2">
        <f>VLOOKUP(A787,Table3[#All],8,FALSE)</f>
        <v>4</v>
      </c>
      <c r="I787" s="2">
        <f>VLOOKUP(A787,Table3[#All],9,FALSE)</f>
        <v>48</v>
      </c>
      <c r="J787" s="2">
        <f>VLOOKUP(A787,Table3[#All],10,FALSE)</f>
        <v>3</v>
      </c>
      <c r="K787" s="2">
        <f>VLOOKUP(A787,Table3[#All],11,FALSE)</f>
        <v>100</v>
      </c>
      <c r="L787" s="2" t="str">
        <f>VLOOKUP(A787,Table3[#All],12,FALSE)</f>
        <v>Chennai</v>
      </c>
      <c r="M787" s="2" t="str">
        <f t="shared" si="12"/>
        <v>Eligible</v>
      </c>
    </row>
    <row r="788" spans="1:13" hidden="1" x14ac:dyDescent="0.25">
      <c r="A788" s="5" t="s">
        <v>830</v>
      </c>
      <c r="B788" s="2" t="str">
        <f>VLOOKUP(A788,Table3[#All],2,FALSE)</f>
        <v>Lakshmi</v>
      </c>
      <c r="C788" s="2" t="str">
        <f>VLOOKUP(A788,Table3[#All],3,FALSE)</f>
        <v>IT</v>
      </c>
      <c r="D788" s="2">
        <f>VLOOKUP(A788,Table3[#All],4,FALSE)</f>
        <v>22</v>
      </c>
      <c r="E788" s="2" t="str">
        <f>VLOOKUP(A788,Table3[#All],5,FALSE)</f>
        <v>Female</v>
      </c>
      <c r="F788" s="2">
        <f>VLOOKUP(A788,Table3[#All],6,FALSE)</f>
        <v>1</v>
      </c>
      <c r="G788" s="2">
        <f>VLOOKUP(A788,Table3[#All],7,FALSE)</f>
        <v>70571</v>
      </c>
      <c r="H788" s="2">
        <f>VLOOKUP(A788,Table3[#All],8,FALSE)</f>
        <v>12</v>
      </c>
      <c r="I788" s="2">
        <f>VLOOKUP(A788,Table3[#All],9,FALSE)</f>
        <v>42</v>
      </c>
      <c r="J788" s="2">
        <f>VLOOKUP(A788,Table3[#All],10,FALSE)</f>
        <v>4</v>
      </c>
      <c r="K788" s="2">
        <f>VLOOKUP(A788,Table3[#All],11,FALSE)</f>
        <v>95</v>
      </c>
      <c r="L788" s="2" t="str">
        <f>VLOOKUP(A788,Table3[#All],12,FALSE)</f>
        <v>Pune</v>
      </c>
      <c r="M788" s="2" t="str">
        <f t="shared" si="12"/>
        <v>Eligible</v>
      </c>
    </row>
    <row r="789" spans="1:13" hidden="1" x14ac:dyDescent="0.25">
      <c r="A789" s="6" t="s">
        <v>831</v>
      </c>
      <c r="B789" s="2" t="str">
        <f>VLOOKUP(A789,Table3[#All],2,FALSE)</f>
        <v>Karthik</v>
      </c>
      <c r="C789" s="2" t="str">
        <f>VLOOKUP(A789,Table3[#All],3,FALSE)</f>
        <v>HR</v>
      </c>
      <c r="D789" s="2">
        <f>VLOOKUP(A789,Table3[#All],4,FALSE)</f>
        <v>38</v>
      </c>
      <c r="E789" s="2" t="str">
        <f>VLOOKUP(A789,Table3[#All],5,FALSE)</f>
        <v>Male</v>
      </c>
      <c r="F789" s="2">
        <f>VLOOKUP(A789,Table3[#All],6,FALSE)</f>
        <v>3</v>
      </c>
      <c r="G789" s="2">
        <f>VLOOKUP(A789,Table3[#All],7,FALSE)</f>
        <v>39338</v>
      </c>
      <c r="H789" s="2">
        <f>VLOOKUP(A789,Table3[#All],8,FALSE)</f>
        <v>14</v>
      </c>
      <c r="I789" s="2">
        <f>VLOOKUP(A789,Table3[#All],9,FALSE)</f>
        <v>37</v>
      </c>
      <c r="J789" s="2">
        <f>VLOOKUP(A789,Table3[#All],10,FALSE)</f>
        <v>5</v>
      </c>
      <c r="K789" s="2">
        <f>VLOOKUP(A789,Table3[#All],11,FALSE)</f>
        <v>91</v>
      </c>
      <c r="L789" s="2" t="str">
        <f>VLOOKUP(A789,Table3[#All],12,FALSE)</f>
        <v>Chennai</v>
      </c>
      <c r="M789" s="2" t="str">
        <f t="shared" si="12"/>
        <v>Not Eligible</v>
      </c>
    </row>
    <row r="790" spans="1:13" hidden="1" x14ac:dyDescent="0.25">
      <c r="A790" s="5" t="s">
        <v>962</v>
      </c>
      <c r="B790" s="2" t="str">
        <f>VLOOKUP(A790,Table3[#All],2,FALSE)</f>
        <v>Manoj</v>
      </c>
      <c r="C790" s="2" t="str">
        <f>VLOOKUP(A790,Table3[#All],3,FALSE)</f>
        <v>Finance</v>
      </c>
      <c r="D790" s="2">
        <f>VLOOKUP(A790,Table3[#All],4,FALSE)</f>
        <v>37</v>
      </c>
      <c r="E790" s="2" t="str">
        <f>VLOOKUP(A790,Table3[#All],5,FALSE)</f>
        <v>Female</v>
      </c>
      <c r="F790" s="2">
        <f>VLOOKUP(A790,Table3[#All],6,FALSE)</f>
        <v>9</v>
      </c>
      <c r="G790" s="2">
        <f>VLOOKUP(A790,Table3[#All],7,FALSE)</f>
        <v>67695</v>
      </c>
      <c r="H790" s="2">
        <f>VLOOKUP(A790,Table3[#All],8,FALSE)</f>
        <v>11</v>
      </c>
      <c r="I790" s="2">
        <f>VLOOKUP(A790,Table3[#All],9,FALSE)</f>
        <v>35</v>
      </c>
      <c r="J790" s="2">
        <f>VLOOKUP(A790,Table3[#All],10,FALSE)</f>
        <v>5</v>
      </c>
      <c r="K790" s="2">
        <f>VLOOKUP(A790,Table3[#All],11,FALSE)</f>
        <v>86</v>
      </c>
      <c r="L790" s="2" t="str">
        <f>VLOOKUP(A790,Table3[#All],12,FALSE)</f>
        <v>Delhi</v>
      </c>
      <c r="M790" s="2" t="str">
        <f t="shared" si="12"/>
        <v>Not Eligible</v>
      </c>
    </row>
    <row r="791" spans="1:13" hidden="1" x14ac:dyDescent="0.25">
      <c r="A791" s="6" t="s">
        <v>393</v>
      </c>
      <c r="B791" s="2" t="str">
        <f>VLOOKUP(A791,Table3[#All],2,FALSE)</f>
        <v>Nisha</v>
      </c>
      <c r="C791" s="2" t="str">
        <f>VLOOKUP(A791,Table3[#All],3,FALSE)</f>
        <v>Sales</v>
      </c>
      <c r="D791" s="2">
        <f>VLOOKUP(A791,Table3[#All],4,FALSE)</f>
        <v>34</v>
      </c>
      <c r="E791" s="2" t="str">
        <f>VLOOKUP(A791,Table3[#All],5,FALSE)</f>
        <v>Male</v>
      </c>
      <c r="F791" s="2">
        <f>VLOOKUP(A791,Table3[#All],6,FALSE)</f>
        <v>11</v>
      </c>
      <c r="G791" s="2">
        <f>VLOOKUP(A791,Table3[#All],7,FALSE)</f>
        <v>67715</v>
      </c>
      <c r="H791" s="2">
        <f>VLOOKUP(A791,Table3[#All],8,FALSE)</f>
        <v>13</v>
      </c>
      <c r="I791" s="2">
        <f>VLOOKUP(A791,Table3[#All],9,FALSE)</f>
        <v>48</v>
      </c>
      <c r="J791" s="2">
        <f>VLOOKUP(A791,Table3[#All],10,FALSE)</f>
        <v>5</v>
      </c>
      <c r="K791" s="2">
        <f>VLOOKUP(A791,Table3[#All],11,FALSE)</f>
        <v>88</v>
      </c>
      <c r="L791" s="2" t="str">
        <f>VLOOKUP(A791,Table3[#All],12,FALSE)</f>
        <v>Chennai</v>
      </c>
      <c r="M791" s="2" t="str">
        <f t="shared" si="12"/>
        <v>Not Eligible</v>
      </c>
    </row>
    <row r="792" spans="1:13" x14ac:dyDescent="0.25">
      <c r="A792" s="5" t="s">
        <v>766</v>
      </c>
      <c r="B792" s="2" t="str">
        <f>VLOOKUP(A792,Table3[#All],2,FALSE)</f>
        <v>Deepa</v>
      </c>
      <c r="C792" s="2" t="str">
        <f>VLOOKUP(A792,Table3[#All],3,FALSE)</f>
        <v>Sales</v>
      </c>
      <c r="D792" s="2">
        <f>VLOOKUP(A792,Table3[#All],4,FALSE)</f>
        <v>40</v>
      </c>
      <c r="E792" s="2" t="str">
        <f>VLOOKUP(A792,Table3[#All],5,FALSE)</f>
        <v>Female</v>
      </c>
      <c r="F792" s="2">
        <f>VLOOKUP(A792,Table3[#All],6,FALSE)</f>
        <v>13</v>
      </c>
      <c r="G792" s="2">
        <f>VLOOKUP(A792,Table3[#All],7,FALSE)</f>
        <v>67783</v>
      </c>
      <c r="H792" s="2">
        <f>VLOOKUP(A792,Table3[#All],8,FALSE)</f>
        <v>10</v>
      </c>
      <c r="I792" s="2">
        <f>VLOOKUP(A792,Table3[#All],9,FALSE)</f>
        <v>36</v>
      </c>
      <c r="J792" s="2">
        <f>VLOOKUP(A792,Table3[#All],10,FALSE)</f>
        <v>4</v>
      </c>
      <c r="K792" s="2">
        <f>VLOOKUP(A792,Table3[#All],11,FALSE)</f>
        <v>94</v>
      </c>
      <c r="L792" s="2" t="str">
        <f>VLOOKUP(A792,Table3[#All],12,FALSE)</f>
        <v>Bangalore</v>
      </c>
      <c r="M792" s="2" t="str">
        <f t="shared" si="12"/>
        <v>Not Eligible</v>
      </c>
    </row>
    <row r="793" spans="1:13" hidden="1" x14ac:dyDescent="0.25">
      <c r="A793" s="6" t="s">
        <v>535</v>
      </c>
      <c r="B793" s="2" t="str">
        <f>VLOOKUP(A793,Table3[#All],2,FALSE)</f>
        <v>Arun</v>
      </c>
      <c r="C793" s="2" t="str">
        <f>VLOOKUP(A793,Table3[#All],3,FALSE)</f>
        <v>HR</v>
      </c>
      <c r="D793" s="2">
        <f>VLOOKUP(A793,Table3[#All],4,FALSE)</f>
        <v>39</v>
      </c>
      <c r="E793" s="2" t="str">
        <f>VLOOKUP(A793,Table3[#All],5,FALSE)</f>
        <v>Male</v>
      </c>
      <c r="F793" s="2">
        <f>VLOOKUP(A793,Table3[#All],6,FALSE)</f>
        <v>10</v>
      </c>
      <c r="G793" s="2">
        <f>VLOOKUP(A793,Table3[#All],7,FALSE)</f>
        <v>68105</v>
      </c>
      <c r="H793" s="2">
        <f>VLOOKUP(A793,Table3[#All],8,FALSE)</f>
        <v>5</v>
      </c>
      <c r="I793" s="2">
        <f>VLOOKUP(A793,Table3[#All],9,FALSE)</f>
        <v>41</v>
      </c>
      <c r="J793" s="2">
        <f>VLOOKUP(A793,Table3[#All],10,FALSE)</f>
        <v>4</v>
      </c>
      <c r="K793" s="2">
        <f>VLOOKUP(A793,Table3[#All],11,FALSE)</f>
        <v>87</v>
      </c>
      <c r="L793" s="2" t="str">
        <f>VLOOKUP(A793,Table3[#All],12,FALSE)</f>
        <v>Bangalore</v>
      </c>
      <c r="M793" s="2" t="str">
        <f t="shared" si="12"/>
        <v>Not Eligible</v>
      </c>
    </row>
    <row r="794" spans="1:13" x14ac:dyDescent="0.25">
      <c r="A794" s="6" t="s">
        <v>287</v>
      </c>
      <c r="B794" s="2" t="str">
        <f>VLOOKUP(A794,Table3[#All],2,FALSE)</f>
        <v>Karthik</v>
      </c>
      <c r="C794" s="2" t="str">
        <f>VLOOKUP(A794,Table3[#All],3,FALSE)</f>
        <v>IT</v>
      </c>
      <c r="D794" s="2">
        <f>VLOOKUP(A794,Table3[#All],4,FALSE)</f>
        <v>25</v>
      </c>
      <c r="E794" s="2" t="str">
        <f>VLOOKUP(A794,Table3[#All],5,FALSE)</f>
        <v>Female</v>
      </c>
      <c r="F794" s="2">
        <f>VLOOKUP(A794,Table3[#All],6,FALSE)</f>
        <v>8</v>
      </c>
      <c r="G794" s="2">
        <f>VLOOKUP(A794,Table3[#All],7,FALSE)</f>
        <v>68164</v>
      </c>
      <c r="H794" s="2">
        <f>VLOOKUP(A794,Table3[#All],8,FALSE)</f>
        <v>10</v>
      </c>
      <c r="I794" s="2">
        <f>VLOOKUP(A794,Table3[#All],9,FALSE)</f>
        <v>43</v>
      </c>
      <c r="J794" s="2">
        <f>VLOOKUP(A794,Table3[#All],10,FALSE)</f>
        <v>5</v>
      </c>
      <c r="K794" s="2">
        <f>VLOOKUP(A794,Table3[#All],11,FALSE)</f>
        <v>95</v>
      </c>
      <c r="L794" s="2" t="str">
        <f>VLOOKUP(A794,Table3[#All],12,FALSE)</f>
        <v>Chennai</v>
      </c>
      <c r="M794" s="2" t="str">
        <f t="shared" si="12"/>
        <v>Eligible</v>
      </c>
    </row>
    <row r="795" spans="1:13" hidden="1" x14ac:dyDescent="0.25">
      <c r="A795" s="6" t="s">
        <v>623</v>
      </c>
      <c r="B795" s="2" t="str">
        <f>VLOOKUP(A795,Table3[#All],2,FALSE)</f>
        <v>Priya</v>
      </c>
      <c r="C795" s="2" t="str">
        <f>VLOOKUP(A795,Table3[#All],3,FALSE)</f>
        <v>IT</v>
      </c>
      <c r="D795" s="2">
        <f>VLOOKUP(A795,Table3[#All],4,FALSE)</f>
        <v>26</v>
      </c>
      <c r="E795" s="2" t="str">
        <f>VLOOKUP(A795,Table3[#All],5,FALSE)</f>
        <v>Female</v>
      </c>
      <c r="F795" s="2">
        <f>VLOOKUP(A795,Table3[#All],6,FALSE)</f>
        <v>7</v>
      </c>
      <c r="G795" s="2">
        <f>VLOOKUP(A795,Table3[#All],7,FALSE)</f>
        <v>68341</v>
      </c>
      <c r="H795" s="2">
        <f>VLOOKUP(A795,Table3[#All],8,FALSE)</f>
        <v>6</v>
      </c>
      <c r="I795" s="2">
        <f>VLOOKUP(A795,Table3[#All],9,FALSE)</f>
        <v>39</v>
      </c>
      <c r="J795" s="2">
        <f>VLOOKUP(A795,Table3[#All],10,FALSE)</f>
        <v>5</v>
      </c>
      <c r="K795" s="2">
        <f>VLOOKUP(A795,Table3[#All],11,FALSE)</f>
        <v>99</v>
      </c>
      <c r="L795" s="2" t="str">
        <f>VLOOKUP(A795,Table3[#All],12,FALSE)</f>
        <v>Chennai</v>
      </c>
      <c r="M795" s="2" t="str">
        <f t="shared" si="12"/>
        <v>Eligible</v>
      </c>
    </row>
    <row r="796" spans="1:13" hidden="1" x14ac:dyDescent="0.25">
      <c r="A796" s="6" t="s">
        <v>313</v>
      </c>
      <c r="B796" s="2" t="str">
        <f>VLOOKUP(A796,Table3[#All],2,FALSE)</f>
        <v>Rekha</v>
      </c>
      <c r="C796" s="2" t="str">
        <f>VLOOKUP(A796,Table3[#All],3,FALSE)</f>
        <v>Sales</v>
      </c>
      <c r="D796" s="2">
        <f>VLOOKUP(A796,Table3[#All],4,FALSE)</f>
        <v>40</v>
      </c>
      <c r="E796" s="2" t="str">
        <f>VLOOKUP(A796,Table3[#All],5,FALSE)</f>
        <v>Male</v>
      </c>
      <c r="F796" s="2">
        <f>VLOOKUP(A796,Table3[#All],6,FALSE)</f>
        <v>7</v>
      </c>
      <c r="G796" s="2">
        <f>VLOOKUP(A796,Table3[#All],7,FALSE)</f>
        <v>68473</v>
      </c>
      <c r="H796" s="2">
        <f>VLOOKUP(A796,Table3[#All],8,FALSE)</f>
        <v>9</v>
      </c>
      <c r="I796" s="2">
        <f>VLOOKUP(A796,Table3[#All],9,FALSE)</f>
        <v>45</v>
      </c>
      <c r="J796" s="2">
        <f>VLOOKUP(A796,Table3[#All],10,FALSE)</f>
        <v>2</v>
      </c>
      <c r="K796" s="2">
        <f>VLOOKUP(A796,Table3[#All],11,FALSE)</f>
        <v>96</v>
      </c>
      <c r="L796" s="2" t="str">
        <f>VLOOKUP(A796,Table3[#All],12,FALSE)</f>
        <v>Chennai</v>
      </c>
      <c r="M796" s="2" t="str">
        <f t="shared" si="12"/>
        <v>Eligible</v>
      </c>
    </row>
    <row r="797" spans="1:13" hidden="1" x14ac:dyDescent="0.25">
      <c r="A797" s="6" t="s">
        <v>839</v>
      </c>
      <c r="B797" s="2" t="str">
        <f>VLOOKUP(A797,Table3[#All],2,FALSE)</f>
        <v>Sanjay</v>
      </c>
      <c r="C797" s="2" t="str">
        <f>VLOOKUP(A797,Table3[#All],3,FALSE)</f>
        <v>Sales</v>
      </c>
      <c r="D797" s="2">
        <f>VLOOKUP(A797,Table3[#All],4,FALSE)</f>
        <v>30</v>
      </c>
      <c r="E797" s="2" t="str">
        <f>VLOOKUP(A797,Table3[#All],5,FALSE)</f>
        <v>Female</v>
      </c>
      <c r="F797" s="2">
        <f>VLOOKUP(A797,Table3[#All],6,FALSE)</f>
        <v>4</v>
      </c>
      <c r="G797" s="2">
        <f>VLOOKUP(A797,Table3[#All],7,FALSE)</f>
        <v>26852</v>
      </c>
      <c r="H797" s="2">
        <f>VLOOKUP(A797,Table3[#All],8,FALSE)</f>
        <v>8</v>
      </c>
      <c r="I797" s="2">
        <f>VLOOKUP(A797,Table3[#All],9,FALSE)</f>
        <v>40</v>
      </c>
      <c r="J797" s="2">
        <f>VLOOKUP(A797,Table3[#All],10,FALSE)</f>
        <v>5</v>
      </c>
      <c r="K797" s="2">
        <f>VLOOKUP(A797,Table3[#All],11,FALSE)</f>
        <v>90</v>
      </c>
      <c r="L797" s="2" t="str">
        <f>VLOOKUP(A797,Table3[#All],12,FALSE)</f>
        <v>Mumbai</v>
      </c>
      <c r="M797" s="2" t="str">
        <f t="shared" si="12"/>
        <v>Not Eligible</v>
      </c>
    </row>
    <row r="798" spans="1:13" hidden="1" x14ac:dyDescent="0.25">
      <c r="A798" s="5" t="s">
        <v>840</v>
      </c>
      <c r="B798" s="2" t="str">
        <f>VLOOKUP(A798,Table3[#All],2,FALSE)</f>
        <v>Rekha</v>
      </c>
      <c r="C798" s="2" t="str">
        <f>VLOOKUP(A798,Table3[#All],3,FALSE)</f>
        <v>Finance</v>
      </c>
      <c r="D798" s="2">
        <f>VLOOKUP(A798,Table3[#All],4,FALSE)</f>
        <v>37</v>
      </c>
      <c r="E798" s="2" t="str">
        <f>VLOOKUP(A798,Table3[#All],5,FALSE)</f>
        <v>Female</v>
      </c>
      <c r="F798" s="2">
        <f>VLOOKUP(A798,Table3[#All],6,FALSE)</f>
        <v>1</v>
      </c>
      <c r="G798" s="2">
        <f>VLOOKUP(A798,Table3[#All],7,FALSE)</f>
        <v>32958</v>
      </c>
      <c r="H798" s="2">
        <f>VLOOKUP(A798,Table3[#All],8,FALSE)</f>
        <v>6</v>
      </c>
      <c r="I798" s="2">
        <f>VLOOKUP(A798,Table3[#All],9,FALSE)</f>
        <v>49</v>
      </c>
      <c r="J798" s="2">
        <f>VLOOKUP(A798,Table3[#All],10,FALSE)</f>
        <v>1</v>
      </c>
      <c r="K798" s="2">
        <f>VLOOKUP(A798,Table3[#All],11,FALSE)</f>
        <v>95</v>
      </c>
      <c r="L798" s="2" t="str">
        <f>VLOOKUP(A798,Table3[#All],12,FALSE)</f>
        <v>Mumbai</v>
      </c>
      <c r="M798" s="2" t="str">
        <f t="shared" si="12"/>
        <v>Eligible</v>
      </c>
    </row>
    <row r="799" spans="1:13" hidden="1" x14ac:dyDescent="0.25">
      <c r="A799" s="6" t="s">
        <v>173</v>
      </c>
      <c r="B799" s="2" t="str">
        <f>VLOOKUP(A799,Table3[#All],2,FALSE)</f>
        <v>Vijay</v>
      </c>
      <c r="C799" s="2" t="str">
        <f>VLOOKUP(A799,Table3[#All],3,FALSE)</f>
        <v>IT</v>
      </c>
      <c r="D799" s="2">
        <f>VLOOKUP(A799,Table3[#All],4,FALSE)</f>
        <v>39</v>
      </c>
      <c r="E799" s="2" t="str">
        <f>VLOOKUP(A799,Table3[#All],5,FALSE)</f>
        <v>Male</v>
      </c>
      <c r="F799" s="2">
        <f>VLOOKUP(A799,Table3[#All],6,FALSE)</f>
        <v>13</v>
      </c>
      <c r="G799" s="2">
        <f>VLOOKUP(A799,Table3[#All],7,FALSE)</f>
        <v>68584</v>
      </c>
      <c r="H799" s="2">
        <f>VLOOKUP(A799,Table3[#All],8,FALSE)</f>
        <v>9</v>
      </c>
      <c r="I799" s="2">
        <f>VLOOKUP(A799,Table3[#All],9,FALSE)</f>
        <v>50</v>
      </c>
      <c r="J799" s="2">
        <f>VLOOKUP(A799,Table3[#All],10,FALSE)</f>
        <v>1</v>
      </c>
      <c r="K799" s="2">
        <f>VLOOKUP(A799,Table3[#All],11,FALSE)</f>
        <v>86</v>
      </c>
      <c r="L799" s="2" t="str">
        <f>VLOOKUP(A799,Table3[#All],12,FALSE)</f>
        <v>Chennai</v>
      </c>
      <c r="M799" s="2" t="str">
        <f t="shared" si="12"/>
        <v>Not Eligible</v>
      </c>
    </row>
    <row r="800" spans="1:13" hidden="1" x14ac:dyDescent="0.25">
      <c r="A800" s="5" t="s">
        <v>842</v>
      </c>
      <c r="B800" s="2" t="str">
        <f>VLOOKUP(A800,Table3[#All],2,FALSE)</f>
        <v>Hari</v>
      </c>
      <c r="C800" s="2" t="str">
        <f>VLOOKUP(A800,Table3[#All],3,FALSE)</f>
        <v>IT</v>
      </c>
      <c r="D800" s="2">
        <f>VLOOKUP(A800,Table3[#All],4,FALSE)</f>
        <v>31</v>
      </c>
      <c r="E800" s="2" t="str">
        <f>VLOOKUP(A800,Table3[#All],5,FALSE)</f>
        <v>Male</v>
      </c>
      <c r="F800" s="2">
        <f>VLOOKUP(A800,Table3[#All],6,FALSE)</f>
        <v>3</v>
      </c>
      <c r="G800" s="2">
        <f>VLOOKUP(A800,Table3[#All],7,FALSE)</f>
        <v>63199</v>
      </c>
      <c r="H800" s="2">
        <f>VLOOKUP(A800,Table3[#All],8,FALSE)</f>
        <v>7</v>
      </c>
      <c r="I800" s="2">
        <f>VLOOKUP(A800,Table3[#All],9,FALSE)</f>
        <v>48</v>
      </c>
      <c r="J800" s="2">
        <f>VLOOKUP(A800,Table3[#All],10,FALSE)</f>
        <v>3</v>
      </c>
      <c r="K800" s="2">
        <f>VLOOKUP(A800,Table3[#All],11,FALSE)</f>
        <v>97</v>
      </c>
      <c r="L800" s="2" t="str">
        <f>VLOOKUP(A800,Table3[#All],12,FALSE)</f>
        <v>Bangalore</v>
      </c>
      <c r="M800" s="2" t="str">
        <f t="shared" si="12"/>
        <v>Eligible</v>
      </c>
    </row>
    <row r="801" spans="1:13" hidden="1" x14ac:dyDescent="0.25">
      <c r="A801" s="5" t="s">
        <v>326</v>
      </c>
      <c r="B801" s="2" t="str">
        <f>VLOOKUP(A801,Table3[#All],2,FALSE)</f>
        <v>Ravi</v>
      </c>
      <c r="C801" s="2" t="str">
        <f>VLOOKUP(A801,Table3[#All],3,FALSE)</f>
        <v>Finance</v>
      </c>
      <c r="D801" s="2">
        <f>VLOOKUP(A801,Table3[#All],4,FALSE)</f>
        <v>40</v>
      </c>
      <c r="E801" s="2" t="str">
        <f>VLOOKUP(A801,Table3[#All],5,FALSE)</f>
        <v>Male</v>
      </c>
      <c r="F801" s="2">
        <f>VLOOKUP(A801,Table3[#All],6,FALSE)</f>
        <v>12</v>
      </c>
      <c r="G801" s="2">
        <f>VLOOKUP(A801,Table3[#All],7,FALSE)</f>
        <v>68631</v>
      </c>
      <c r="H801" s="2">
        <f>VLOOKUP(A801,Table3[#All],8,FALSE)</f>
        <v>6</v>
      </c>
      <c r="I801" s="2">
        <f>VLOOKUP(A801,Table3[#All],9,FALSE)</f>
        <v>38</v>
      </c>
      <c r="J801" s="2">
        <f>VLOOKUP(A801,Table3[#All],10,FALSE)</f>
        <v>5</v>
      </c>
      <c r="K801" s="2">
        <f>VLOOKUP(A801,Table3[#All],11,FALSE)</f>
        <v>86</v>
      </c>
      <c r="L801" s="2" t="str">
        <f>VLOOKUP(A801,Table3[#All],12,FALSE)</f>
        <v>Pune</v>
      </c>
      <c r="M801" s="2" t="str">
        <f t="shared" si="12"/>
        <v>Not Eligible</v>
      </c>
    </row>
    <row r="802" spans="1:13" hidden="1" x14ac:dyDescent="0.25">
      <c r="A802" s="5" t="s">
        <v>148</v>
      </c>
      <c r="B802" s="2" t="str">
        <f>VLOOKUP(A802,Table3[#All],2,FALSE)</f>
        <v>Sanjay</v>
      </c>
      <c r="C802" s="2" t="str">
        <f>VLOOKUP(A802,Table3[#All],3,FALSE)</f>
        <v>Finance</v>
      </c>
      <c r="D802" s="2">
        <f>VLOOKUP(A802,Table3[#All],4,FALSE)</f>
        <v>27</v>
      </c>
      <c r="E802" s="2" t="str">
        <f>VLOOKUP(A802,Table3[#All],5,FALSE)</f>
        <v>Male</v>
      </c>
      <c r="F802" s="2">
        <f>VLOOKUP(A802,Table3[#All],6,FALSE)</f>
        <v>15</v>
      </c>
      <c r="G802" s="2">
        <f>VLOOKUP(A802,Table3[#All],7,FALSE)</f>
        <v>68675</v>
      </c>
      <c r="H802" s="2">
        <f>VLOOKUP(A802,Table3[#All],8,FALSE)</f>
        <v>7</v>
      </c>
      <c r="I802" s="2">
        <f>VLOOKUP(A802,Table3[#All],9,FALSE)</f>
        <v>48</v>
      </c>
      <c r="J802" s="2">
        <f>VLOOKUP(A802,Table3[#All],10,FALSE)</f>
        <v>3</v>
      </c>
      <c r="K802" s="2">
        <f>VLOOKUP(A802,Table3[#All],11,FALSE)</f>
        <v>90</v>
      </c>
      <c r="L802" s="2" t="str">
        <f>VLOOKUP(A802,Table3[#All],12,FALSE)</f>
        <v>Bangalore</v>
      </c>
      <c r="M802" s="2" t="str">
        <f t="shared" si="12"/>
        <v>Not Eligible</v>
      </c>
    </row>
    <row r="803" spans="1:13" x14ac:dyDescent="0.25">
      <c r="A803" s="5" t="s">
        <v>880</v>
      </c>
      <c r="B803" s="2" t="str">
        <f>VLOOKUP(A803,Table3[#All],2,FALSE)</f>
        <v>Sanjay</v>
      </c>
      <c r="C803" s="2" t="str">
        <f>VLOOKUP(A803,Table3[#All],3,FALSE)</f>
        <v>IT</v>
      </c>
      <c r="D803" s="2">
        <f>VLOOKUP(A803,Table3[#All],4,FALSE)</f>
        <v>26</v>
      </c>
      <c r="E803" s="2" t="str">
        <f>VLOOKUP(A803,Table3[#All],5,FALSE)</f>
        <v>Male</v>
      </c>
      <c r="F803" s="2">
        <f>VLOOKUP(A803,Table3[#All],6,FALSE)</f>
        <v>13</v>
      </c>
      <c r="G803" s="2">
        <f>VLOOKUP(A803,Table3[#All],7,FALSE)</f>
        <v>68675</v>
      </c>
      <c r="H803" s="2">
        <f>VLOOKUP(A803,Table3[#All],8,FALSE)</f>
        <v>11</v>
      </c>
      <c r="I803" s="2">
        <f>VLOOKUP(A803,Table3[#All],9,FALSE)</f>
        <v>41</v>
      </c>
      <c r="J803" s="2">
        <f>VLOOKUP(A803,Table3[#All],10,FALSE)</f>
        <v>5</v>
      </c>
      <c r="K803" s="2">
        <f>VLOOKUP(A803,Table3[#All],11,FALSE)</f>
        <v>92</v>
      </c>
      <c r="L803" s="2" t="str">
        <f>VLOOKUP(A803,Table3[#All],12,FALSE)</f>
        <v>Hyderabad</v>
      </c>
      <c r="M803" s="2" t="str">
        <f t="shared" si="12"/>
        <v>Not Eligible</v>
      </c>
    </row>
    <row r="804" spans="1:13" hidden="1" x14ac:dyDescent="0.25">
      <c r="A804" s="5" t="s">
        <v>456</v>
      </c>
      <c r="B804" s="2" t="str">
        <f>VLOOKUP(A804,Table3[#All],2,FALSE)</f>
        <v>Nisha</v>
      </c>
      <c r="C804" s="2" t="str">
        <f>VLOOKUP(A804,Table3[#All],3,FALSE)</f>
        <v>IT</v>
      </c>
      <c r="D804" s="2">
        <f>VLOOKUP(A804,Table3[#All],4,FALSE)</f>
        <v>24</v>
      </c>
      <c r="E804" s="2" t="str">
        <f>VLOOKUP(A804,Table3[#All],5,FALSE)</f>
        <v>Male</v>
      </c>
      <c r="F804" s="2">
        <f>VLOOKUP(A804,Table3[#All],6,FALSE)</f>
        <v>8</v>
      </c>
      <c r="G804" s="2">
        <f>VLOOKUP(A804,Table3[#All],7,FALSE)</f>
        <v>68682</v>
      </c>
      <c r="H804" s="2">
        <f>VLOOKUP(A804,Table3[#All],8,FALSE)</f>
        <v>12</v>
      </c>
      <c r="I804" s="2">
        <f>VLOOKUP(A804,Table3[#All],9,FALSE)</f>
        <v>46</v>
      </c>
      <c r="J804" s="2">
        <f>VLOOKUP(A804,Table3[#All],10,FALSE)</f>
        <v>3</v>
      </c>
      <c r="K804" s="2">
        <f>VLOOKUP(A804,Table3[#All],11,FALSE)</f>
        <v>87</v>
      </c>
      <c r="L804" s="2" t="str">
        <f>VLOOKUP(A804,Table3[#All],12,FALSE)</f>
        <v>Bangalore</v>
      </c>
      <c r="M804" s="2" t="str">
        <f t="shared" si="12"/>
        <v>Not Eligible</v>
      </c>
    </row>
    <row r="805" spans="1:13" hidden="1" x14ac:dyDescent="0.25">
      <c r="A805" s="6" t="s">
        <v>847</v>
      </c>
      <c r="B805" s="2" t="str">
        <f>VLOOKUP(A805,Table3[#All],2,FALSE)</f>
        <v>Nisha</v>
      </c>
      <c r="C805" s="2" t="str">
        <f>VLOOKUP(A805,Table3[#All],3,FALSE)</f>
        <v>Sales</v>
      </c>
      <c r="D805" s="2">
        <f>VLOOKUP(A805,Table3[#All],4,FALSE)</f>
        <v>39</v>
      </c>
      <c r="E805" s="2" t="str">
        <f>VLOOKUP(A805,Table3[#All],5,FALSE)</f>
        <v>Male</v>
      </c>
      <c r="F805" s="2">
        <f>VLOOKUP(A805,Table3[#All],6,FALSE)</f>
        <v>4</v>
      </c>
      <c r="G805" s="2">
        <f>VLOOKUP(A805,Table3[#All],7,FALSE)</f>
        <v>32375</v>
      </c>
      <c r="H805" s="2">
        <f>VLOOKUP(A805,Table3[#All],8,FALSE)</f>
        <v>10</v>
      </c>
      <c r="I805" s="2">
        <f>VLOOKUP(A805,Table3[#All],9,FALSE)</f>
        <v>37</v>
      </c>
      <c r="J805" s="2">
        <f>VLOOKUP(A805,Table3[#All],10,FALSE)</f>
        <v>1</v>
      </c>
      <c r="K805" s="2">
        <f>VLOOKUP(A805,Table3[#All],11,FALSE)</f>
        <v>92</v>
      </c>
      <c r="L805" s="2" t="str">
        <f>VLOOKUP(A805,Table3[#All],12,FALSE)</f>
        <v>Delhi</v>
      </c>
      <c r="M805" s="2" t="str">
        <f t="shared" si="12"/>
        <v>Not Eligible</v>
      </c>
    </row>
    <row r="806" spans="1:13" hidden="1" x14ac:dyDescent="0.25">
      <c r="A806" s="6" t="s">
        <v>713</v>
      </c>
      <c r="B806" s="2" t="str">
        <f>VLOOKUP(A806,Table3[#All],2,FALSE)</f>
        <v>Sneha</v>
      </c>
      <c r="C806" s="2" t="str">
        <f>VLOOKUP(A806,Table3[#All],3,FALSE)</f>
        <v>Sales</v>
      </c>
      <c r="D806" s="2">
        <f>VLOOKUP(A806,Table3[#All],4,FALSE)</f>
        <v>38</v>
      </c>
      <c r="E806" s="2" t="str">
        <f>VLOOKUP(A806,Table3[#All],5,FALSE)</f>
        <v>Female</v>
      </c>
      <c r="F806" s="2">
        <f>VLOOKUP(A806,Table3[#All],6,FALSE)</f>
        <v>9</v>
      </c>
      <c r="G806" s="2">
        <f>VLOOKUP(A806,Table3[#All],7,FALSE)</f>
        <v>68694</v>
      </c>
      <c r="H806" s="2">
        <f>VLOOKUP(A806,Table3[#All],8,FALSE)</f>
        <v>6</v>
      </c>
      <c r="I806" s="2">
        <f>VLOOKUP(A806,Table3[#All],9,FALSE)</f>
        <v>41</v>
      </c>
      <c r="J806" s="2">
        <f>VLOOKUP(A806,Table3[#All],10,FALSE)</f>
        <v>1</v>
      </c>
      <c r="K806" s="2">
        <f>VLOOKUP(A806,Table3[#All],11,FALSE)</f>
        <v>96</v>
      </c>
      <c r="L806" s="2" t="str">
        <f>VLOOKUP(A806,Table3[#All],12,FALSE)</f>
        <v>Mumbai</v>
      </c>
      <c r="M806" s="2" t="str">
        <f t="shared" si="12"/>
        <v>Eligible</v>
      </c>
    </row>
    <row r="807" spans="1:13" hidden="1" x14ac:dyDescent="0.25">
      <c r="A807" s="6" t="s">
        <v>849</v>
      </c>
      <c r="B807" s="2" t="str">
        <f>VLOOKUP(A807,Table3[#All],2,FALSE)</f>
        <v>Sanjay</v>
      </c>
      <c r="C807" s="2" t="str">
        <f>VLOOKUP(A807,Table3[#All],3,FALSE)</f>
        <v>IT</v>
      </c>
      <c r="D807" s="2">
        <f>VLOOKUP(A807,Table3[#All],4,FALSE)</f>
        <v>27</v>
      </c>
      <c r="E807" s="2" t="str">
        <f>VLOOKUP(A807,Table3[#All],5,FALSE)</f>
        <v>Male</v>
      </c>
      <c r="F807" s="2">
        <f>VLOOKUP(A807,Table3[#All],6,FALSE)</f>
        <v>2</v>
      </c>
      <c r="G807" s="2">
        <f>VLOOKUP(A807,Table3[#All],7,FALSE)</f>
        <v>45767</v>
      </c>
      <c r="H807" s="2">
        <f>VLOOKUP(A807,Table3[#All],8,FALSE)</f>
        <v>4</v>
      </c>
      <c r="I807" s="2">
        <f>VLOOKUP(A807,Table3[#All],9,FALSE)</f>
        <v>47</v>
      </c>
      <c r="J807" s="2">
        <f>VLOOKUP(A807,Table3[#All],10,FALSE)</f>
        <v>5</v>
      </c>
      <c r="K807" s="2">
        <f>VLOOKUP(A807,Table3[#All],11,FALSE)</f>
        <v>87</v>
      </c>
      <c r="L807" s="2" t="str">
        <f>VLOOKUP(A807,Table3[#All],12,FALSE)</f>
        <v>Delhi</v>
      </c>
      <c r="M807" s="2" t="str">
        <f t="shared" si="12"/>
        <v>Not Eligible</v>
      </c>
    </row>
    <row r="808" spans="1:13" hidden="1" x14ac:dyDescent="0.25">
      <c r="A808" s="5" t="s">
        <v>744</v>
      </c>
      <c r="B808" s="2" t="str">
        <f>VLOOKUP(A808,Table3[#All],2,FALSE)</f>
        <v>Sneha</v>
      </c>
      <c r="C808" s="2" t="str">
        <f>VLOOKUP(A808,Table3[#All],3,FALSE)</f>
        <v>Sales</v>
      </c>
      <c r="D808" s="2">
        <f>VLOOKUP(A808,Table3[#All],4,FALSE)</f>
        <v>31</v>
      </c>
      <c r="E808" s="2" t="str">
        <f>VLOOKUP(A808,Table3[#All],5,FALSE)</f>
        <v>Male</v>
      </c>
      <c r="F808" s="2">
        <f>VLOOKUP(A808,Table3[#All],6,FALSE)</f>
        <v>11</v>
      </c>
      <c r="G808" s="2">
        <f>VLOOKUP(A808,Table3[#All],7,FALSE)</f>
        <v>68859</v>
      </c>
      <c r="H808" s="2">
        <f>VLOOKUP(A808,Table3[#All],8,FALSE)</f>
        <v>3</v>
      </c>
      <c r="I808" s="2">
        <f>VLOOKUP(A808,Table3[#All],9,FALSE)</f>
        <v>36</v>
      </c>
      <c r="J808" s="2">
        <f>VLOOKUP(A808,Table3[#All],10,FALSE)</f>
        <v>2</v>
      </c>
      <c r="K808" s="2">
        <f>VLOOKUP(A808,Table3[#All],11,FALSE)</f>
        <v>96</v>
      </c>
      <c r="L808" s="2" t="str">
        <f>VLOOKUP(A808,Table3[#All],12,FALSE)</f>
        <v>Delhi</v>
      </c>
      <c r="M808" s="2" t="str">
        <f t="shared" si="12"/>
        <v>Eligible</v>
      </c>
    </row>
    <row r="809" spans="1:13" hidden="1" x14ac:dyDescent="0.25">
      <c r="A809" s="5" t="s">
        <v>684</v>
      </c>
      <c r="B809" s="2" t="str">
        <f>VLOOKUP(A809,Table3[#All],2,FALSE)</f>
        <v>Suresh</v>
      </c>
      <c r="C809" s="2" t="str">
        <f>VLOOKUP(A809,Table3[#All],3,FALSE)</f>
        <v>IT</v>
      </c>
      <c r="D809" s="2">
        <f>VLOOKUP(A809,Table3[#All],4,FALSE)</f>
        <v>30</v>
      </c>
      <c r="E809" s="2" t="str">
        <f>VLOOKUP(A809,Table3[#All],5,FALSE)</f>
        <v>Female</v>
      </c>
      <c r="F809" s="2">
        <f>VLOOKUP(A809,Table3[#All],6,FALSE)</f>
        <v>9</v>
      </c>
      <c r="G809" s="2">
        <f>VLOOKUP(A809,Table3[#All],7,FALSE)</f>
        <v>68933</v>
      </c>
      <c r="H809" s="2">
        <f>VLOOKUP(A809,Table3[#All],8,FALSE)</f>
        <v>8</v>
      </c>
      <c r="I809" s="2">
        <f>VLOOKUP(A809,Table3[#All],9,FALSE)</f>
        <v>41</v>
      </c>
      <c r="J809" s="2">
        <f>VLOOKUP(A809,Table3[#All],10,FALSE)</f>
        <v>2</v>
      </c>
      <c r="K809" s="2">
        <f>VLOOKUP(A809,Table3[#All],11,FALSE)</f>
        <v>97</v>
      </c>
      <c r="L809" s="2" t="str">
        <f>VLOOKUP(A809,Table3[#All],12,FALSE)</f>
        <v>Hyderabad</v>
      </c>
      <c r="M809" s="2" t="str">
        <f t="shared" si="12"/>
        <v>Eligible</v>
      </c>
    </row>
    <row r="810" spans="1:13" hidden="1" x14ac:dyDescent="0.25">
      <c r="A810" s="5" t="s">
        <v>968</v>
      </c>
      <c r="B810" s="2" t="str">
        <f>VLOOKUP(A810,Table3[#All],2,FALSE)</f>
        <v>Hari</v>
      </c>
      <c r="C810" s="2" t="str">
        <f>VLOOKUP(A810,Table3[#All],3,FALSE)</f>
        <v>IT</v>
      </c>
      <c r="D810" s="2">
        <f>VLOOKUP(A810,Table3[#All],4,FALSE)</f>
        <v>26</v>
      </c>
      <c r="E810" s="2" t="str">
        <f>VLOOKUP(A810,Table3[#All],5,FALSE)</f>
        <v>Female</v>
      </c>
      <c r="F810" s="2">
        <f>VLOOKUP(A810,Table3[#All],6,FALSE)</f>
        <v>6</v>
      </c>
      <c r="G810" s="2">
        <f>VLOOKUP(A810,Table3[#All],7,FALSE)</f>
        <v>68941</v>
      </c>
      <c r="H810" s="2">
        <f>VLOOKUP(A810,Table3[#All],8,FALSE)</f>
        <v>9</v>
      </c>
      <c r="I810" s="2">
        <f>VLOOKUP(A810,Table3[#All],9,FALSE)</f>
        <v>37</v>
      </c>
      <c r="J810" s="2">
        <f>VLOOKUP(A810,Table3[#All],10,FALSE)</f>
        <v>1</v>
      </c>
      <c r="K810" s="2">
        <f>VLOOKUP(A810,Table3[#All],11,FALSE)</f>
        <v>100</v>
      </c>
      <c r="L810" s="2" t="str">
        <f>VLOOKUP(A810,Table3[#All],12,FALSE)</f>
        <v>Bangalore</v>
      </c>
      <c r="M810" s="2" t="str">
        <f t="shared" si="12"/>
        <v>Eligible</v>
      </c>
    </row>
    <row r="811" spans="1:13" hidden="1" x14ac:dyDescent="0.25">
      <c r="A811" s="6" t="s">
        <v>513</v>
      </c>
      <c r="B811" s="2" t="str">
        <f>VLOOKUP(A811,Table3[#All],2,FALSE)</f>
        <v>Kavya</v>
      </c>
      <c r="C811" s="2" t="str">
        <f>VLOOKUP(A811,Table3[#All],3,FALSE)</f>
        <v>IT</v>
      </c>
      <c r="D811" s="2">
        <f>VLOOKUP(A811,Table3[#All],4,FALSE)</f>
        <v>39</v>
      </c>
      <c r="E811" s="2" t="str">
        <f>VLOOKUP(A811,Table3[#All],5,FALSE)</f>
        <v>Male</v>
      </c>
      <c r="F811" s="2">
        <f>VLOOKUP(A811,Table3[#All],6,FALSE)</f>
        <v>7</v>
      </c>
      <c r="G811" s="2">
        <f>VLOOKUP(A811,Table3[#All],7,FALSE)</f>
        <v>68953</v>
      </c>
      <c r="H811" s="2">
        <f>VLOOKUP(A811,Table3[#All],8,FALSE)</f>
        <v>7</v>
      </c>
      <c r="I811" s="2">
        <f>VLOOKUP(A811,Table3[#All],9,FALSE)</f>
        <v>44</v>
      </c>
      <c r="J811" s="2">
        <f>VLOOKUP(A811,Table3[#All],10,FALSE)</f>
        <v>3</v>
      </c>
      <c r="K811" s="2">
        <f>VLOOKUP(A811,Table3[#All],11,FALSE)</f>
        <v>97</v>
      </c>
      <c r="L811" s="2" t="str">
        <f>VLOOKUP(A811,Table3[#All],12,FALSE)</f>
        <v>Pune</v>
      </c>
      <c r="M811" s="2" t="str">
        <f t="shared" si="12"/>
        <v>Eligible</v>
      </c>
    </row>
    <row r="812" spans="1:13" x14ac:dyDescent="0.25">
      <c r="A812" s="6" t="s">
        <v>761</v>
      </c>
      <c r="B812" s="2" t="str">
        <f>VLOOKUP(A812,Table3[#All],2,FALSE)</f>
        <v>Kavya</v>
      </c>
      <c r="C812" s="2" t="str">
        <f>VLOOKUP(A812,Table3[#All],3,FALSE)</f>
        <v>IT</v>
      </c>
      <c r="D812" s="2">
        <f>VLOOKUP(A812,Table3[#All],4,FALSE)</f>
        <v>39</v>
      </c>
      <c r="E812" s="2" t="str">
        <f>VLOOKUP(A812,Table3[#All],5,FALSE)</f>
        <v>Female</v>
      </c>
      <c r="F812" s="2">
        <f>VLOOKUP(A812,Table3[#All],6,FALSE)</f>
        <v>5</v>
      </c>
      <c r="G812" s="2">
        <f>VLOOKUP(A812,Table3[#All],7,FALSE)</f>
        <v>68983</v>
      </c>
      <c r="H812" s="2">
        <f>VLOOKUP(A812,Table3[#All],8,FALSE)</f>
        <v>13</v>
      </c>
      <c r="I812" s="2">
        <f>VLOOKUP(A812,Table3[#All],9,FALSE)</f>
        <v>49</v>
      </c>
      <c r="J812" s="2">
        <f>VLOOKUP(A812,Table3[#All],10,FALSE)</f>
        <v>4</v>
      </c>
      <c r="K812" s="2">
        <f>VLOOKUP(A812,Table3[#All],11,FALSE)</f>
        <v>92</v>
      </c>
      <c r="L812" s="2" t="str">
        <f>VLOOKUP(A812,Table3[#All],12,FALSE)</f>
        <v>Bangalore</v>
      </c>
      <c r="M812" s="2" t="str">
        <f t="shared" si="12"/>
        <v>Not Eligible</v>
      </c>
    </row>
    <row r="813" spans="1:13" x14ac:dyDescent="0.25">
      <c r="A813" s="5" t="s">
        <v>280</v>
      </c>
      <c r="B813" s="2" t="str">
        <f>VLOOKUP(A813,Table3[#All],2,FALSE)</f>
        <v>Arun</v>
      </c>
      <c r="C813" s="2" t="str">
        <f>VLOOKUP(A813,Table3[#All],3,FALSE)</f>
        <v>HR</v>
      </c>
      <c r="D813" s="2">
        <f>VLOOKUP(A813,Table3[#All],4,FALSE)</f>
        <v>24</v>
      </c>
      <c r="E813" s="2" t="str">
        <f>VLOOKUP(A813,Table3[#All],5,FALSE)</f>
        <v>Female</v>
      </c>
      <c r="F813" s="2">
        <f>VLOOKUP(A813,Table3[#All],6,FALSE)</f>
        <v>6</v>
      </c>
      <c r="G813" s="2">
        <f>VLOOKUP(A813,Table3[#All],7,FALSE)</f>
        <v>68992</v>
      </c>
      <c r="H813" s="2">
        <f>VLOOKUP(A813,Table3[#All],8,FALSE)</f>
        <v>13</v>
      </c>
      <c r="I813" s="2">
        <f>VLOOKUP(A813,Table3[#All],9,FALSE)</f>
        <v>45</v>
      </c>
      <c r="J813" s="2">
        <f>VLOOKUP(A813,Table3[#All],10,FALSE)</f>
        <v>2</v>
      </c>
      <c r="K813" s="2">
        <f>VLOOKUP(A813,Table3[#All],11,FALSE)</f>
        <v>98</v>
      </c>
      <c r="L813" s="2" t="str">
        <f>VLOOKUP(A813,Table3[#All],12,FALSE)</f>
        <v>Chennai</v>
      </c>
      <c r="M813" s="2" t="str">
        <f t="shared" si="12"/>
        <v>Eligible</v>
      </c>
    </row>
    <row r="814" spans="1:13" hidden="1" x14ac:dyDescent="0.25">
      <c r="A814" s="5" t="s">
        <v>856</v>
      </c>
      <c r="B814" s="2" t="str">
        <f>VLOOKUP(A814,Table3[#All],2,FALSE)</f>
        <v>Priya</v>
      </c>
      <c r="C814" s="2" t="str">
        <f>VLOOKUP(A814,Table3[#All],3,FALSE)</f>
        <v>Sales</v>
      </c>
      <c r="D814" s="2">
        <f>VLOOKUP(A814,Table3[#All],4,FALSE)</f>
        <v>23</v>
      </c>
      <c r="E814" s="2" t="str">
        <f>VLOOKUP(A814,Table3[#All],5,FALSE)</f>
        <v>Male</v>
      </c>
      <c r="F814" s="2">
        <f>VLOOKUP(A814,Table3[#All],6,FALSE)</f>
        <v>2</v>
      </c>
      <c r="G814" s="2">
        <f>VLOOKUP(A814,Table3[#All],7,FALSE)</f>
        <v>47483</v>
      </c>
      <c r="H814" s="2">
        <f>VLOOKUP(A814,Table3[#All],8,FALSE)</f>
        <v>4</v>
      </c>
      <c r="I814" s="2">
        <f>VLOOKUP(A814,Table3[#All],9,FALSE)</f>
        <v>40</v>
      </c>
      <c r="J814" s="2">
        <f>VLOOKUP(A814,Table3[#All],10,FALSE)</f>
        <v>1</v>
      </c>
      <c r="K814" s="2">
        <f>VLOOKUP(A814,Table3[#All],11,FALSE)</f>
        <v>88</v>
      </c>
      <c r="L814" s="2" t="str">
        <f>VLOOKUP(A814,Table3[#All],12,FALSE)</f>
        <v>Mumbai</v>
      </c>
      <c r="M814" s="2" t="str">
        <f t="shared" si="12"/>
        <v>Not Eligible</v>
      </c>
    </row>
    <row r="815" spans="1:13" x14ac:dyDescent="0.25">
      <c r="A815" s="6" t="s">
        <v>899</v>
      </c>
      <c r="B815" s="2" t="str">
        <f>VLOOKUP(A815,Table3[#All],2,FALSE)</f>
        <v>Deepa</v>
      </c>
      <c r="C815" s="2" t="str">
        <f>VLOOKUP(A815,Table3[#All],3,FALSE)</f>
        <v>HR</v>
      </c>
      <c r="D815" s="2">
        <f>VLOOKUP(A815,Table3[#All],4,FALSE)</f>
        <v>25</v>
      </c>
      <c r="E815" s="2" t="str">
        <f>VLOOKUP(A815,Table3[#All],5,FALSE)</f>
        <v>Male</v>
      </c>
      <c r="F815" s="2">
        <f>VLOOKUP(A815,Table3[#All],6,FALSE)</f>
        <v>5</v>
      </c>
      <c r="G815" s="2">
        <f>VLOOKUP(A815,Table3[#All],7,FALSE)</f>
        <v>69535</v>
      </c>
      <c r="H815" s="2">
        <f>VLOOKUP(A815,Table3[#All],8,FALSE)</f>
        <v>13</v>
      </c>
      <c r="I815" s="2">
        <f>VLOOKUP(A815,Table3[#All],9,FALSE)</f>
        <v>38</v>
      </c>
      <c r="J815" s="2">
        <f>VLOOKUP(A815,Table3[#All],10,FALSE)</f>
        <v>5</v>
      </c>
      <c r="K815" s="2">
        <f>VLOOKUP(A815,Table3[#All],11,FALSE)</f>
        <v>93</v>
      </c>
      <c r="L815" s="2" t="str">
        <f>VLOOKUP(A815,Table3[#All],12,FALSE)</f>
        <v>Mumbai</v>
      </c>
      <c r="M815" s="2" t="str">
        <f t="shared" si="12"/>
        <v>Not Eligible</v>
      </c>
    </row>
    <row r="816" spans="1:13" hidden="1" x14ac:dyDescent="0.25">
      <c r="A816" s="5" t="s">
        <v>858</v>
      </c>
      <c r="B816" s="2" t="str">
        <f>VLOOKUP(A816,Table3[#All],2,FALSE)</f>
        <v>Arun</v>
      </c>
      <c r="C816" s="2" t="str">
        <f>VLOOKUP(A816,Table3[#All],3,FALSE)</f>
        <v>Finance</v>
      </c>
      <c r="D816" s="2">
        <f>VLOOKUP(A816,Table3[#All],4,FALSE)</f>
        <v>36</v>
      </c>
      <c r="E816" s="2" t="str">
        <f>VLOOKUP(A816,Table3[#All],5,FALSE)</f>
        <v>Male</v>
      </c>
      <c r="F816" s="2">
        <f>VLOOKUP(A816,Table3[#All],6,FALSE)</f>
        <v>1</v>
      </c>
      <c r="G816" s="2">
        <f>VLOOKUP(A816,Table3[#All],7,FALSE)</f>
        <v>40418</v>
      </c>
      <c r="H816" s="2">
        <f>VLOOKUP(A816,Table3[#All],8,FALSE)</f>
        <v>15</v>
      </c>
      <c r="I816" s="2">
        <f>VLOOKUP(A816,Table3[#All],9,FALSE)</f>
        <v>43</v>
      </c>
      <c r="J816" s="2">
        <f>VLOOKUP(A816,Table3[#All],10,FALSE)</f>
        <v>1</v>
      </c>
      <c r="K816" s="2">
        <f>VLOOKUP(A816,Table3[#All],11,FALSE)</f>
        <v>96</v>
      </c>
      <c r="L816" s="2" t="str">
        <f>VLOOKUP(A816,Table3[#All],12,FALSE)</f>
        <v>Hyderabad</v>
      </c>
      <c r="M816" s="2" t="str">
        <f t="shared" si="12"/>
        <v>Eligible</v>
      </c>
    </row>
    <row r="817" spans="1:13" hidden="1" x14ac:dyDescent="0.25">
      <c r="A817" s="6" t="s">
        <v>223</v>
      </c>
      <c r="B817" s="2" t="str">
        <f>VLOOKUP(A817,Table3[#All],2,FALSE)</f>
        <v>Ramesh</v>
      </c>
      <c r="C817" s="2" t="str">
        <f>VLOOKUP(A817,Table3[#All],3,FALSE)</f>
        <v>HR</v>
      </c>
      <c r="D817" s="2">
        <f>VLOOKUP(A817,Table3[#All],4,FALSE)</f>
        <v>33</v>
      </c>
      <c r="E817" s="2" t="str">
        <f>VLOOKUP(A817,Table3[#All],5,FALSE)</f>
        <v>Female</v>
      </c>
      <c r="F817" s="2">
        <f>VLOOKUP(A817,Table3[#All],6,FALSE)</f>
        <v>8</v>
      </c>
      <c r="G817" s="2">
        <f>VLOOKUP(A817,Table3[#All],7,FALSE)</f>
        <v>69587</v>
      </c>
      <c r="H817" s="2">
        <f>VLOOKUP(A817,Table3[#All],8,FALSE)</f>
        <v>3</v>
      </c>
      <c r="I817" s="2">
        <f>VLOOKUP(A817,Table3[#All],9,FALSE)</f>
        <v>46</v>
      </c>
      <c r="J817" s="2">
        <f>VLOOKUP(A817,Table3[#All],10,FALSE)</f>
        <v>2</v>
      </c>
      <c r="K817" s="2">
        <f>VLOOKUP(A817,Table3[#All],11,FALSE)</f>
        <v>93</v>
      </c>
      <c r="L817" s="2" t="str">
        <f>VLOOKUP(A817,Table3[#All],12,FALSE)</f>
        <v>Bangalore</v>
      </c>
      <c r="M817" s="2" t="str">
        <f t="shared" si="12"/>
        <v>Not Eligible</v>
      </c>
    </row>
    <row r="818" spans="1:13" x14ac:dyDescent="0.25">
      <c r="A818" s="5" t="s">
        <v>648</v>
      </c>
      <c r="B818" s="2" t="str">
        <f>VLOOKUP(A818,Table3[#All],2,FALSE)</f>
        <v>Hari</v>
      </c>
      <c r="C818" s="2" t="str">
        <f>VLOOKUP(A818,Table3[#All],3,FALSE)</f>
        <v>HR</v>
      </c>
      <c r="D818" s="2">
        <f>VLOOKUP(A818,Table3[#All],4,FALSE)</f>
        <v>28</v>
      </c>
      <c r="E818" s="2" t="str">
        <f>VLOOKUP(A818,Table3[#All],5,FALSE)</f>
        <v>Male</v>
      </c>
      <c r="F818" s="2">
        <f>VLOOKUP(A818,Table3[#All],6,FALSE)</f>
        <v>10</v>
      </c>
      <c r="G818" s="2">
        <f>VLOOKUP(A818,Table3[#All],7,FALSE)</f>
        <v>69634</v>
      </c>
      <c r="H818" s="2">
        <f>VLOOKUP(A818,Table3[#All],8,FALSE)</f>
        <v>15</v>
      </c>
      <c r="I818" s="2">
        <f>VLOOKUP(A818,Table3[#All],9,FALSE)</f>
        <v>49</v>
      </c>
      <c r="J818" s="2">
        <f>VLOOKUP(A818,Table3[#All],10,FALSE)</f>
        <v>2</v>
      </c>
      <c r="K818" s="2">
        <f>VLOOKUP(A818,Table3[#All],11,FALSE)</f>
        <v>99</v>
      </c>
      <c r="L818" s="2" t="str">
        <f>VLOOKUP(A818,Table3[#All],12,FALSE)</f>
        <v>Pune</v>
      </c>
      <c r="M818" s="2" t="str">
        <f t="shared" si="12"/>
        <v>Eligible</v>
      </c>
    </row>
    <row r="819" spans="1:13" hidden="1" x14ac:dyDescent="0.25">
      <c r="A819" s="5" t="s">
        <v>762</v>
      </c>
      <c r="B819" s="2" t="str">
        <f>VLOOKUP(A819,Table3[#All],2,FALSE)</f>
        <v>Arun</v>
      </c>
      <c r="C819" s="2" t="str">
        <f>VLOOKUP(A819,Table3[#All],3,FALSE)</f>
        <v>Finance</v>
      </c>
      <c r="D819" s="2">
        <f>VLOOKUP(A819,Table3[#All],4,FALSE)</f>
        <v>38</v>
      </c>
      <c r="E819" s="2" t="str">
        <f>VLOOKUP(A819,Table3[#All],5,FALSE)</f>
        <v>Female</v>
      </c>
      <c r="F819" s="2">
        <f>VLOOKUP(A819,Table3[#All],6,FALSE)</f>
        <v>14</v>
      </c>
      <c r="G819" s="2">
        <f>VLOOKUP(A819,Table3[#All],7,FALSE)</f>
        <v>69650</v>
      </c>
      <c r="H819" s="2">
        <f>VLOOKUP(A819,Table3[#All],8,FALSE)</f>
        <v>5</v>
      </c>
      <c r="I819" s="2">
        <f>VLOOKUP(A819,Table3[#All],9,FALSE)</f>
        <v>41</v>
      </c>
      <c r="J819" s="2">
        <f>VLOOKUP(A819,Table3[#All],10,FALSE)</f>
        <v>3</v>
      </c>
      <c r="K819" s="2">
        <f>VLOOKUP(A819,Table3[#All],11,FALSE)</f>
        <v>94</v>
      </c>
      <c r="L819" s="2" t="str">
        <f>VLOOKUP(A819,Table3[#All],12,FALSE)</f>
        <v>Pune</v>
      </c>
      <c r="M819" s="2" t="str">
        <f t="shared" si="12"/>
        <v>Not Eligible</v>
      </c>
    </row>
    <row r="820" spans="1:13" hidden="1" x14ac:dyDescent="0.25">
      <c r="A820" s="6" t="s">
        <v>341</v>
      </c>
      <c r="B820" s="2" t="str">
        <f>VLOOKUP(A820,Table3[#All],2,FALSE)</f>
        <v>Arun</v>
      </c>
      <c r="C820" s="2" t="str">
        <f>VLOOKUP(A820,Table3[#All],3,FALSE)</f>
        <v>Sales</v>
      </c>
      <c r="D820" s="2">
        <f>VLOOKUP(A820,Table3[#All],4,FALSE)</f>
        <v>25</v>
      </c>
      <c r="E820" s="2" t="str">
        <f>VLOOKUP(A820,Table3[#All],5,FALSE)</f>
        <v>Female</v>
      </c>
      <c r="F820" s="2">
        <f>VLOOKUP(A820,Table3[#All],6,FALSE)</f>
        <v>5</v>
      </c>
      <c r="G820" s="2">
        <f>VLOOKUP(A820,Table3[#All],7,FALSE)</f>
        <v>69679</v>
      </c>
      <c r="H820" s="2">
        <f>VLOOKUP(A820,Table3[#All],8,FALSE)</f>
        <v>8</v>
      </c>
      <c r="I820" s="2">
        <f>VLOOKUP(A820,Table3[#All],9,FALSE)</f>
        <v>44</v>
      </c>
      <c r="J820" s="2">
        <f>VLOOKUP(A820,Table3[#All],10,FALSE)</f>
        <v>5</v>
      </c>
      <c r="K820" s="2">
        <f>VLOOKUP(A820,Table3[#All],11,FALSE)</f>
        <v>92</v>
      </c>
      <c r="L820" s="2" t="str">
        <f>VLOOKUP(A820,Table3[#All],12,FALSE)</f>
        <v>Chennai</v>
      </c>
      <c r="M820" s="2" t="str">
        <f t="shared" si="12"/>
        <v>Not Eligible</v>
      </c>
    </row>
    <row r="821" spans="1:13" hidden="1" x14ac:dyDescent="0.25">
      <c r="A821" s="5" t="s">
        <v>1028</v>
      </c>
      <c r="B821" s="2" t="str">
        <f>VLOOKUP(A821,Table3[#All],2,FALSE)</f>
        <v>Karthik</v>
      </c>
      <c r="C821" s="2" t="str">
        <f>VLOOKUP(A821,Table3[#All],3,FALSE)</f>
        <v>HR</v>
      </c>
      <c r="D821" s="2">
        <f>VLOOKUP(A821,Table3[#All],4,FALSE)</f>
        <v>25</v>
      </c>
      <c r="E821" s="2" t="str">
        <f>VLOOKUP(A821,Table3[#All],5,FALSE)</f>
        <v>Female</v>
      </c>
      <c r="F821" s="2">
        <f>VLOOKUP(A821,Table3[#All],6,FALSE)</f>
        <v>14</v>
      </c>
      <c r="G821" s="2">
        <f>VLOOKUP(A821,Table3[#All],7,FALSE)</f>
        <v>69787</v>
      </c>
      <c r="H821" s="2">
        <f>VLOOKUP(A821,Table3[#All],8,FALSE)</f>
        <v>9</v>
      </c>
      <c r="I821" s="2">
        <f>VLOOKUP(A821,Table3[#All],9,FALSE)</f>
        <v>35</v>
      </c>
      <c r="J821" s="2">
        <f>VLOOKUP(A821,Table3[#All],10,FALSE)</f>
        <v>5</v>
      </c>
      <c r="K821" s="2">
        <f>VLOOKUP(A821,Table3[#All],11,FALSE)</f>
        <v>87</v>
      </c>
      <c r="L821" s="2" t="str">
        <f>VLOOKUP(A821,Table3[#All],12,FALSE)</f>
        <v>Bangalore</v>
      </c>
      <c r="M821" s="2" t="str">
        <f t="shared" si="12"/>
        <v>Not Eligible</v>
      </c>
    </row>
    <row r="822" spans="1:13" hidden="1" x14ac:dyDescent="0.25">
      <c r="A822" s="5" t="s">
        <v>602</v>
      </c>
      <c r="B822" s="2" t="str">
        <f>VLOOKUP(A822,Table3[#All],2,FALSE)</f>
        <v>Suresh</v>
      </c>
      <c r="C822" s="2" t="str">
        <f>VLOOKUP(A822,Table3[#All],3,FALSE)</f>
        <v>HR</v>
      </c>
      <c r="D822" s="2">
        <f>VLOOKUP(A822,Table3[#All],4,FALSE)</f>
        <v>29</v>
      </c>
      <c r="E822" s="2" t="str">
        <f>VLOOKUP(A822,Table3[#All],5,FALSE)</f>
        <v>Female</v>
      </c>
      <c r="F822" s="2">
        <f>VLOOKUP(A822,Table3[#All],6,FALSE)</f>
        <v>15</v>
      </c>
      <c r="G822" s="2">
        <f>VLOOKUP(A822,Table3[#All],7,FALSE)</f>
        <v>69802</v>
      </c>
      <c r="H822" s="2">
        <f>VLOOKUP(A822,Table3[#All],8,FALSE)</f>
        <v>6</v>
      </c>
      <c r="I822" s="2">
        <f>VLOOKUP(A822,Table3[#All],9,FALSE)</f>
        <v>42</v>
      </c>
      <c r="J822" s="2">
        <f>VLOOKUP(A822,Table3[#All],10,FALSE)</f>
        <v>3</v>
      </c>
      <c r="K822" s="2">
        <f>VLOOKUP(A822,Table3[#All],11,FALSE)</f>
        <v>91</v>
      </c>
      <c r="L822" s="2" t="str">
        <f>VLOOKUP(A822,Table3[#All],12,FALSE)</f>
        <v>Delhi</v>
      </c>
      <c r="M822" s="2" t="str">
        <f t="shared" si="12"/>
        <v>Not Eligible</v>
      </c>
    </row>
    <row r="823" spans="1:13" x14ac:dyDescent="0.25">
      <c r="A823" s="5" t="s">
        <v>770</v>
      </c>
      <c r="B823" s="2" t="str">
        <f>VLOOKUP(A823,Table3[#All],2,FALSE)</f>
        <v>Arun</v>
      </c>
      <c r="C823" s="2" t="str">
        <f>VLOOKUP(A823,Table3[#All],3,FALSE)</f>
        <v>Finance</v>
      </c>
      <c r="D823" s="2">
        <f>VLOOKUP(A823,Table3[#All],4,FALSE)</f>
        <v>35</v>
      </c>
      <c r="E823" s="2" t="str">
        <f>VLOOKUP(A823,Table3[#All],5,FALSE)</f>
        <v>Female</v>
      </c>
      <c r="F823" s="2">
        <f>VLOOKUP(A823,Table3[#All],6,FALSE)</f>
        <v>5</v>
      </c>
      <c r="G823" s="2">
        <f>VLOOKUP(A823,Table3[#All],7,FALSE)</f>
        <v>69810</v>
      </c>
      <c r="H823" s="2">
        <f>VLOOKUP(A823,Table3[#All],8,FALSE)</f>
        <v>11</v>
      </c>
      <c r="I823" s="2">
        <f>VLOOKUP(A823,Table3[#All],9,FALSE)</f>
        <v>37</v>
      </c>
      <c r="J823" s="2">
        <f>VLOOKUP(A823,Table3[#All],10,FALSE)</f>
        <v>5</v>
      </c>
      <c r="K823" s="2">
        <f>VLOOKUP(A823,Table3[#All],11,FALSE)</f>
        <v>97</v>
      </c>
      <c r="L823" s="2" t="str">
        <f>VLOOKUP(A823,Table3[#All],12,FALSE)</f>
        <v>Mumbai</v>
      </c>
      <c r="M823" s="2" t="str">
        <f t="shared" si="12"/>
        <v>Eligible</v>
      </c>
    </row>
    <row r="824" spans="1:13" hidden="1" x14ac:dyDescent="0.25">
      <c r="A824" s="5" t="s">
        <v>742</v>
      </c>
      <c r="B824" s="2" t="str">
        <f>VLOOKUP(A824,Table3[#All],2,FALSE)</f>
        <v>Kavya</v>
      </c>
      <c r="C824" s="2" t="str">
        <f>VLOOKUP(A824,Table3[#All],3,FALSE)</f>
        <v>Sales</v>
      </c>
      <c r="D824" s="2">
        <f>VLOOKUP(A824,Table3[#All],4,FALSE)</f>
        <v>31</v>
      </c>
      <c r="E824" s="2" t="str">
        <f>VLOOKUP(A824,Table3[#All],5,FALSE)</f>
        <v>Female</v>
      </c>
      <c r="F824" s="2">
        <f>VLOOKUP(A824,Table3[#All],6,FALSE)</f>
        <v>14</v>
      </c>
      <c r="G824" s="2">
        <f>VLOOKUP(A824,Table3[#All],7,FALSE)</f>
        <v>69917</v>
      </c>
      <c r="H824" s="2">
        <f>VLOOKUP(A824,Table3[#All],8,FALSE)</f>
        <v>14</v>
      </c>
      <c r="I824" s="2">
        <f>VLOOKUP(A824,Table3[#All],9,FALSE)</f>
        <v>50</v>
      </c>
      <c r="J824" s="2">
        <f>VLOOKUP(A824,Table3[#All],10,FALSE)</f>
        <v>2</v>
      </c>
      <c r="K824" s="2">
        <f>VLOOKUP(A824,Table3[#All],11,FALSE)</f>
        <v>88</v>
      </c>
      <c r="L824" s="2" t="str">
        <f>VLOOKUP(A824,Table3[#All],12,FALSE)</f>
        <v>Pune</v>
      </c>
      <c r="M824" s="2" t="str">
        <f t="shared" si="12"/>
        <v>Not Eligible</v>
      </c>
    </row>
    <row r="825" spans="1:13" hidden="1" x14ac:dyDescent="0.25">
      <c r="A825" s="6" t="s">
        <v>867</v>
      </c>
      <c r="B825" s="2" t="str">
        <f>VLOOKUP(A825,Table3[#All],2,FALSE)</f>
        <v>Arun</v>
      </c>
      <c r="C825" s="2" t="str">
        <f>VLOOKUP(A825,Table3[#All],3,FALSE)</f>
        <v>HR</v>
      </c>
      <c r="D825" s="2">
        <f>VLOOKUP(A825,Table3[#All],4,FALSE)</f>
        <v>38</v>
      </c>
      <c r="E825" s="2" t="str">
        <f>VLOOKUP(A825,Table3[#All],5,FALSE)</f>
        <v>Female</v>
      </c>
      <c r="F825" s="2">
        <f>VLOOKUP(A825,Table3[#All],6,FALSE)</f>
        <v>2</v>
      </c>
      <c r="G825" s="2">
        <f>VLOOKUP(A825,Table3[#All],7,FALSE)</f>
        <v>69734</v>
      </c>
      <c r="H825" s="2">
        <f>VLOOKUP(A825,Table3[#All],8,FALSE)</f>
        <v>13</v>
      </c>
      <c r="I825" s="2">
        <f>VLOOKUP(A825,Table3[#All],9,FALSE)</f>
        <v>38</v>
      </c>
      <c r="J825" s="2">
        <f>VLOOKUP(A825,Table3[#All],10,FALSE)</f>
        <v>5</v>
      </c>
      <c r="K825" s="2">
        <f>VLOOKUP(A825,Table3[#All],11,FALSE)</f>
        <v>89</v>
      </c>
      <c r="L825" s="2" t="str">
        <f>VLOOKUP(A825,Table3[#All],12,FALSE)</f>
        <v>Hyderabad</v>
      </c>
      <c r="M825" s="2" t="str">
        <f t="shared" si="12"/>
        <v>Not Eligible</v>
      </c>
    </row>
    <row r="826" spans="1:13" hidden="1" x14ac:dyDescent="0.25">
      <c r="A826" s="5" t="s">
        <v>868</v>
      </c>
      <c r="B826" s="2" t="str">
        <f>VLOOKUP(A826,Table3[#All],2,FALSE)</f>
        <v>Ramesh</v>
      </c>
      <c r="C826" s="2" t="str">
        <f>VLOOKUP(A826,Table3[#All],3,FALSE)</f>
        <v>IT</v>
      </c>
      <c r="D826" s="2">
        <f>VLOOKUP(A826,Table3[#All],4,FALSE)</f>
        <v>40</v>
      </c>
      <c r="E826" s="2" t="str">
        <f>VLOOKUP(A826,Table3[#All],5,FALSE)</f>
        <v>Male</v>
      </c>
      <c r="F826" s="2">
        <f>VLOOKUP(A826,Table3[#All],6,FALSE)</f>
        <v>2</v>
      </c>
      <c r="G826" s="2">
        <f>VLOOKUP(A826,Table3[#All],7,FALSE)</f>
        <v>59916</v>
      </c>
      <c r="H826" s="2">
        <f>VLOOKUP(A826,Table3[#All],8,FALSE)</f>
        <v>10</v>
      </c>
      <c r="I826" s="2">
        <f>VLOOKUP(A826,Table3[#All],9,FALSE)</f>
        <v>35</v>
      </c>
      <c r="J826" s="2">
        <f>VLOOKUP(A826,Table3[#All],10,FALSE)</f>
        <v>1</v>
      </c>
      <c r="K826" s="2">
        <f>VLOOKUP(A826,Table3[#All],11,FALSE)</f>
        <v>98</v>
      </c>
      <c r="L826" s="2" t="str">
        <f>VLOOKUP(A826,Table3[#All],12,FALSE)</f>
        <v>Delhi</v>
      </c>
      <c r="M826" s="2" t="str">
        <f t="shared" si="12"/>
        <v>Eligible</v>
      </c>
    </row>
    <row r="827" spans="1:13" hidden="1" x14ac:dyDescent="0.25">
      <c r="A827" s="5" t="s">
        <v>994</v>
      </c>
      <c r="B827" s="2" t="str">
        <f>VLOOKUP(A827,Table3[#All],2,FALSE)</f>
        <v>Sneha</v>
      </c>
      <c r="C827" s="2" t="str">
        <f>VLOOKUP(A827,Table3[#All],3,FALSE)</f>
        <v>Sales</v>
      </c>
      <c r="D827" s="2">
        <f>VLOOKUP(A827,Table3[#All],4,FALSE)</f>
        <v>31</v>
      </c>
      <c r="E827" s="2" t="str">
        <f>VLOOKUP(A827,Table3[#All],5,FALSE)</f>
        <v>Female</v>
      </c>
      <c r="F827" s="2">
        <f>VLOOKUP(A827,Table3[#All],6,FALSE)</f>
        <v>6</v>
      </c>
      <c r="G827" s="2">
        <f>VLOOKUP(A827,Table3[#All],7,FALSE)</f>
        <v>69943</v>
      </c>
      <c r="H827" s="2">
        <f>VLOOKUP(A827,Table3[#All],8,FALSE)</f>
        <v>5</v>
      </c>
      <c r="I827" s="2">
        <f>VLOOKUP(A827,Table3[#All],9,FALSE)</f>
        <v>37</v>
      </c>
      <c r="J827" s="2">
        <f>VLOOKUP(A827,Table3[#All],10,FALSE)</f>
        <v>5</v>
      </c>
      <c r="K827" s="2">
        <f>VLOOKUP(A827,Table3[#All],11,FALSE)</f>
        <v>87</v>
      </c>
      <c r="L827" s="2" t="str">
        <f>VLOOKUP(A827,Table3[#All],12,FALSE)</f>
        <v>Hyderabad</v>
      </c>
      <c r="M827" s="2" t="str">
        <f t="shared" si="12"/>
        <v>Not Eligible</v>
      </c>
    </row>
    <row r="828" spans="1:13" hidden="1" x14ac:dyDescent="0.25">
      <c r="A828" s="5" t="s">
        <v>870</v>
      </c>
      <c r="B828" s="2" t="str">
        <f>VLOOKUP(A828,Table3[#All],2,FALSE)</f>
        <v>Manoj</v>
      </c>
      <c r="C828" s="2" t="str">
        <f>VLOOKUP(A828,Table3[#All],3,FALSE)</f>
        <v>IT</v>
      </c>
      <c r="D828" s="2">
        <f>VLOOKUP(A828,Table3[#All],4,FALSE)</f>
        <v>39</v>
      </c>
      <c r="E828" s="2" t="str">
        <f>VLOOKUP(A828,Table3[#All],5,FALSE)</f>
        <v>Female</v>
      </c>
      <c r="F828" s="2">
        <f>VLOOKUP(A828,Table3[#All],6,FALSE)</f>
        <v>2</v>
      </c>
      <c r="G828" s="2">
        <f>VLOOKUP(A828,Table3[#All],7,FALSE)</f>
        <v>32567</v>
      </c>
      <c r="H828" s="2">
        <f>VLOOKUP(A828,Table3[#All],8,FALSE)</f>
        <v>12</v>
      </c>
      <c r="I828" s="2">
        <f>VLOOKUP(A828,Table3[#All],9,FALSE)</f>
        <v>43</v>
      </c>
      <c r="J828" s="2">
        <f>VLOOKUP(A828,Table3[#All],10,FALSE)</f>
        <v>1</v>
      </c>
      <c r="K828" s="2">
        <f>VLOOKUP(A828,Table3[#All],11,FALSE)</f>
        <v>93</v>
      </c>
      <c r="L828" s="2" t="str">
        <f>VLOOKUP(A828,Table3[#All],12,FALSE)</f>
        <v>Pune</v>
      </c>
      <c r="M828" s="2" t="str">
        <f t="shared" si="12"/>
        <v>Not Eligible</v>
      </c>
    </row>
    <row r="829" spans="1:13" hidden="1" x14ac:dyDescent="0.25">
      <c r="A829" s="6" t="s">
        <v>225</v>
      </c>
      <c r="B829" s="2" t="str">
        <f>VLOOKUP(A829,Table3[#All],2,FALSE)</f>
        <v>Ravi</v>
      </c>
      <c r="C829" s="2" t="str">
        <f>VLOOKUP(A829,Table3[#All],3,FALSE)</f>
        <v>Finance</v>
      </c>
      <c r="D829" s="2">
        <f>VLOOKUP(A829,Table3[#All],4,FALSE)</f>
        <v>26</v>
      </c>
      <c r="E829" s="2" t="str">
        <f>VLOOKUP(A829,Table3[#All],5,FALSE)</f>
        <v>Male</v>
      </c>
      <c r="F829" s="2">
        <f>VLOOKUP(A829,Table3[#All],6,FALSE)</f>
        <v>15</v>
      </c>
      <c r="G829" s="2">
        <f>VLOOKUP(A829,Table3[#All],7,FALSE)</f>
        <v>69946</v>
      </c>
      <c r="H829" s="2">
        <f>VLOOKUP(A829,Table3[#All],8,FALSE)</f>
        <v>8</v>
      </c>
      <c r="I829" s="2">
        <f>VLOOKUP(A829,Table3[#All],9,FALSE)</f>
        <v>42</v>
      </c>
      <c r="J829" s="2">
        <f>VLOOKUP(A829,Table3[#All],10,FALSE)</f>
        <v>3</v>
      </c>
      <c r="K829" s="2">
        <f>VLOOKUP(A829,Table3[#All],11,FALSE)</f>
        <v>85</v>
      </c>
      <c r="L829" s="2" t="str">
        <f>VLOOKUP(A829,Table3[#All],12,FALSE)</f>
        <v>Hyderabad</v>
      </c>
      <c r="M829" s="2" t="str">
        <f t="shared" si="12"/>
        <v>Not Eligible</v>
      </c>
    </row>
    <row r="830" spans="1:13" hidden="1" x14ac:dyDescent="0.25">
      <c r="A830" s="5" t="s">
        <v>872</v>
      </c>
      <c r="B830" s="2" t="str">
        <f>VLOOKUP(A830,Table3[#All],2,FALSE)</f>
        <v>Suresh</v>
      </c>
      <c r="C830" s="2" t="str">
        <f>VLOOKUP(A830,Table3[#All],3,FALSE)</f>
        <v>Finance</v>
      </c>
      <c r="D830" s="2">
        <f>VLOOKUP(A830,Table3[#All],4,FALSE)</f>
        <v>28</v>
      </c>
      <c r="E830" s="2" t="str">
        <f>VLOOKUP(A830,Table3[#All],5,FALSE)</f>
        <v>Female</v>
      </c>
      <c r="F830" s="2">
        <f>VLOOKUP(A830,Table3[#All],6,FALSE)</f>
        <v>1</v>
      </c>
      <c r="G830" s="2">
        <f>VLOOKUP(A830,Table3[#All],7,FALSE)</f>
        <v>71342</v>
      </c>
      <c r="H830" s="2">
        <f>VLOOKUP(A830,Table3[#All],8,FALSE)</f>
        <v>11</v>
      </c>
      <c r="I830" s="2">
        <f>VLOOKUP(A830,Table3[#All],9,FALSE)</f>
        <v>41</v>
      </c>
      <c r="J830" s="2">
        <f>VLOOKUP(A830,Table3[#All],10,FALSE)</f>
        <v>1</v>
      </c>
      <c r="K830" s="2">
        <f>VLOOKUP(A830,Table3[#All],11,FALSE)</f>
        <v>89</v>
      </c>
      <c r="L830" s="2" t="str">
        <f>VLOOKUP(A830,Table3[#All],12,FALSE)</f>
        <v>Pune</v>
      </c>
      <c r="M830" s="2" t="str">
        <f t="shared" si="12"/>
        <v>Not Eligible</v>
      </c>
    </row>
    <row r="831" spans="1:13" hidden="1" x14ac:dyDescent="0.25">
      <c r="A831" s="6" t="s">
        <v>855</v>
      </c>
      <c r="B831" s="2" t="str">
        <f>VLOOKUP(A831,Table3[#All],2,FALSE)</f>
        <v>Vijay</v>
      </c>
      <c r="C831" s="2" t="str">
        <f>VLOOKUP(A831,Table3[#All],3,FALSE)</f>
        <v>Finance</v>
      </c>
      <c r="D831" s="2">
        <f>VLOOKUP(A831,Table3[#All],4,FALSE)</f>
        <v>40</v>
      </c>
      <c r="E831" s="2" t="str">
        <f>VLOOKUP(A831,Table3[#All],5,FALSE)</f>
        <v>Female</v>
      </c>
      <c r="F831" s="2">
        <f>VLOOKUP(A831,Table3[#All],6,FALSE)</f>
        <v>10</v>
      </c>
      <c r="G831" s="2">
        <f>VLOOKUP(A831,Table3[#All],7,FALSE)</f>
        <v>69960</v>
      </c>
      <c r="H831" s="2">
        <f>VLOOKUP(A831,Table3[#All],8,FALSE)</f>
        <v>12</v>
      </c>
      <c r="I831" s="2">
        <f>VLOOKUP(A831,Table3[#All],9,FALSE)</f>
        <v>38</v>
      </c>
      <c r="J831" s="2">
        <f>VLOOKUP(A831,Table3[#All],10,FALSE)</f>
        <v>1</v>
      </c>
      <c r="K831" s="2">
        <f>VLOOKUP(A831,Table3[#All],11,FALSE)</f>
        <v>89</v>
      </c>
      <c r="L831" s="2" t="str">
        <f>VLOOKUP(A831,Table3[#All],12,FALSE)</f>
        <v>Chennai</v>
      </c>
      <c r="M831" s="2" t="str">
        <f t="shared" si="12"/>
        <v>Not Eligible</v>
      </c>
    </row>
    <row r="832" spans="1:13" hidden="1" x14ac:dyDescent="0.25">
      <c r="A832" s="6" t="s">
        <v>541</v>
      </c>
      <c r="B832" s="2" t="str">
        <f>VLOOKUP(A832,Table3[#All],2,FALSE)</f>
        <v>Suresh</v>
      </c>
      <c r="C832" s="2" t="str">
        <f>VLOOKUP(A832,Table3[#All],3,FALSE)</f>
        <v>Sales</v>
      </c>
      <c r="D832" s="2">
        <f>VLOOKUP(A832,Table3[#All],4,FALSE)</f>
        <v>36</v>
      </c>
      <c r="E832" s="2" t="str">
        <f>VLOOKUP(A832,Table3[#All],5,FALSE)</f>
        <v>Female</v>
      </c>
      <c r="F832" s="2">
        <f>VLOOKUP(A832,Table3[#All],6,FALSE)</f>
        <v>14</v>
      </c>
      <c r="G832" s="2">
        <f>VLOOKUP(A832,Table3[#All],7,FALSE)</f>
        <v>70024</v>
      </c>
      <c r="H832" s="2">
        <f>VLOOKUP(A832,Table3[#All],8,FALSE)</f>
        <v>8</v>
      </c>
      <c r="I832" s="2">
        <f>VLOOKUP(A832,Table3[#All],9,FALSE)</f>
        <v>45</v>
      </c>
      <c r="J832" s="2">
        <f>VLOOKUP(A832,Table3[#All],10,FALSE)</f>
        <v>5</v>
      </c>
      <c r="K832" s="2">
        <f>VLOOKUP(A832,Table3[#All],11,FALSE)</f>
        <v>96</v>
      </c>
      <c r="L832" s="2" t="str">
        <f>VLOOKUP(A832,Table3[#All],12,FALSE)</f>
        <v>Delhi</v>
      </c>
      <c r="M832" s="2" t="str">
        <f t="shared" si="12"/>
        <v>Eligible</v>
      </c>
    </row>
    <row r="833" spans="1:13" hidden="1" x14ac:dyDescent="0.25">
      <c r="A833" s="6" t="s">
        <v>875</v>
      </c>
      <c r="B833" s="2" t="str">
        <f>VLOOKUP(A833,Table3[#All],2,FALSE)</f>
        <v>Manoj</v>
      </c>
      <c r="C833" s="2" t="str">
        <f>VLOOKUP(A833,Table3[#All],3,FALSE)</f>
        <v>IT</v>
      </c>
      <c r="D833" s="2">
        <f>VLOOKUP(A833,Table3[#All],4,FALSE)</f>
        <v>25</v>
      </c>
      <c r="E833" s="2" t="str">
        <f>VLOOKUP(A833,Table3[#All],5,FALSE)</f>
        <v>Female</v>
      </c>
      <c r="F833" s="2">
        <f>VLOOKUP(A833,Table3[#All],6,FALSE)</f>
        <v>2</v>
      </c>
      <c r="G833" s="2">
        <f>VLOOKUP(A833,Table3[#All],7,FALSE)</f>
        <v>47078</v>
      </c>
      <c r="H833" s="2">
        <f>VLOOKUP(A833,Table3[#All],8,FALSE)</f>
        <v>9</v>
      </c>
      <c r="I833" s="2">
        <f>VLOOKUP(A833,Table3[#All],9,FALSE)</f>
        <v>49</v>
      </c>
      <c r="J833" s="2">
        <f>VLOOKUP(A833,Table3[#All],10,FALSE)</f>
        <v>3</v>
      </c>
      <c r="K833" s="2">
        <f>VLOOKUP(A833,Table3[#All],11,FALSE)</f>
        <v>100</v>
      </c>
      <c r="L833" s="2" t="str">
        <f>VLOOKUP(A833,Table3[#All],12,FALSE)</f>
        <v>Delhi</v>
      </c>
      <c r="M833" s="2" t="str">
        <f t="shared" si="12"/>
        <v>Eligible</v>
      </c>
    </row>
    <row r="834" spans="1:13" hidden="1" x14ac:dyDescent="0.25">
      <c r="A834" s="6" t="s">
        <v>811</v>
      </c>
      <c r="B834" s="2" t="str">
        <f>VLOOKUP(A834,Table3[#All],2,FALSE)</f>
        <v>Sanjay</v>
      </c>
      <c r="C834" s="2" t="str">
        <f>VLOOKUP(A834,Table3[#All],3,FALSE)</f>
        <v>HR</v>
      </c>
      <c r="D834" s="2">
        <f>VLOOKUP(A834,Table3[#All],4,FALSE)</f>
        <v>32</v>
      </c>
      <c r="E834" s="2" t="str">
        <f>VLOOKUP(A834,Table3[#All],5,FALSE)</f>
        <v>Female</v>
      </c>
      <c r="F834" s="2">
        <f>VLOOKUP(A834,Table3[#All],6,FALSE)</f>
        <v>12</v>
      </c>
      <c r="G834" s="2">
        <f>VLOOKUP(A834,Table3[#All],7,FALSE)</f>
        <v>70242</v>
      </c>
      <c r="H834" s="2">
        <f>VLOOKUP(A834,Table3[#All],8,FALSE)</f>
        <v>6</v>
      </c>
      <c r="I834" s="2">
        <f>VLOOKUP(A834,Table3[#All],9,FALSE)</f>
        <v>36</v>
      </c>
      <c r="J834" s="2">
        <f>VLOOKUP(A834,Table3[#All],10,FALSE)</f>
        <v>1</v>
      </c>
      <c r="K834" s="2">
        <f>VLOOKUP(A834,Table3[#All],11,FALSE)</f>
        <v>87</v>
      </c>
      <c r="L834" s="2" t="str">
        <f>VLOOKUP(A834,Table3[#All],12,FALSE)</f>
        <v>Hyderabad</v>
      </c>
      <c r="M834" s="2" t="str">
        <f t="shared" ref="M834:M897" si="13">IF(K834&gt;=95,"Eligible","Not Eligible")</f>
        <v>Not Eligible</v>
      </c>
    </row>
    <row r="835" spans="1:13" hidden="1" x14ac:dyDescent="0.25">
      <c r="A835" s="5" t="s">
        <v>996</v>
      </c>
      <c r="B835" s="2" t="str">
        <f>VLOOKUP(A835,Table3[#All],2,FALSE)</f>
        <v>Anitha</v>
      </c>
      <c r="C835" s="2" t="str">
        <f>VLOOKUP(A835,Table3[#All],3,FALSE)</f>
        <v>Finance</v>
      </c>
      <c r="D835" s="2">
        <f>VLOOKUP(A835,Table3[#All],4,FALSE)</f>
        <v>35</v>
      </c>
      <c r="E835" s="2" t="str">
        <f>VLOOKUP(A835,Table3[#All],5,FALSE)</f>
        <v>Male</v>
      </c>
      <c r="F835" s="2">
        <f>VLOOKUP(A835,Table3[#All],6,FALSE)</f>
        <v>6</v>
      </c>
      <c r="G835" s="2">
        <f>VLOOKUP(A835,Table3[#All],7,FALSE)</f>
        <v>70256</v>
      </c>
      <c r="H835" s="2">
        <f>VLOOKUP(A835,Table3[#All],8,FALSE)</f>
        <v>4</v>
      </c>
      <c r="I835" s="2">
        <f>VLOOKUP(A835,Table3[#All],9,FALSE)</f>
        <v>40</v>
      </c>
      <c r="J835" s="2">
        <f>VLOOKUP(A835,Table3[#All],10,FALSE)</f>
        <v>5</v>
      </c>
      <c r="K835" s="2">
        <f>VLOOKUP(A835,Table3[#All],11,FALSE)</f>
        <v>87</v>
      </c>
      <c r="L835" s="2" t="str">
        <f>VLOOKUP(A835,Table3[#All],12,FALSE)</f>
        <v>Mumbai</v>
      </c>
      <c r="M835" s="2" t="str">
        <f t="shared" si="13"/>
        <v>Not Eligible</v>
      </c>
    </row>
    <row r="836" spans="1:13" hidden="1" x14ac:dyDescent="0.25">
      <c r="A836" s="5" t="s">
        <v>878</v>
      </c>
      <c r="B836" s="2" t="str">
        <f>VLOOKUP(A836,Table3[#All],2,FALSE)</f>
        <v>Ravi</v>
      </c>
      <c r="C836" s="2" t="str">
        <f>VLOOKUP(A836,Table3[#All],3,FALSE)</f>
        <v>IT</v>
      </c>
      <c r="D836" s="2">
        <f>VLOOKUP(A836,Table3[#All],4,FALSE)</f>
        <v>39</v>
      </c>
      <c r="E836" s="2" t="str">
        <f>VLOOKUP(A836,Table3[#All],5,FALSE)</f>
        <v>Male</v>
      </c>
      <c r="F836" s="2">
        <f>VLOOKUP(A836,Table3[#All],6,FALSE)</f>
        <v>4</v>
      </c>
      <c r="G836" s="2">
        <f>VLOOKUP(A836,Table3[#All],7,FALSE)</f>
        <v>42304</v>
      </c>
      <c r="H836" s="2">
        <f>VLOOKUP(A836,Table3[#All],8,FALSE)</f>
        <v>7</v>
      </c>
      <c r="I836" s="2">
        <f>VLOOKUP(A836,Table3[#All],9,FALSE)</f>
        <v>45</v>
      </c>
      <c r="J836" s="2">
        <f>VLOOKUP(A836,Table3[#All],10,FALSE)</f>
        <v>1</v>
      </c>
      <c r="K836" s="2">
        <f>VLOOKUP(A836,Table3[#All],11,FALSE)</f>
        <v>93</v>
      </c>
      <c r="L836" s="2" t="str">
        <f>VLOOKUP(A836,Table3[#All],12,FALSE)</f>
        <v>Bangalore</v>
      </c>
      <c r="M836" s="2" t="str">
        <f t="shared" si="13"/>
        <v>Not Eligible</v>
      </c>
    </row>
    <row r="837" spans="1:13" hidden="1" x14ac:dyDescent="0.25">
      <c r="A837" s="6" t="s">
        <v>357</v>
      </c>
      <c r="B837" s="2" t="str">
        <f>VLOOKUP(A837,Table3[#All],2,FALSE)</f>
        <v>Vijay</v>
      </c>
      <c r="C837" s="2" t="str">
        <f>VLOOKUP(A837,Table3[#All],3,FALSE)</f>
        <v>Finance</v>
      </c>
      <c r="D837" s="2">
        <f>VLOOKUP(A837,Table3[#All],4,FALSE)</f>
        <v>25</v>
      </c>
      <c r="E837" s="2" t="str">
        <f>VLOOKUP(A837,Table3[#All],5,FALSE)</f>
        <v>Female</v>
      </c>
      <c r="F837" s="2">
        <f>VLOOKUP(A837,Table3[#All],6,FALSE)</f>
        <v>13</v>
      </c>
      <c r="G837" s="2">
        <f>VLOOKUP(A837,Table3[#All],7,FALSE)</f>
        <v>70293</v>
      </c>
      <c r="H837" s="2">
        <f>VLOOKUP(A837,Table3[#All],8,FALSE)</f>
        <v>9</v>
      </c>
      <c r="I837" s="2">
        <f>VLOOKUP(A837,Table3[#All],9,FALSE)</f>
        <v>48</v>
      </c>
      <c r="J837" s="2">
        <f>VLOOKUP(A837,Table3[#All],10,FALSE)</f>
        <v>4</v>
      </c>
      <c r="K837" s="2">
        <f>VLOOKUP(A837,Table3[#All],11,FALSE)</f>
        <v>100</v>
      </c>
      <c r="L837" s="2" t="str">
        <f>VLOOKUP(A837,Table3[#All],12,FALSE)</f>
        <v>Pune</v>
      </c>
      <c r="M837" s="2" t="str">
        <f t="shared" si="13"/>
        <v>Eligible</v>
      </c>
    </row>
    <row r="838" spans="1:13" x14ac:dyDescent="0.25">
      <c r="A838" s="5" t="s">
        <v>200</v>
      </c>
      <c r="B838" s="2" t="str">
        <f>VLOOKUP(A838,Table3[#All],2,FALSE)</f>
        <v>Lakshmi</v>
      </c>
      <c r="C838" s="2" t="str">
        <f>VLOOKUP(A838,Table3[#All],3,FALSE)</f>
        <v>Sales</v>
      </c>
      <c r="D838" s="2">
        <f>VLOOKUP(A838,Table3[#All],4,FALSE)</f>
        <v>35</v>
      </c>
      <c r="E838" s="2" t="str">
        <f>VLOOKUP(A838,Table3[#All],5,FALSE)</f>
        <v>Male</v>
      </c>
      <c r="F838" s="2">
        <f>VLOOKUP(A838,Table3[#All],6,FALSE)</f>
        <v>7</v>
      </c>
      <c r="G838" s="2">
        <f>VLOOKUP(A838,Table3[#All],7,FALSE)</f>
        <v>70317</v>
      </c>
      <c r="H838" s="2">
        <f>VLOOKUP(A838,Table3[#All],8,FALSE)</f>
        <v>15</v>
      </c>
      <c r="I838" s="2">
        <f>VLOOKUP(A838,Table3[#All],9,FALSE)</f>
        <v>49</v>
      </c>
      <c r="J838" s="2">
        <f>VLOOKUP(A838,Table3[#All],10,FALSE)</f>
        <v>2</v>
      </c>
      <c r="K838" s="2">
        <f>VLOOKUP(A838,Table3[#All],11,FALSE)</f>
        <v>94</v>
      </c>
      <c r="L838" s="2" t="str">
        <f>VLOOKUP(A838,Table3[#All],12,FALSE)</f>
        <v>Hyderabad</v>
      </c>
      <c r="M838" s="2" t="str">
        <f t="shared" si="13"/>
        <v>Not Eligible</v>
      </c>
    </row>
    <row r="839" spans="1:13" hidden="1" x14ac:dyDescent="0.25">
      <c r="A839" s="6" t="s">
        <v>241</v>
      </c>
      <c r="B839" s="2" t="str">
        <f>VLOOKUP(A839,Table3[#All],2,FALSE)</f>
        <v>Divya</v>
      </c>
      <c r="C839" s="2" t="str">
        <f>VLOOKUP(A839,Table3[#All],3,FALSE)</f>
        <v>Finance</v>
      </c>
      <c r="D839" s="2">
        <f>VLOOKUP(A839,Table3[#All],4,FALSE)</f>
        <v>29</v>
      </c>
      <c r="E839" s="2" t="str">
        <f>VLOOKUP(A839,Table3[#All],5,FALSE)</f>
        <v>Female</v>
      </c>
      <c r="F839" s="2">
        <f>VLOOKUP(A839,Table3[#All],6,FALSE)</f>
        <v>10</v>
      </c>
      <c r="G839" s="2">
        <f>VLOOKUP(A839,Table3[#All],7,FALSE)</f>
        <v>70340</v>
      </c>
      <c r="H839" s="2">
        <f>VLOOKUP(A839,Table3[#All],8,FALSE)</f>
        <v>6</v>
      </c>
      <c r="I839" s="2">
        <f>VLOOKUP(A839,Table3[#All],9,FALSE)</f>
        <v>42</v>
      </c>
      <c r="J839" s="2">
        <f>VLOOKUP(A839,Table3[#All],10,FALSE)</f>
        <v>5</v>
      </c>
      <c r="K839" s="2">
        <f>VLOOKUP(A839,Table3[#All],11,FALSE)</f>
        <v>89</v>
      </c>
      <c r="L839" s="2" t="str">
        <f>VLOOKUP(A839,Table3[#All],12,FALSE)</f>
        <v>Mumbai</v>
      </c>
      <c r="M839" s="2" t="str">
        <f t="shared" si="13"/>
        <v>Not Eligible</v>
      </c>
    </row>
    <row r="840" spans="1:13" hidden="1" x14ac:dyDescent="0.25">
      <c r="A840" s="5" t="s">
        <v>882</v>
      </c>
      <c r="B840" s="2" t="str">
        <f>VLOOKUP(A840,Table3[#All],2,FALSE)</f>
        <v>Sanjay</v>
      </c>
      <c r="C840" s="2" t="str">
        <f>VLOOKUP(A840,Table3[#All],3,FALSE)</f>
        <v>IT</v>
      </c>
      <c r="D840" s="2">
        <f>VLOOKUP(A840,Table3[#All],4,FALSE)</f>
        <v>23</v>
      </c>
      <c r="E840" s="2" t="str">
        <f>VLOOKUP(A840,Table3[#All],5,FALSE)</f>
        <v>Male</v>
      </c>
      <c r="F840" s="2">
        <f>VLOOKUP(A840,Table3[#All],6,FALSE)</f>
        <v>3</v>
      </c>
      <c r="G840" s="2">
        <f>VLOOKUP(A840,Table3[#All],7,FALSE)</f>
        <v>68014</v>
      </c>
      <c r="H840" s="2">
        <f>VLOOKUP(A840,Table3[#All],8,FALSE)</f>
        <v>8</v>
      </c>
      <c r="I840" s="2">
        <f>VLOOKUP(A840,Table3[#All],9,FALSE)</f>
        <v>38</v>
      </c>
      <c r="J840" s="2">
        <f>VLOOKUP(A840,Table3[#All],10,FALSE)</f>
        <v>2</v>
      </c>
      <c r="K840" s="2">
        <f>VLOOKUP(A840,Table3[#All],11,FALSE)</f>
        <v>98</v>
      </c>
      <c r="L840" s="2" t="str">
        <f>VLOOKUP(A840,Table3[#All],12,FALSE)</f>
        <v>Bangalore</v>
      </c>
      <c r="M840" s="2" t="str">
        <f t="shared" si="13"/>
        <v>Eligible</v>
      </c>
    </row>
    <row r="841" spans="1:13" x14ac:dyDescent="0.25">
      <c r="A841" s="5" t="s">
        <v>236</v>
      </c>
      <c r="B841" s="2" t="str">
        <f>VLOOKUP(A841,Table3[#All],2,FALSE)</f>
        <v>Vijay</v>
      </c>
      <c r="C841" s="2" t="str">
        <f>VLOOKUP(A841,Table3[#All],3,FALSE)</f>
        <v>Sales</v>
      </c>
      <c r="D841" s="2">
        <f>VLOOKUP(A841,Table3[#All],4,FALSE)</f>
        <v>38</v>
      </c>
      <c r="E841" s="2" t="str">
        <f>VLOOKUP(A841,Table3[#All],5,FALSE)</f>
        <v>Female</v>
      </c>
      <c r="F841" s="2">
        <f>VLOOKUP(A841,Table3[#All],6,FALSE)</f>
        <v>8</v>
      </c>
      <c r="G841" s="2">
        <f>VLOOKUP(A841,Table3[#All],7,FALSE)</f>
        <v>70483</v>
      </c>
      <c r="H841" s="2">
        <f>VLOOKUP(A841,Table3[#All],8,FALSE)</f>
        <v>10</v>
      </c>
      <c r="I841" s="2">
        <f>VLOOKUP(A841,Table3[#All],9,FALSE)</f>
        <v>41</v>
      </c>
      <c r="J841" s="2">
        <f>VLOOKUP(A841,Table3[#All],10,FALSE)</f>
        <v>5</v>
      </c>
      <c r="K841" s="2">
        <f>VLOOKUP(A841,Table3[#All],11,FALSE)</f>
        <v>97</v>
      </c>
      <c r="L841" s="2" t="str">
        <f>VLOOKUP(A841,Table3[#All],12,FALSE)</f>
        <v>Chennai</v>
      </c>
      <c r="M841" s="2" t="str">
        <f t="shared" si="13"/>
        <v>Eligible</v>
      </c>
    </row>
    <row r="842" spans="1:13" hidden="1" x14ac:dyDescent="0.25">
      <c r="A842" s="5" t="s">
        <v>884</v>
      </c>
      <c r="B842" s="2" t="str">
        <f>VLOOKUP(A842,Table3[#All],2,FALSE)</f>
        <v>Vijay</v>
      </c>
      <c r="C842" s="2" t="str">
        <f>VLOOKUP(A842,Table3[#All],3,FALSE)</f>
        <v>IT</v>
      </c>
      <c r="D842" s="2">
        <f>VLOOKUP(A842,Table3[#All],4,FALSE)</f>
        <v>24</v>
      </c>
      <c r="E842" s="2" t="str">
        <f>VLOOKUP(A842,Table3[#All],5,FALSE)</f>
        <v>Female</v>
      </c>
      <c r="F842" s="2">
        <f>VLOOKUP(A842,Table3[#All],6,FALSE)</f>
        <v>1</v>
      </c>
      <c r="G842" s="2">
        <f>VLOOKUP(A842,Table3[#All],7,FALSE)</f>
        <v>44268</v>
      </c>
      <c r="H842" s="2">
        <f>VLOOKUP(A842,Table3[#All],8,FALSE)</f>
        <v>3</v>
      </c>
      <c r="I842" s="2">
        <f>VLOOKUP(A842,Table3[#All],9,FALSE)</f>
        <v>36</v>
      </c>
      <c r="J842" s="2">
        <f>VLOOKUP(A842,Table3[#All],10,FALSE)</f>
        <v>3</v>
      </c>
      <c r="K842" s="2">
        <f>VLOOKUP(A842,Table3[#All],11,FALSE)</f>
        <v>88</v>
      </c>
      <c r="L842" s="2" t="str">
        <f>VLOOKUP(A842,Table3[#All],12,FALSE)</f>
        <v>Pune</v>
      </c>
      <c r="M842" s="2" t="str">
        <f t="shared" si="13"/>
        <v>Not Eligible</v>
      </c>
    </row>
    <row r="843" spans="1:13" hidden="1" x14ac:dyDescent="0.25">
      <c r="A843" s="6" t="s">
        <v>645</v>
      </c>
      <c r="B843" s="2" t="str">
        <f>VLOOKUP(A843,Table3[#All],2,FALSE)</f>
        <v>Vijay</v>
      </c>
      <c r="C843" s="2" t="str">
        <f>VLOOKUP(A843,Table3[#All],3,FALSE)</f>
        <v>Finance</v>
      </c>
      <c r="D843" s="2">
        <f>VLOOKUP(A843,Table3[#All],4,FALSE)</f>
        <v>40</v>
      </c>
      <c r="E843" s="2" t="str">
        <f>VLOOKUP(A843,Table3[#All],5,FALSE)</f>
        <v>Female</v>
      </c>
      <c r="F843" s="2">
        <f>VLOOKUP(A843,Table3[#All],6,FALSE)</f>
        <v>7</v>
      </c>
      <c r="G843" s="2">
        <f>VLOOKUP(A843,Table3[#All],7,FALSE)</f>
        <v>70483</v>
      </c>
      <c r="H843" s="2">
        <f>VLOOKUP(A843,Table3[#All],8,FALSE)</f>
        <v>14</v>
      </c>
      <c r="I843" s="2">
        <f>VLOOKUP(A843,Table3[#All],9,FALSE)</f>
        <v>43</v>
      </c>
      <c r="J843" s="2">
        <f>VLOOKUP(A843,Table3[#All],10,FALSE)</f>
        <v>2</v>
      </c>
      <c r="K843" s="2">
        <f>VLOOKUP(A843,Table3[#All],11,FALSE)</f>
        <v>88</v>
      </c>
      <c r="L843" s="2" t="str">
        <f>VLOOKUP(A843,Table3[#All],12,FALSE)</f>
        <v>Hyderabad</v>
      </c>
      <c r="M843" s="2" t="str">
        <f t="shared" si="13"/>
        <v>Not Eligible</v>
      </c>
    </row>
    <row r="844" spans="1:13" hidden="1" x14ac:dyDescent="0.25">
      <c r="A844" s="5" t="s">
        <v>960</v>
      </c>
      <c r="B844" s="2" t="str">
        <f>VLOOKUP(A844,Table3[#All],2,FALSE)</f>
        <v>Sneha</v>
      </c>
      <c r="C844" s="2" t="str">
        <f>VLOOKUP(A844,Table3[#All],3,FALSE)</f>
        <v>Sales</v>
      </c>
      <c r="D844" s="2">
        <f>VLOOKUP(A844,Table3[#All],4,FALSE)</f>
        <v>39</v>
      </c>
      <c r="E844" s="2" t="str">
        <f>VLOOKUP(A844,Table3[#All],5,FALSE)</f>
        <v>Male</v>
      </c>
      <c r="F844" s="2">
        <f>VLOOKUP(A844,Table3[#All],6,FALSE)</f>
        <v>11</v>
      </c>
      <c r="G844" s="2">
        <f>VLOOKUP(A844,Table3[#All],7,FALSE)</f>
        <v>70671</v>
      </c>
      <c r="H844" s="2">
        <f>VLOOKUP(A844,Table3[#All],8,FALSE)</f>
        <v>12</v>
      </c>
      <c r="I844" s="2">
        <f>VLOOKUP(A844,Table3[#All],9,FALSE)</f>
        <v>46</v>
      </c>
      <c r="J844" s="2">
        <f>VLOOKUP(A844,Table3[#All],10,FALSE)</f>
        <v>2</v>
      </c>
      <c r="K844" s="2">
        <f>VLOOKUP(A844,Table3[#All],11,FALSE)</f>
        <v>85</v>
      </c>
      <c r="L844" s="2" t="str">
        <f>VLOOKUP(A844,Table3[#All],12,FALSE)</f>
        <v>Bangalore</v>
      </c>
      <c r="M844" s="2" t="str">
        <f t="shared" si="13"/>
        <v>Not Eligible</v>
      </c>
    </row>
    <row r="845" spans="1:13" hidden="1" x14ac:dyDescent="0.25">
      <c r="A845" s="6" t="s">
        <v>887</v>
      </c>
      <c r="B845" s="2" t="str">
        <f>VLOOKUP(A845,Table3[#All],2,FALSE)</f>
        <v>Meena</v>
      </c>
      <c r="C845" s="2" t="str">
        <f>VLOOKUP(A845,Table3[#All],3,FALSE)</f>
        <v>IT</v>
      </c>
      <c r="D845" s="2">
        <f>VLOOKUP(A845,Table3[#All],4,FALSE)</f>
        <v>27</v>
      </c>
      <c r="E845" s="2" t="str">
        <f>VLOOKUP(A845,Table3[#All],5,FALSE)</f>
        <v>Male</v>
      </c>
      <c r="F845" s="2">
        <f>VLOOKUP(A845,Table3[#All],6,FALSE)</f>
        <v>4</v>
      </c>
      <c r="G845" s="2">
        <f>VLOOKUP(A845,Table3[#All],7,FALSE)</f>
        <v>66701</v>
      </c>
      <c r="H845" s="2">
        <f>VLOOKUP(A845,Table3[#All],8,FALSE)</f>
        <v>6</v>
      </c>
      <c r="I845" s="2">
        <f>VLOOKUP(A845,Table3[#All],9,FALSE)</f>
        <v>45</v>
      </c>
      <c r="J845" s="2">
        <f>VLOOKUP(A845,Table3[#All],10,FALSE)</f>
        <v>1</v>
      </c>
      <c r="K845" s="2">
        <f>VLOOKUP(A845,Table3[#All],11,FALSE)</f>
        <v>97</v>
      </c>
      <c r="L845" s="2" t="str">
        <f>VLOOKUP(A845,Table3[#All],12,FALSE)</f>
        <v>Delhi</v>
      </c>
      <c r="M845" s="2" t="str">
        <f t="shared" si="13"/>
        <v>Eligible</v>
      </c>
    </row>
    <row r="846" spans="1:13" x14ac:dyDescent="0.25">
      <c r="A846" s="5" t="s">
        <v>33</v>
      </c>
      <c r="B846" s="2" t="str">
        <f>VLOOKUP(A846,Table3[#All],2,FALSE)</f>
        <v>Sneha</v>
      </c>
      <c r="C846" s="2" t="str">
        <f>VLOOKUP(A846,Table3[#All],3,FALSE)</f>
        <v>Sales</v>
      </c>
      <c r="D846" s="2">
        <f>VLOOKUP(A846,Table3[#All],4,FALSE)</f>
        <v>36</v>
      </c>
      <c r="E846" s="2" t="str">
        <f>VLOOKUP(A846,Table3[#All],5,FALSE)</f>
        <v>Female</v>
      </c>
      <c r="F846" s="2">
        <f>VLOOKUP(A846,Table3[#All],6,FALSE)</f>
        <v>7</v>
      </c>
      <c r="G846" s="2">
        <f>VLOOKUP(A846,Table3[#All],7,FALSE)</f>
        <v>70701</v>
      </c>
      <c r="H846" s="2">
        <f>VLOOKUP(A846,Table3[#All],8,FALSE)</f>
        <v>13</v>
      </c>
      <c r="I846" s="2">
        <f>VLOOKUP(A846,Table3[#All],9,FALSE)</f>
        <v>36</v>
      </c>
      <c r="J846" s="2">
        <f>VLOOKUP(A846,Table3[#All],10,FALSE)</f>
        <v>2</v>
      </c>
      <c r="K846" s="2">
        <f>VLOOKUP(A846,Table3[#All],11,FALSE)</f>
        <v>96</v>
      </c>
      <c r="L846" s="2" t="str">
        <f>VLOOKUP(A846,Table3[#All],12,FALSE)</f>
        <v>Chennai</v>
      </c>
      <c r="M846" s="2" t="str">
        <f t="shared" si="13"/>
        <v>Eligible</v>
      </c>
    </row>
    <row r="847" spans="1:13" hidden="1" x14ac:dyDescent="0.25">
      <c r="A847" s="5" t="s">
        <v>1022</v>
      </c>
      <c r="B847" s="2" t="str">
        <f>VLOOKUP(A847,Table3[#All],2,FALSE)</f>
        <v>Ravi</v>
      </c>
      <c r="C847" s="2" t="str">
        <f>VLOOKUP(A847,Table3[#All],3,FALSE)</f>
        <v>Finance</v>
      </c>
      <c r="D847" s="2">
        <f>VLOOKUP(A847,Table3[#All],4,FALSE)</f>
        <v>32</v>
      </c>
      <c r="E847" s="2" t="str">
        <f>VLOOKUP(A847,Table3[#All],5,FALSE)</f>
        <v>Male</v>
      </c>
      <c r="F847" s="2">
        <f>VLOOKUP(A847,Table3[#All],6,FALSE)</f>
        <v>13</v>
      </c>
      <c r="G847" s="2">
        <f>VLOOKUP(A847,Table3[#All],7,FALSE)</f>
        <v>70733</v>
      </c>
      <c r="H847" s="2">
        <f>VLOOKUP(A847,Table3[#All],8,FALSE)</f>
        <v>6</v>
      </c>
      <c r="I847" s="2">
        <f>VLOOKUP(A847,Table3[#All],9,FALSE)</f>
        <v>35</v>
      </c>
      <c r="J847" s="2">
        <f>VLOOKUP(A847,Table3[#All],10,FALSE)</f>
        <v>4</v>
      </c>
      <c r="K847" s="2">
        <f>VLOOKUP(A847,Table3[#All],11,FALSE)</f>
        <v>93</v>
      </c>
      <c r="L847" s="2" t="str">
        <f>VLOOKUP(A847,Table3[#All],12,FALSE)</f>
        <v>Pune</v>
      </c>
      <c r="M847" s="2" t="str">
        <f t="shared" si="13"/>
        <v>Not Eligible</v>
      </c>
    </row>
    <row r="848" spans="1:13" hidden="1" x14ac:dyDescent="0.25">
      <c r="A848" s="5" t="s">
        <v>98</v>
      </c>
      <c r="B848" s="2" t="str">
        <f>VLOOKUP(A848,Table3[#All],2,FALSE)</f>
        <v>Deepa</v>
      </c>
      <c r="C848" s="2" t="str">
        <f>VLOOKUP(A848,Table3[#All],3,FALSE)</f>
        <v>IT</v>
      </c>
      <c r="D848" s="2">
        <f>VLOOKUP(A848,Table3[#All],4,FALSE)</f>
        <v>36</v>
      </c>
      <c r="E848" s="2" t="str">
        <f>VLOOKUP(A848,Table3[#All],5,FALSE)</f>
        <v>Male</v>
      </c>
      <c r="F848" s="2">
        <f>VLOOKUP(A848,Table3[#All],6,FALSE)</f>
        <v>9</v>
      </c>
      <c r="G848" s="2">
        <f>VLOOKUP(A848,Table3[#All],7,FALSE)</f>
        <v>70767</v>
      </c>
      <c r="H848" s="2">
        <f>VLOOKUP(A848,Table3[#All],8,FALSE)</f>
        <v>8</v>
      </c>
      <c r="I848" s="2">
        <f>VLOOKUP(A848,Table3[#All],9,FALSE)</f>
        <v>44</v>
      </c>
      <c r="J848" s="2">
        <f>VLOOKUP(A848,Table3[#All],10,FALSE)</f>
        <v>3</v>
      </c>
      <c r="K848" s="2">
        <f>VLOOKUP(A848,Table3[#All],11,FALSE)</f>
        <v>90</v>
      </c>
      <c r="L848" s="2" t="str">
        <f>VLOOKUP(A848,Table3[#All],12,FALSE)</f>
        <v>Hyderabad</v>
      </c>
      <c r="M848" s="2" t="str">
        <f t="shared" si="13"/>
        <v>Not Eligible</v>
      </c>
    </row>
    <row r="849" spans="1:13" hidden="1" x14ac:dyDescent="0.25">
      <c r="A849" s="5" t="s">
        <v>216</v>
      </c>
      <c r="B849" s="2" t="str">
        <f>VLOOKUP(A849,Table3[#All],2,FALSE)</f>
        <v>Divya</v>
      </c>
      <c r="C849" s="2" t="str">
        <f>VLOOKUP(A849,Table3[#All],3,FALSE)</f>
        <v>IT</v>
      </c>
      <c r="D849" s="2">
        <f>VLOOKUP(A849,Table3[#All],4,FALSE)</f>
        <v>40</v>
      </c>
      <c r="E849" s="2" t="str">
        <f>VLOOKUP(A849,Table3[#All],5,FALSE)</f>
        <v>Male</v>
      </c>
      <c r="F849" s="2">
        <f>VLOOKUP(A849,Table3[#All],6,FALSE)</f>
        <v>11</v>
      </c>
      <c r="G849" s="2">
        <f>VLOOKUP(A849,Table3[#All],7,FALSE)</f>
        <v>70826</v>
      </c>
      <c r="H849" s="2">
        <f>VLOOKUP(A849,Table3[#All],8,FALSE)</f>
        <v>9</v>
      </c>
      <c r="I849" s="2">
        <f>VLOOKUP(A849,Table3[#All],9,FALSE)</f>
        <v>48</v>
      </c>
      <c r="J849" s="2">
        <f>VLOOKUP(A849,Table3[#All],10,FALSE)</f>
        <v>2</v>
      </c>
      <c r="K849" s="2">
        <f>VLOOKUP(A849,Table3[#All],11,FALSE)</f>
        <v>94</v>
      </c>
      <c r="L849" s="2" t="str">
        <f>VLOOKUP(A849,Table3[#All],12,FALSE)</f>
        <v>Mumbai</v>
      </c>
      <c r="M849" s="2" t="str">
        <f t="shared" si="13"/>
        <v>Not Eligible</v>
      </c>
    </row>
    <row r="850" spans="1:13" hidden="1" x14ac:dyDescent="0.25">
      <c r="A850" s="5" t="s">
        <v>892</v>
      </c>
      <c r="B850" s="2" t="str">
        <f>VLOOKUP(A850,Table3[#All],2,FALSE)</f>
        <v>Manoj</v>
      </c>
      <c r="C850" s="2" t="str">
        <f>VLOOKUP(A850,Table3[#All],3,FALSE)</f>
        <v>IT</v>
      </c>
      <c r="D850" s="2">
        <f>VLOOKUP(A850,Table3[#All],4,FALSE)</f>
        <v>38</v>
      </c>
      <c r="E850" s="2" t="str">
        <f>VLOOKUP(A850,Table3[#All],5,FALSE)</f>
        <v>Female</v>
      </c>
      <c r="F850" s="2">
        <f>VLOOKUP(A850,Table3[#All],6,FALSE)</f>
        <v>3</v>
      </c>
      <c r="G850" s="2">
        <f>VLOOKUP(A850,Table3[#All],7,FALSE)</f>
        <v>46069</v>
      </c>
      <c r="H850" s="2">
        <f>VLOOKUP(A850,Table3[#All],8,FALSE)</f>
        <v>12</v>
      </c>
      <c r="I850" s="2">
        <f>VLOOKUP(A850,Table3[#All],9,FALSE)</f>
        <v>45</v>
      </c>
      <c r="J850" s="2">
        <f>VLOOKUP(A850,Table3[#All],10,FALSE)</f>
        <v>1</v>
      </c>
      <c r="K850" s="2">
        <f>VLOOKUP(A850,Table3[#All],11,FALSE)</f>
        <v>85</v>
      </c>
      <c r="L850" s="2" t="str">
        <f>VLOOKUP(A850,Table3[#All],12,FALSE)</f>
        <v>Mumbai</v>
      </c>
      <c r="M850" s="2" t="str">
        <f t="shared" si="13"/>
        <v>Not Eligible</v>
      </c>
    </row>
    <row r="851" spans="1:13" x14ac:dyDescent="0.25">
      <c r="A851" s="5" t="s">
        <v>982</v>
      </c>
      <c r="B851" s="2" t="str">
        <f>VLOOKUP(A851,Table3[#All],2,FALSE)</f>
        <v>Manoj</v>
      </c>
      <c r="C851" s="2" t="str">
        <f>VLOOKUP(A851,Table3[#All],3,FALSE)</f>
        <v>Finance</v>
      </c>
      <c r="D851" s="2">
        <f>VLOOKUP(A851,Table3[#All],4,FALSE)</f>
        <v>37</v>
      </c>
      <c r="E851" s="2" t="str">
        <f>VLOOKUP(A851,Table3[#All],5,FALSE)</f>
        <v>Female</v>
      </c>
      <c r="F851" s="2">
        <f>VLOOKUP(A851,Table3[#All],6,FALSE)</f>
        <v>8</v>
      </c>
      <c r="G851" s="2">
        <f>VLOOKUP(A851,Table3[#All],7,FALSE)</f>
        <v>71183</v>
      </c>
      <c r="H851" s="2">
        <f>VLOOKUP(A851,Table3[#All],8,FALSE)</f>
        <v>11</v>
      </c>
      <c r="I851" s="2">
        <f>VLOOKUP(A851,Table3[#All],9,FALSE)</f>
        <v>39</v>
      </c>
      <c r="J851" s="2">
        <f>VLOOKUP(A851,Table3[#All],10,FALSE)</f>
        <v>1</v>
      </c>
      <c r="K851" s="2">
        <f>VLOOKUP(A851,Table3[#All],11,FALSE)</f>
        <v>100</v>
      </c>
      <c r="L851" s="2" t="str">
        <f>VLOOKUP(A851,Table3[#All],12,FALSE)</f>
        <v>Bangalore</v>
      </c>
      <c r="M851" s="2" t="str">
        <f t="shared" si="13"/>
        <v>Eligible</v>
      </c>
    </row>
    <row r="852" spans="1:13" hidden="1" x14ac:dyDescent="0.25">
      <c r="A852" s="6" t="s">
        <v>76</v>
      </c>
      <c r="B852" s="2" t="str">
        <f>VLOOKUP(A852,Table3[#All],2,FALSE)</f>
        <v>Priya</v>
      </c>
      <c r="C852" s="2" t="str">
        <f>VLOOKUP(A852,Table3[#All],3,FALSE)</f>
        <v>HR</v>
      </c>
      <c r="D852" s="2">
        <f>VLOOKUP(A852,Table3[#All],4,FALSE)</f>
        <v>39</v>
      </c>
      <c r="E852" s="2" t="str">
        <f>VLOOKUP(A852,Table3[#All],5,FALSE)</f>
        <v>Female</v>
      </c>
      <c r="F852" s="2">
        <f>VLOOKUP(A852,Table3[#All],6,FALSE)</f>
        <v>8</v>
      </c>
      <c r="G852" s="2">
        <f>VLOOKUP(A852,Table3[#All],7,FALSE)</f>
        <v>71215</v>
      </c>
      <c r="H852" s="2">
        <f>VLOOKUP(A852,Table3[#All],8,FALSE)</f>
        <v>7</v>
      </c>
      <c r="I852" s="2">
        <f>VLOOKUP(A852,Table3[#All],9,FALSE)</f>
        <v>41</v>
      </c>
      <c r="J852" s="2">
        <f>VLOOKUP(A852,Table3[#All],10,FALSE)</f>
        <v>4</v>
      </c>
      <c r="K852" s="2">
        <f>VLOOKUP(A852,Table3[#All],11,FALSE)</f>
        <v>86</v>
      </c>
      <c r="L852" s="2" t="str">
        <f>VLOOKUP(A852,Table3[#All],12,FALSE)</f>
        <v>Delhi</v>
      </c>
      <c r="M852" s="2" t="str">
        <f t="shared" si="13"/>
        <v>Not Eligible</v>
      </c>
    </row>
    <row r="853" spans="1:13" hidden="1" x14ac:dyDescent="0.25">
      <c r="A853" s="6" t="s">
        <v>895</v>
      </c>
      <c r="B853" s="2" t="str">
        <f>VLOOKUP(A853,Table3[#All],2,FALSE)</f>
        <v>Karthik</v>
      </c>
      <c r="C853" s="2" t="str">
        <f>VLOOKUP(A853,Table3[#All],3,FALSE)</f>
        <v>Sales</v>
      </c>
      <c r="D853" s="2">
        <f>VLOOKUP(A853,Table3[#All],4,FALSE)</f>
        <v>38</v>
      </c>
      <c r="E853" s="2" t="str">
        <f>VLOOKUP(A853,Table3[#All],5,FALSE)</f>
        <v>Female</v>
      </c>
      <c r="F853" s="2">
        <f>VLOOKUP(A853,Table3[#All],6,FALSE)</f>
        <v>2</v>
      </c>
      <c r="G853" s="2">
        <f>VLOOKUP(A853,Table3[#All],7,FALSE)</f>
        <v>62234</v>
      </c>
      <c r="H853" s="2">
        <f>VLOOKUP(A853,Table3[#All],8,FALSE)</f>
        <v>11</v>
      </c>
      <c r="I853" s="2">
        <f>VLOOKUP(A853,Table3[#All],9,FALSE)</f>
        <v>50</v>
      </c>
      <c r="J853" s="2">
        <f>VLOOKUP(A853,Table3[#All],10,FALSE)</f>
        <v>4</v>
      </c>
      <c r="K853" s="2">
        <f>VLOOKUP(A853,Table3[#All],11,FALSE)</f>
        <v>94</v>
      </c>
      <c r="L853" s="2" t="str">
        <f>VLOOKUP(A853,Table3[#All],12,FALSE)</f>
        <v>Chennai</v>
      </c>
      <c r="M853" s="2" t="str">
        <f t="shared" si="13"/>
        <v>Not Eligible</v>
      </c>
    </row>
    <row r="854" spans="1:13" hidden="1" x14ac:dyDescent="0.25">
      <c r="A854" s="5" t="s">
        <v>736</v>
      </c>
      <c r="B854" s="2" t="str">
        <f>VLOOKUP(A854,Table3[#All],2,FALSE)</f>
        <v>Hari</v>
      </c>
      <c r="C854" s="2" t="str">
        <f>VLOOKUP(A854,Table3[#All],3,FALSE)</f>
        <v>HR</v>
      </c>
      <c r="D854" s="2">
        <f>VLOOKUP(A854,Table3[#All],4,FALSE)</f>
        <v>22</v>
      </c>
      <c r="E854" s="2" t="str">
        <f>VLOOKUP(A854,Table3[#All],5,FALSE)</f>
        <v>Male</v>
      </c>
      <c r="F854" s="2">
        <f>VLOOKUP(A854,Table3[#All],6,FALSE)</f>
        <v>15</v>
      </c>
      <c r="G854" s="2">
        <f>VLOOKUP(A854,Table3[#All],7,FALSE)</f>
        <v>71226</v>
      </c>
      <c r="H854" s="2">
        <f>VLOOKUP(A854,Table3[#All],8,FALSE)</f>
        <v>5</v>
      </c>
      <c r="I854" s="2">
        <f>VLOOKUP(A854,Table3[#All],9,FALSE)</f>
        <v>36</v>
      </c>
      <c r="J854" s="2">
        <f>VLOOKUP(A854,Table3[#All],10,FALSE)</f>
        <v>1</v>
      </c>
      <c r="K854" s="2">
        <f>VLOOKUP(A854,Table3[#All],11,FALSE)</f>
        <v>98</v>
      </c>
      <c r="L854" s="2" t="str">
        <f>VLOOKUP(A854,Table3[#All],12,FALSE)</f>
        <v>Bangalore</v>
      </c>
      <c r="M854" s="2" t="str">
        <f t="shared" si="13"/>
        <v>Eligible</v>
      </c>
    </row>
    <row r="855" spans="1:13" hidden="1" x14ac:dyDescent="0.25">
      <c r="A855" s="6" t="s">
        <v>897</v>
      </c>
      <c r="B855" s="2" t="str">
        <f>VLOOKUP(A855,Table3[#All],2,FALSE)</f>
        <v>Divya</v>
      </c>
      <c r="C855" s="2" t="str">
        <f>VLOOKUP(A855,Table3[#All],3,FALSE)</f>
        <v>HR</v>
      </c>
      <c r="D855" s="2">
        <f>VLOOKUP(A855,Table3[#All],4,FALSE)</f>
        <v>30</v>
      </c>
      <c r="E855" s="2" t="str">
        <f>VLOOKUP(A855,Table3[#All],5,FALSE)</f>
        <v>Male</v>
      </c>
      <c r="F855" s="2">
        <f>VLOOKUP(A855,Table3[#All],6,FALSE)</f>
        <v>3</v>
      </c>
      <c r="G855" s="2">
        <f>VLOOKUP(A855,Table3[#All],7,FALSE)</f>
        <v>26438</v>
      </c>
      <c r="H855" s="2">
        <f>VLOOKUP(A855,Table3[#All],8,FALSE)</f>
        <v>14</v>
      </c>
      <c r="I855" s="2">
        <f>VLOOKUP(A855,Table3[#All],9,FALSE)</f>
        <v>48</v>
      </c>
      <c r="J855" s="2">
        <f>VLOOKUP(A855,Table3[#All],10,FALSE)</f>
        <v>3</v>
      </c>
      <c r="K855" s="2">
        <f>VLOOKUP(A855,Table3[#All],11,FALSE)</f>
        <v>94</v>
      </c>
      <c r="L855" s="2" t="str">
        <f>VLOOKUP(A855,Table3[#All],12,FALSE)</f>
        <v>Mumbai</v>
      </c>
      <c r="M855" s="2" t="str">
        <f t="shared" si="13"/>
        <v>Not Eligible</v>
      </c>
    </row>
    <row r="856" spans="1:13" x14ac:dyDescent="0.25">
      <c r="A856" s="6" t="s">
        <v>289</v>
      </c>
      <c r="B856" s="2" t="str">
        <f>VLOOKUP(A856,Table3[#All],2,FALSE)</f>
        <v>Karthik</v>
      </c>
      <c r="C856" s="2" t="str">
        <f>VLOOKUP(A856,Table3[#All],3,FALSE)</f>
        <v>Sales</v>
      </c>
      <c r="D856" s="2">
        <f>VLOOKUP(A856,Table3[#All],4,FALSE)</f>
        <v>27</v>
      </c>
      <c r="E856" s="2" t="str">
        <f>VLOOKUP(A856,Table3[#All],5,FALSE)</f>
        <v>Female</v>
      </c>
      <c r="F856" s="2">
        <f>VLOOKUP(A856,Table3[#All],6,FALSE)</f>
        <v>11</v>
      </c>
      <c r="G856" s="2">
        <f>VLOOKUP(A856,Table3[#All],7,FALSE)</f>
        <v>71265</v>
      </c>
      <c r="H856" s="2">
        <f>VLOOKUP(A856,Table3[#All],8,FALSE)</f>
        <v>11</v>
      </c>
      <c r="I856" s="2">
        <f>VLOOKUP(A856,Table3[#All],9,FALSE)</f>
        <v>47</v>
      </c>
      <c r="J856" s="2">
        <f>VLOOKUP(A856,Table3[#All],10,FALSE)</f>
        <v>3</v>
      </c>
      <c r="K856" s="2">
        <f>VLOOKUP(A856,Table3[#All],11,FALSE)</f>
        <v>91</v>
      </c>
      <c r="L856" s="2" t="str">
        <f>VLOOKUP(A856,Table3[#All],12,FALSE)</f>
        <v>Delhi</v>
      </c>
      <c r="M856" s="2" t="str">
        <f t="shared" si="13"/>
        <v>Not Eligible</v>
      </c>
    </row>
    <row r="857" spans="1:13" hidden="1" x14ac:dyDescent="0.25">
      <c r="A857" s="6" t="s">
        <v>757</v>
      </c>
      <c r="B857" s="2" t="str">
        <f>VLOOKUP(A857,Table3[#All],2,FALSE)</f>
        <v>Divya</v>
      </c>
      <c r="C857" s="2" t="str">
        <f>VLOOKUP(A857,Table3[#All],3,FALSE)</f>
        <v>HR</v>
      </c>
      <c r="D857" s="2">
        <f>VLOOKUP(A857,Table3[#All],4,FALSE)</f>
        <v>26</v>
      </c>
      <c r="E857" s="2" t="str">
        <f>VLOOKUP(A857,Table3[#All],5,FALSE)</f>
        <v>Female</v>
      </c>
      <c r="F857" s="2">
        <f>VLOOKUP(A857,Table3[#All],6,FALSE)</f>
        <v>12</v>
      </c>
      <c r="G857" s="2">
        <f>VLOOKUP(A857,Table3[#All],7,FALSE)</f>
        <v>71354</v>
      </c>
      <c r="H857" s="2">
        <f>VLOOKUP(A857,Table3[#All],8,FALSE)</f>
        <v>9</v>
      </c>
      <c r="I857" s="2">
        <f>VLOOKUP(A857,Table3[#All],9,FALSE)</f>
        <v>40</v>
      </c>
      <c r="J857" s="2">
        <f>VLOOKUP(A857,Table3[#All],10,FALSE)</f>
        <v>5</v>
      </c>
      <c r="K857" s="2">
        <f>VLOOKUP(A857,Table3[#All],11,FALSE)</f>
        <v>88</v>
      </c>
      <c r="L857" s="2" t="str">
        <f>VLOOKUP(A857,Table3[#All],12,FALSE)</f>
        <v>Hyderabad</v>
      </c>
      <c r="M857" s="2" t="str">
        <f t="shared" si="13"/>
        <v>Not Eligible</v>
      </c>
    </row>
    <row r="858" spans="1:13" hidden="1" x14ac:dyDescent="0.25">
      <c r="A858" s="5" t="s">
        <v>836</v>
      </c>
      <c r="B858" s="2" t="str">
        <f>VLOOKUP(A858,Table3[#All],2,FALSE)</f>
        <v>Manoj</v>
      </c>
      <c r="C858" s="2" t="str">
        <f>VLOOKUP(A858,Table3[#All],3,FALSE)</f>
        <v>Sales</v>
      </c>
      <c r="D858" s="2">
        <f>VLOOKUP(A858,Table3[#All],4,FALSE)</f>
        <v>22</v>
      </c>
      <c r="E858" s="2" t="str">
        <f>VLOOKUP(A858,Table3[#All],5,FALSE)</f>
        <v>Male</v>
      </c>
      <c r="F858" s="2">
        <f>VLOOKUP(A858,Table3[#All],6,FALSE)</f>
        <v>9</v>
      </c>
      <c r="G858" s="2">
        <f>VLOOKUP(A858,Table3[#All],7,FALSE)</f>
        <v>71429</v>
      </c>
      <c r="H858" s="2">
        <f>VLOOKUP(A858,Table3[#All],8,FALSE)</f>
        <v>6</v>
      </c>
      <c r="I858" s="2">
        <f>VLOOKUP(A858,Table3[#All],9,FALSE)</f>
        <v>39</v>
      </c>
      <c r="J858" s="2">
        <f>VLOOKUP(A858,Table3[#All],10,FALSE)</f>
        <v>1</v>
      </c>
      <c r="K858" s="2">
        <f>VLOOKUP(A858,Table3[#All],11,FALSE)</f>
        <v>100</v>
      </c>
      <c r="L858" s="2" t="str">
        <f>VLOOKUP(A858,Table3[#All],12,FALSE)</f>
        <v>Pune</v>
      </c>
      <c r="M858" s="2" t="str">
        <f t="shared" si="13"/>
        <v>Eligible</v>
      </c>
    </row>
    <row r="859" spans="1:13" x14ac:dyDescent="0.25">
      <c r="A859" s="6" t="s">
        <v>469</v>
      </c>
      <c r="B859" s="2" t="str">
        <f>VLOOKUP(A859,Table3[#All],2,FALSE)</f>
        <v>Nisha</v>
      </c>
      <c r="C859" s="2" t="str">
        <f>VLOOKUP(A859,Table3[#All],3,FALSE)</f>
        <v>Sales</v>
      </c>
      <c r="D859" s="2">
        <f>VLOOKUP(A859,Table3[#All],4,FALSE)</f>
        <v>38</v>
      </c>
      <c r="E859" s="2" t="str">
        <f>VLOOKUP(A859,Table3[#All],5,FALSE)</f>
        <v>Female</v>
      </c>
      <c r="F859" s="2">
        <f>VLOOKUP(A859,Table3[#All],6,FALSE)</f>
        <v>8</v>
      </c>
      <c r="G859" s="2">
        <f>VLOOKUP(A859,Table3[#All],7,FALSE)</f>
        <v>71490</v>
      </c>
      <c r="H859" s="2">
        <f>VLOOKUP(A859,Table3[#All],8,FALSE)</f>
        <v>11</v>
      </c>
      <c r="I859" s="2">
        <f>VLOOKUP(A859,Table3[#All],9,FALSE)</f>
        <v>46</v>
      </c>
      <c r="J859" s="2">
        <f>VLOOKUP(A859,Table3[#All],10,FALSE)</f>
        <v>1</v>
      </c>
      <c r="K859" s="2">
        <f>VLOOKUP(A859,Table3[#All],11,FALSE)</f>
        <v>94</v>
      </c>
      <c r="L859" s="2" t="str">
        <f>VLOOKUP(A859,Table3[#All],12,FALSE)</f>
        <v>Chennai</v>
      </c>
      <c r="M859" s="2" t="str">
        <f t="shared" si="13"/>
        <v>Not Eligible</v>
      </c>
    </row>
    <row r="860" spans="1:13" hidden="1" x14ac:dyDescent="0.25">
      <c r="A860" s="5" t="s">
        <v>750</v>
      </c>
      <c r="B860" s="2" t="str">
        <f>VLOOKUP(A860,Table3[#All],2,FALSE)</f>
        <v>Priya</v>
      </c>
      <c r="C860" s="2" t="str">
        <f>VLOOKUP(A860,Table3[#All],3,FALSE)</f>
        <v>Sales</v>
      </c>
      <c r="D860" s="2">
        <f>VLOOKUP(A860,Table3[#All],4,FALSE)</f>
        <v>30</v>
      </c>
      <c r="E860" s="2" t="str">
        <f>VLOOKUP(A860,Table3[#All],5,FALSE)</f>
        <v>Female</v>
      </c>
      <c r="F860" s="2">
        <f>VLOOKUP(A860,Table3[#All],6,FALSE)</f>
        <v>7</v>
      </c>
      <c r="G860" s="2">
        <f>VLOOKUP(A860,Table3[#All],7,FALSE)</f>
        <v>71560</v>
      </c>
      <c r="H860" s="2">
        <f>VLOOKUP(A860,Table3[#All],8,FALSE)</f>
        <v>6</v>
      </c>
      <c r="I860" s="2">
        <f>VLOOKUP(A860,Table3[#All],9,FALSE)</f>
        <v>44</v>
      </c>
      <c r="J860" s="2">
        <f>VLOOKUP(A860,Table3[#All],10,FALSE)</f>
        <v>5</v>
      </c>
      <c r="K860" s="2">
        <f>VLOOKUP(A860,Table3[#All],11,FALSE)</f>
        <v>92</v>
      </c>
      <c r="L860" s="2" t="str">
        <f>VLOOKUP(A860,Table3[#All],12,FALSE)</f>
        <v>Bangalore</v>
      </c>
      <c r="M860" s="2" t="str">
        <f t="shared" si="13"/>
        <v>Not Eligible</v>
      </c>
    </row>
    <row r="861" spans="1:13" hidden="1" x14ac:dyDescent="0.25">
      <c r="A861" s="5" t="s">
        <v>166</v>
      </c>
      <c r="B861" s="2" t="str">
        <f>VLOOKUP(A861,Table3[#All],2,FALSE)</f>
        <v>Deepa</v>
      </c>
      <c r="C861" s="2" t="str">
        <f>VLOOKUP(A861,Table3[#All],3,FALSE)</f>
        <v>IT</v>
      </c>
      <c r="D861" s="2">
        <f>VLOOKUP(A861,Table3[#All],4,FALSE)</f>
        <v>31</v>
      </c>
      <c r="E861" s="2" t="str">
        <f>VLOOKUP(A861,Table3[#All],5,FALSE)</f>
        <v>Female</v>
      </c>
      <c r="F861" s="2">
        <f>VLOOKUP(A861,Table3[#All],6,FALSE)</f>
        <v>9</v>
      </c>
      <c r="G861" s="2">
        <f>VLOOKUP(A861,Table3[#All],7,FALSE)</f>
        <v>71640</v>
      </c>
      <c r="H861" s="2">
        <f>VLOOKUP(A861,Table3[#All],8,FALSE)</f>
        <v>11</v>
      </c>
      <c r="I861" s="2">
        <f>VLOOKUP(A861,Table3[#All],9,FALSE)</f>
        <v>47</v>
      </c>
      <c r="J861" s="2">
        <f>VLOOKUP(A861,Table3[#All],10,FALSE)</f>
        <v>3</v>
      </c>
      <c r="K861" s="2">
        <f>VLOOKUP(A861,Table3[#All],11,FALSE)</f>
        <v>87</v>
      </c>
      <c r="L861" s="2" t="str">
        <f>VLOOKUP(A861,Table3[#All],12,FALSE)</f>
        <v>Delhi</v>
      </c>
      <c r="M861" s="2" t="str">
        <f t="shared" si="13"/>
        <v>Not Eligible</v>
      </c>
    </row>
    <row r="862" spans="1:13" hidden="1" x14ac:dyDescent="0.25">
      <c r="A862" s="5" t="s">
        <v>904</v>
      </c>
      <c r="B862" s="2" t="str">
        <f>VLOOKUP(A862,Table3[#All],2,FALSE)</f>
        <v>Anitha</v>
      </c>
      <c r="C862" s="2" t="str">
        <f>VLOOKUP(A862,Table3[#All],3,FALSE)</f>
        <v>IT</v>
      </c>
      <c r="D862" s="2">
        <f>VLOOKUP(A862,Table3[#All],4,FALSE)</f>
        <v>24</v>
      </c>
      <c r="E862" s="2" t="str">
        <f>VLOOKUP(A862,Table3[#All],5,FALSE)</f>
        <v>Male</v>
      </c>
      <c r="F862" s="2">
        <f>VLOOKUP(A862,Table3[#All],6,FALSE)</f>
        <v>2</v>
      </c>
      <c r="G862" s="2">
        <f>VLOOKUP(A862,Table3[#All],7,FALSE)</f>
        <v>62648</v>
      </c>
      <c r="H862" s="2">
        <f>VLOOKUP(A862,Table3[#All],8,FALSE)</f>
        <v>3</v>
      </c>
      <c r="I862" s="2">
        <f>VLOOKUP(A862,Table3[#All],9,FALSE)</f>
        <v>43</v>
      </c>
      <c r="J862" s="2">
        <f>VLOOKUP(A862,Table3[#All],10,FALSE)</f>
        <v>2</v>
      </c>
      <c r="K862" s="2">
        <f>VLOOKUP(A862,Table3[#All],11,FALSE)</f>
        <v>87</v>
      </c>
      <c r="L862" s="2" t="str">
        <f>VLOOKUP(A862,Table3[#All],12,FALSE)</f>
        <v>Delhi</v>
      </c>
      <c r="M862" s="2" t="str">
        <f t="shared" si="13"/>
        <v>Not Eligible</v>
      </c>
    </row>
    <row r="863" spans="1:13" hidden="1" x14ac:dyDescent="0.25">
      <c r="A863" s="6" t="s">
        <v>905</v>
      </c>
      <c r="B863" s="2" t="str">
        <f>VLOOKUP(A863,Table3[#All],2,FALSE)</f>
        <v>Nisha</v>
      </c>
      <c r="C863" s="2" t="str">
        <f>VLOOKUP(A863,Table3[#All],3,FALSE)</f>
        <v>HR</v>
      </c>
      <c r="D863" s="2">
        <f>VLOOKUP(A863,Table3[#All],4,FALSE)</f>
        <v>40</v>
      </c>
      <c r="E863" s="2" t="str">
        <f>VLOOKUP(A863,Table3[#All],5,FALSE)</f>
        <v>Male</v>
      </c>
      <c r="F863" s="2">
        <f>VLOOKUP(A863,Table3[#All],6,FALSE)</f>
        <v>4</v>
      </c>
      <c r="G863" s="2">
        <f>VLOOKUP(A863,Table3[#All],7,FALSE)</f>
        <v>38931</v>
      </c>
      <c r="H863" s="2">
        <f>VLOOKUP(A863,Table3[#All],8,FALSE)</f>
        <v>15</v>
      </c>
      <c r="I863" s="2">
        <f>VLOOKUP(A863,Table3[#All],9,FALSE)</f>
        <v>48</v>
      </c>
      <c r="J863" s="2">
        <f>VLOOKUP(A863,Table3[#All],10,FALSE)</f>
        <v>5</v>
      </c>
      <c r="K863" s="2">
        <f>VLOOKUP(A863,Table3[#All],11,FALSE)</f>
        <v>91</v>
      </c>
      <c r="L863" s="2" t="str">
        <f>VLOOKUP(A863,Table3[#All],12,FALSE)</f>
        <v>Chennai</v>
      </c>
      <c r="M863" s="2" t="str">
        <f t="shared" si="13"/>
        <v>Not Eligible</v>
      </c>
    </row>
    <row r="864" spans="1:13" hidden="1" x14ac:dyDescent="0.25">
      <c r="A864" s="6" t="s">
        <v>775</v>
      </c>
      <c r="B864" s="2" t="str">
        <f>VLOOKUP(A864,Table3[#All],2,FALSE)</f>
        <v>Nisha</v>
      </c>
      <c r="C864" s="2" t="str">
        <f>VLOOKUP(A864,Table3[#All],3,FALSE)</f>
        <v>Finance</v>
      </c>
      <c r="D864" s="2">
        <f>VLOOKUP(A864,Table3[#All],4,FALSE)</f>
        <v>31</v>
      </c>
      <c r="E864" s="2" t="str">
        <f>VLOOKUP(A864,Table3[#All],5,FALSE)</f>
        <v>Male</v>
      </c>
      <c r="F864" s="2">
        <f>VLOOKUP(A864,Table3[#All],6,FALSE)</f>
        <v>12</v>
      </c>
      <c r="G864" s="2">
        <f>VLOOKUP(A864,Table3[#All],7,FALSE)</f>
        <v>71700</v>
      </c>
      <c r="H864" s="2">
        <f>VLOOKUP(A864,Table3[#All],8,FALSE)</f>
        <v>10</v>
      </c>
      <c r="I864" s="2">
        <f>VLOOKUP(A864,Table3[#All],9,FALSE)</f>
        <v>43</v>
      </c>
      <c r="J864" s="2">
        <f>VLOOKUP(A864,Table3[#All],10,FALSE)</f>
        <v>4</v>
      </c>
      <c r="K864" s="2">
        <f>VLOOKUP(A864,Table3[#All],11,FALSE)</f>
        <v>89</v>
      </c>
      <c r="L864" s="2" t="str">
        <f>VLOOKUP(A864,Table3[#All],12,FALSE)</f>
        <v>Mumbai</v>
      </c>
      <c r="M864" s="2" t="str">
        <f t="shared" si="13"/>
        <v>Not Eligible</v>
      </c>
    </row>
    <row r="865" spans="1:13" x14ac:dyDescent="0.25">
      <c r="A865" s="6" t="s">
        <v>585</v>
      </c>
      <c r="B865" s="2" t="str">
        <f>VLOOKUP(A865,Table3[#All],2,FALSE)</f>
        <v>Rekha</v>
      </c>
      <c r="C865" s="2" t="str">
        <f>VLOOKUP(A865,Table3[#All],3,FALSE)</f>
        <v>Sales</v>
      </c>
      <c r="D865" s="2">
        <f>VLOOKUP(A865,Table3[#All],4,FALSE)</f>
        <v>32</v>
      </c>
      <c r="E865" s="2" t="str">
        <f>VLOOKUP(A865,Table3[#All],5,FALSE)</f>
        <v>Female</v>
      </c>
      <c r="F865" s="2">
        <f>VLOOKUP(A865,Table3[#All],6,FALSE)</f>
        <v>12</v>
      </c>
      <c r="G865" s="2">
        <f>VLOOKUP(A865,Table3[#All],7,FALSE)</f>
        <v>72027</v>
      </c>
      <c r="H865" s="2">
        <f>VLOOKUP(A865,Table3[#All],8,FALSE)</f>
        <v>10</v>
      </c>
      <c r="I865" s="2">
        <f>VLOOKUP(A865,Table3[#All],9,FALSE)</f>
        <v>39</v>
      </c>
      <c r="J865" s="2">
        <f>VLOOKUP(A865,Table3[#All],10,FALSE)</f>
        <v>4</v>
      </c>
      <c r="K865" s="2">
        <f>VLOOKUP(A865,Table3[#All],11,FALSE)</f>
        <v>95</v>
      </c>
      <c r="L865" s="2" t="str">
        <f>VLOOKUP(A865,Table3[#All],12,FALSE)</f>
        <v>Mumbai</v>
      </c>
      <c r="M865" s="2" t="str">
        <f t="shared" si="13"/>
        <v>Eligible</v>
      </c>
    </row>
    <row r="866" spans="1:13" hidden="1" x14ac:dyDescent="0.25">
      <c r="A866" s="6" t="s">
        <v>415</v>
      </c>
      <c r="B866" s="2" t="str">
        <f>VLOOKUP(A866,Table3[#All],2,FALSE)</f>
        <v>Deepa</v>
      </c>
      <c r="C866" s="2" t="str">
        <f>VLOOKUP(A866,Table3[#All],3,FALSE)</f>
        <v>Sales</v>
      </c>
      <c r="D866" s="2">
        <f>VLOOKUP(A866,Table3[#All],4,FALSE)</f>
        <v>23</v>
      </c>
      <c r="E866" s="2" t="str">
        <f>VLOOKUP(A866,Table3[#All],5,FALSE)</f>
        <v>Female</v>
      </c>
      <c r="F866" s="2">
        <f>VLOOKUP(A866,Table3[#All],6,FALSE)</f>
        <v>13</v>
      </c>
      <c r="G866" s="2">
        <f>VLOOKUP(A866,Table3[#All],7,FALSE)</f>
        <v>72046</v>
      </c>
      <c r="H866" s="2">
        <f>VLOOKUP(A866,Table3[#All],8,FALSE)</f>
        <v>6</v>
      </c>
      <c r="I866" s="2">
        <f>VLOOKUP(A866,Table3[#All],9,FALSE)</f>
        <v>36</v>
      </c>
      <c r="J866" s="2">
        <f>VLOOKUP(A866,Table3[#All],10,FALSE)</f>
        <v>2</v>
      </c>
      <c r="K866" s="2">
        <f>VLOOKUP(A866,Table3[#All],11,FALSE)</f>
        <v>97</v>
      </c>
      <c r="L866" s="2" t="str">
        <f>VLOOKUP(A866,Table3[#All],12,FALSE)</f>
        <v>Delhi</v>
      </c>
      <c r="M866" s="2" t="str">
        <f t="shared" si="13"/>
        <v>Eligible</v>
      </c>
    </row>
    <row r="867" spans="1:13" hidden="1" x14ac:dyDescent="0.25">
      <c r="A867" s="6" t="s">
        <v>783</v>
      </c>
      <c r="B867" s="2" t="str">
        <f>VLOOKUP(A867,Table3[#All],2,FALSE)</f>
        <v>Kavya</v>
      </c>
      <c r="C867" s="2" t="str">
        <f>VLOOKUP(A867,Table3[#All],3,FALSE)</f>
        <v>HR</v>
      </c>
      <c r="D867" s="2">
        <f>VLOOKUP(A867,Table3[#All],4,FALSE)</f>
        <v>29</v>
      </c>
      <c r="E867" s="2" t="str">
        <f>VLOOKUP(A867,Table3[#All],5,FALSE)</f>
        <v>Female</v>
      </c>
      <c r="F867" s="2">
        <f>VLOOKUP(A867,Table3[#All],6,FALSE)</f>
        <v>8</v>
      </c>
      <c r="G867" s="2">
        <f>VLOOKUP(A867,Table3[#All],7,FALSE)</f>
        <v>72233</v>
      </c>
      <c r="H867" s="2">
        <f>VLOOKUP(A867,Table3[#All],8,FALSE)</f>
        <v>8</v>
      </c>
      <c r="I867" s="2">
        <f>VLOOKUP(A867,Table3[#All],9,FALSE)</f>
        <v>44</v>
      </c>
      <c r="J867" s="2">
        <f>VLOOKUP(A867,Table3[#All],10,FALSE)</f>
        <v>1</v>
      </c>
      <c r="K867" s="2">
        <f>VLOOKUP(A867,Table3[#All],11,FALSE)</f>
        <v>88</v>
      </c>
      <c r="L867" s="2" t="str">
        <f>VLOOKUP(A867,Table3[#All],12,FALSE)</f>
        <v>Mumbai</v>
      </c>
      <c r="M867" s="2" t="str">
        <f t="shared" si="13"/>
        <v>Not Eligible</v>
      </c>
    </row>
    <row r="868" spans="1:13" hidden="1" x14ac:dyDescent="0.25">
      <c r="A868" s="5" t="s">
        <v>382</v>
      </c>
      <c r="B868" s="2" t="str">
        <f>VLOOKUP(A868,Table3[#All],2,FALSE)</f>
        <v>Priya</v>
      </c>
      <c r="C868" s="2" t="str">
        <f>VLOOKUP(A868,Table3[#All],3,FALSE)</f>
        <v>IT</v>
      </c>
      <c r="D868" s="2">
        <f>VLOOKUP(A868,Table3[#All],4,FALSE)</f>
        <v>29</v>
      </c>
      <c r="E868" s="2" t="str">
        <f>VLOOKUP(A868,Table3[#All],5,FALSE)</f>
        <v>Male</v>
      </c>
      <c r="F868" s="2">
        <f>VLOOKUP(A868,Table3[#All],6,FALSE)</f>
        <v>8</v>
      </c>
      <c r="G868" s="2">
        <f>VLOOKUP(A868,Table3[#All],7,FALSE)</f>
        <v>72387</v>
      </c>
      <c r="H868" s="2">
        <f>VLOOKUP(A868,Table3[#All],8,FALSE)</f>
        <v>5</v>
      </c>
      <c r="I868" s="2">
        <f>VLOOKUP(A868,Table3[#All],9,FALSE)</f>
        <v>41</v>
      </c>
      <c r="J868" s="2">
        <f>VLOOKUP(A868,Table3[#All],10,FALSE)</f>
        <v>3</v>
      </c>
      <c r="K868" s="2">
        <f>VLOOKUP(A868,Table3[#All],11,FALSE)</f>
        <v>92</v>
      </c>
      <c r="L868" s="2" t="str">
        <f>VLOOKUP(A868,Table3[#All],12,FALSE)</f>
        <v>Delhi</v>
      </c>
      <c r="M868" s="2" t="str">
        <f t="shared" si="13"/>
        <v>Not Eligible</v>
      </c>
    </row>
    <row r="869" spans="1:13" hidden="1" x14ac:dyDescent="0.25">
      <c r="A869" s="6" t="s">
        <v>54</v>
      </c>
      <c r="B869" s="2" t="str">
        <f>VLOOKUP(A869,Table3[#All],2,FALSE)</f>
        <v>Kavya</v>
      </c>
      <c r="C869" s="2" t="str">
        <f>VLOOKUP(A869,Table3[#All],3,FALSE)</f>
        <v>Sales</v>
      </c>
      <c r="D869" s="2">
        <f>VLOOKUP(A869,Table3[#All],4,FALSE)</f>
        <v>27</v>
      </c>
      <c r="E869" s="2" t="str">
        <f>VLOOKUP(A869,Table3[#All],5,FALSE)</f>
        <v>Male</v>
      </c>
      <c r="F869" s="2">
        <f>VLOOKUP(A869,Table3[#All],6,FALSE)</f>
        <v>8</v>
      </c>
      <c r="G869" s="2">
        <f>VLOOKUP(A869,Table3[#All],7,FALSE)</f>
        <v>72406</v>
      </c>
      <c r="H869" s="2">
        <f>VLOOKUP(A869,Table3[#All],8,FALSE)</f>
        <v>14</v>
      </c>
      <c r="I869" s="2">
        <f>VLOOKUP(A869,Table3[#All],9,FALSE)</f>
        <v>35</v>
      </c>
      <c r="J869" s="2">
        <f>VLOOKUP(A869,Table3[#All],10,FALSE)</f>
        <v>5</v>
      </c>
      <c r="K869" s="2">
        <f>VLOOKUP(A869,Table3[#All],11,FALSE)</f>
        <v>85</v>
      </c>
      <c r="L869" s="2" t="str">
        <f>VLOOKUP(A869,Table3[#All],12,FALSE)</f>
        <v>Pune</v>
      </c>
      <c r="M869" s="2" t="str">
        <f t="shared" si="13"/>
        <v>Not Eligible</v>
      </c>
    </row>
    <row r="870" spans="1:13" hidden="1" x14ac:dyDescent="0.25">
      <c r="A870" s="5" t="s">
        <v>912</v>
      </c>
      <c r="B870" s="2" t="str">
        <f>VLOOKUP(A870,Table3[#All],2,FALSE)</f>
        <v>Lakshmi</v>
      </c>
      <c r="C870" s="2" t="str">
        <f>VLOOKUP(A870,Table3[#All],3,FALSE)</f>
        <v>IT</v>
      </c>
      <c r="D870" s="2">
        <f>VLOOKUP(A870,Table3[#All],4,FALSE)</f>
        <v>31</v>
      </c>
      <c r="E870" s="2" t="str">
        <f>VLOOKUP(A870,Table3[#All],5,FALSE)</f>
        <v>Female</v>
      </c>
      <c r="F870" s="2">
        <f>VLOOKUP(A870,Table3[#All],6,FALSE)</f>
        <v>2</v>
      </c>
      <c r="G870" s="2">
        <f>VLOOKUP(A870,Table3[#All],7,FALSE)</f>
        <v>30550</v>
      </c>
      <c r="H870" s="2">
        <f>VLOOKUP(A870,Table3[#All],8,FALSE)</f>
        <v>9</v>
      </c>
      <c r="I870" s="2">
        <f>VLOOKUP(A870,Table3[#All],9,FALSE)</f>
        <v>48</v>
      </c>
      <c r="J870" s="2">
        <f>VLOOKUP(A870,Table3[#All],10,FALSE)</f>
        <v>2</v>
      </c>
      <c r="K870" s="2">
        <f>VLOOKUP(A870,Table3[#All],11,FALSE)</f>
        <v>90</v>
      </c>
      <c r="L870" s="2" t="str">
        <f>VLOOKUP(A870,Table3[#All],12,FALSE)</f>
        <v>Mumbai</v>
      </c>
      <c r="M870" s="2" t="str">
        <f t="shared" si="13"/>
        <v>Not Eligible</v>
      </c>
    </row>
    <row r="871" spans="1:13" hidden="1" x14ac:dyDescent="0.25">
      <c r="A871" s="6" t="s">
        <v>913</v>
      </c>
      <c r="B871" s="2" t="str">
        <f>VLOOKUP(A871,Table3[#All],2,FALSE)</f>
        <v>Suresh</v>
      </c>
      <c r="C871" s="2" t="str">
        <f>VLOOKUP(A871,Table3[#All],3,FALSE)</f>
        <v>Finance</v>
      </c>
      <c r="D871" s="2">
        <f>VLOOKUP(A871,Table3[#All],4,FALSE)</f>
        <v>35</v>
      </c>
      <c r="E871" s="2" t="str">
        <f>VLOOKUP(A871,Table3[#All],5,FALSE)</f>
        <v>Male</v>
      </c>
      <c r="F871" s="2">
        <f>VLOOKUP(A871,Table3[#All],6,FALSE)</f>
        <v>1</v>
      </c>
      <c r="G871" s="2">
        <f>VLOOKUP(A871,Table3[#All],7,FALSE)</f>
        <v>52211</v>
      </c>
      <c r="H871" s="2">
        <f>VLOOKUP(A871,Table3[#All],8,FALSE)</f>
        <v>14</v>
      </c>
      <c r="I871" s="2">
        <f>VLOOKUP(A871,Table3[#All],9,FALSE)</f>
        <v>37</v>
      </c>
      <c r="J871" s="2">
        <f>VLOOKUP(A871,Table3[#All],10,FALSE)</f>
        <v>5</v>
      </c>
      <c r="K871" s="2">
        <f>VLOOKUP(A871,Table3[#All],11,FALSE)</f>
        <v>95</v>
      </c>
      <c r="L871" s="2" t="str">
        <f>VLOOKUP(A871,Table3[#All],12,FALSE)</f>
        <v>Bangalore</v>
      </c>
      <c r="M871" s="2" t="str">
        <f t="shared" si="13"/>
        <v>Eligible</v>
      </c>
    </row>
    <row r="872" spans="1:13" hidden="1" x14ac:dyDescent="0.25">
      <c r="A872" s="6" t="s">
        <v>481</v>
      </c>
      <c r="B872" s="2" t="str">
        <f>VLOOKUP(A872,Table3[#All],2,FALSE)</f>
        <v>Meena</v>
      </c>
      <c r="C872" s="2" t="str">
        <f>VLOOKUP(A872,Table3[#All],3,FALSE)</f>
        <v>IT</v>
      </c>
      <c r="D872" s="2">
        <f>VLOOKUP(A872,Table3[#All],4,FALSE)</f>
        <v>22</v>
      </c>
      <c r="E872" s="2" t="str">
        <f>VLOOKUP(A872,Table3[#All],5,FALSE)</f>
        <v>Female</v>
      </c>
      <c r="F872" s="2">
        <f>VLOOKUP(A872,Table3[#All],6,FALSE)</f>
        <v>15</v>
      </c>
      <c r="G872" s="2">
        <f>VLOOKUP(A872,Table3[#All],7,FALSE)</f>
        <v>72494</v>
      </c>
      <c r="H872" s="2">
        <f>VLOOKUP(A872,Table3[#All],8,FALSE)</f>
        <v>5</v>
      </c>
      <c r="I872" s="2">
        <f>VLOOKUP(A872,Table3[#All],9,FALSE)</f>
        <v>45</v>
      </c>
      <c r="J872" s="2">
        <f>VLOOKUP(A872,Table3[#All],10,FALSE)</f>
        <v>2</v>
      </c>
      <c r="K872" s="2">
        <f>VLOOKUP(A872,Table3[#All],11,FALSE)</f>
        <v>96</v>
      </c>
      <c r="L872" s="2" t="str">
        <f>VLOOKUP(A872,Table3[#All],12,FALSE)</f>
        <v>Chennai</v>
      </c>
      <c r="M872" s="2" t="str">
        <f t="shared" si="13"/>
        <v>Eligible</v>
      </c>
    </row>
    <row r="873" spans="1:13" hidden="1" x14ac:dyDescent="0.25">
      <c r="A873" s="6" t="s">
        <v>915</v>
      </c>
      <c r="B873" s="2" t="str">
        <f>VLOOKUP(A873,Table3[#All],2,FALSE)</f>
        <v>Ramesh</v>
      </c>
      <c r="C873" s="2" t="str">
        <f>VLOOKUP(A873,Table3[#All],3,FALSE)</f>
        <v>IT</v>
      </c>
      <c r="D873" s="2">
        <f>VLOOKUP(A873,Table3[#All],4,FALSE)</f>
        <v>34</v>
      </c>
      <c r="E873" s="2" t="str">
        <f>VLOOKUP(A873,Table3[#All],5,FALSE)</f>
        <v>Female</v>
      </c>
      <c r="F873" s="2">
        <f>VLOOKUP(A873,Table3[#All],6,FALSE)</f>
        <v>4</v>
      </c>
      <c r="G873" s="2">
        <f>VLOOKUP(A873,Table3[#All],7,FALSE)</f>
        <v>51177</v>
      </c>
      <c r="H873" s="2">
        <f>VLOOKUP(A873,Table3[#All],8,FALSE)</f>
        <v>10</v>
      </c>
      <c r="I873" s="2">
        <f>VLOOKUP(A873,Table3[#All],9,FALSE)</f>
        <v>40</v>
      </c>
      <c r="J873" s="2">
        <f>VLOOKUP(A873,Table3[#All],10,FALSE)</f>
        <v>2</v>
      </c>
      <c r="K873" s="2">
        <f>VLOOKUP(A873,Table3[#All],11,FALSE)</f>
        <v>89</v>
      </c>
      <c r="L873" s="2" t="str">
        <f>VLOOKUP(A873,Table3[#All],12,FALSE)</f>
        <v>Delhi</v>
      </c>
      <c r="M873" s="2" t="str">
        <f t="shared" si="13"/>
        <v>Not Eligible</v>
      </c>
    </row>
    <row r="874" spans="1:13" hidden="1" x14ac:dyDescent="0.25">
      <c r="A874" s="5" t="s">
        <v>222</v>
      </c>
      <c r="B874" s="2" t="str">
        <f>VLOOKUP(A874,Table3[#All],2,FALSE)</f>
        <v>Nisha</v>
      </c>
      <c r="C874" s="2" t="str">
        <f>VLOOKUP(A874,Table3[#All],3,FALSE)</f>
        <v>HR</v>
      </c>
      <c r="D874" s="2">
        <f>VLOOKUP(A874,Table3[#All],4,FALSE)</f>
        <v>35</v>
      </c>
      <c r="E874" s="2" t="str">
        <f>VLOOKUP(A874,Table3[#All],5,FALSE)</f>
        <v>Male</v>
      </c>
      <c r="F874" s="2">
        <f>VLOOKUP(A874,Table3[#All],6,FALSE)</f>
        <v>14</v>
      </c>
      <c r="G874" s="2">
        <f>VLOOKUP(A874,Table3[#All],7,FALSE)</f>
        <v>72546</v>
      </c>
      <c r="H874" s="2">
        <f>VLOOKUP(A874,Table3[#All],8,FALSE)</f>
        <v>4</v>
      </c>
      <c r="I874" s="2">
        <f>VLOOKUP(A874,Table3[#All],9,FALSE)</f>
        <v>43</v>
      </c>
      <c r="J874" s="2">
        <f>VLOOKUP(A874,Table3[#All],10,FALSE)</f>
        <v>5</v>
      </c>
      <c r="K874" s="2">
        <f>VLOOKUP(A874,Table3[#All],11,FALSE)</f>
        <v>87</v>
      </c>
      <c r="L874" s="2" t="str">
        <f>VLOOKUP(A874,Table3[#All],12,FALSE)</f>
        <v>Hyderabad</v>
      </c>
      <c r="M874" s="2" t="str">
        <f t="shared" si="13"/>
        <v>Not Eligible</v>
      </c>
    </row>
    <row r="875" spans="1:13" hidden="1" x14ac:dyDescent="0.25">
      <c r="A875" s="5" t="s">
        <v>1024</v>
      </c>
      <c r="B875" s="2" t="str">
        <f>VLOOKUP(A875,Table3[#All],2,FALSE)</f>
        <v>Suresh</v>
      </c>
      <c r="C875" s="2" t="str">
        <f>VLOOKUP(A875,Table3[#All],3,FALSE)</f>
        <v>IT</v>
      </c>
      <c r="D875" s="2">
        <f>VLOOKUP(A875,Table3[#All],4,FALSE)</f>
        <v>23</v>
      </c>
      <c r="E875" s="2" t="str">
        <f>VLOOKUP(A875,Table3[#All],5,FALSE)</f>
        <v>Male</v>
      </c>
      <c r="F875" s="2">
        <f>VLOOKUP(A875,Table3[#All],6,FALSE)</f>
        <v>5</v>
      </c>
      <c r="G875" s="2">
        <f>VLOOKUP(A875,Table3[#All],7,FALSE)</f>
        <v>72626</v>
      </c>
      <c r="H875" s="2">
        <f>VLOOKUP(A875,Table3[#All],8,FALSE)</f>
        <v>5</v>
      </c>
      <c r="I875" s="2">
        <f>VLOOKUP(A875,Table3[#All],9,FALSE)</f>
        <v>36</v>
      </c>
      <c r="J875" s="2">
        <f>VLOOKUP(A875,Table3[#All],10,FALSE)</f>
        <v>3</v>
      </c>
      <c r="K875" s="2">
        <f>VLOOKUP(A875,Table3[#All],11,FALSE)</f>
        <v>99</v>
      </c>
      <c r="L875" s="2" t="str">
        <f>VLOOKUP(A875,Table3[#All],12,FALSE)</f>
        <v>Hyderabad</v>
      </c>
      <c r="M875" s="2" t="str">
        <f t="shared" si="13"/>
        <v>Eligible</v>
      </c>
    </row>
    <row r="876" spans="1:13" hidden="1" x14ac:dyDescent="0.25">
      <c r="A876" s="5" t="s">
        <v>918</v>
      </c>
      <c r="B876" s="2" t="str">
        <f>VLOOKUP(A876,Table3[#All],2,FALSE)</f>
        <v>Arun</v>
      </c>
      <c r="C876" s="2" t="str">
        <f>VLOOKUP(A876,Table3[#All],3,FALSE)</f>
        <v>Finance</v>
      </c>
      <c r="D876" s="2">
        <f>VLOOKUP(A876,Table3[#All],4,FALSE)</f>
        <v>34</v>
      </c>
      <c r="E876" s="2" t="str">
        <f>VLOOKUP(A876,Table3[#All],5,FALSE)</f>
        <v>Female</v>
      </c>
      <c r="F876" s="2">
        <f>VLOOKUP(A876,Table3[#All],6,FALSE)</f>
        <v>4</v>
      </c>
      <c r="G876" s="2">
        <f>VLOOKUP(A876,Table3[#All],7,FALSE)</f>
        <v>66208</v>
      </c>
      <c r="H876" s="2">
        <f>VLOOKUP(A876,Table3[#All],8,FALSE)</f>
        <v>3</v>
      </c>
      <c r="I876" s="2">
        <f>VLOOKUP(A876,Table3[#All],9,FALSE)</f>
        <v>43</v>
      </c>
      <c r="J876" s="2">
        <f>VLOOKUP(A876,Table3[#All],10,FALSE)</f>
        <v>5</v>
      </c>
      <c r="K876" s="2">
        <f>VLOOKUP(A876,Table3[#All],11,FALSE)</f>
        <v>95</v>
      </c>
      <c r="L876" s="2" t="str">
        <f>VLOOKUP(A876,Table3[#All],12,FALSE)</f>
        <v>Chennai</v>
      </c>
      <c r="M876" s="2" t="str">
        <f t="shared" si="13"/>
        <v>Eligible</v>
      </c>
    </row>
    <row r="877" spans="1:13" hidden="1" x14ac:dyDescent="0.25">
      <c r="A877" s="6" t="s">
        <v>741</v>
      </c>
      <c r="B877" s="2" t="str">
        <f>VLOOKUP(A877,Table3[#All],2,FALSE)</f>
        <v>Priya</v>
      </c>
      <c r="C877" s="2" t="str">
        <f>VLOOKUP(A877,Table3[#All],3,FALSE)</f>
        <v>Sales</v>
      </c>
      <c r="D877" s="2">
        <f>VLOOKUP(A877,Table3[#All],4,FALSE)</f>
        <v>39</v>
      </c>
      <c r="E877" s="2" t="str">
        <f>VLOOKUP(A877,Table3[#All],5,FALSE)</f>
        <v>Female</v>
      </c>
      <c r="F877" s="2">
        <f>VLOOKUP(A877,Table3[#All],6,FALSE)</f>
        <v>7</v>
      </c>
      <c r="G877" s="2">
        <f>VLOOKUP(A877,Table3[#All],7,FALSE)</f>
        <v>72703</v>
      </c>
      <c r="H877" s="2">
        <f>VLOOKUP(A877,Table3[#All],8,FALSE)</f>
        <v>15</v>
      </c>
      <c r="I877" s="2">
        <f>VLOOKUP(A877,Table3[#All],9,FALSE)</f>
        <v>43</v>
      </c>
      <c r="J877" s="2">
        <f>VLOOKUP(A877,Table3[#All],10,FALSE)</f>
        <v>1</v>
      </c>
      <c r="K877" s="2">
        <f>VLOOKUP(A877,Table3[#All],11,FALSE)</f>
        <v>88</v>
      </c>
      <c r="L877" s="2" t="str">
        <f>VLOOKUP(A877,Table3[#All],12,FALSE)</f>
        <v>Chennai</v>
      </c>
      <c r="M877" s="2" t="str">
        <f t="shared" si="13"/>
        <v>Not Eligible</v>
      </c>
    </row>
    <row r="878" spans="1:13" hidden="1" x14ac:dyDescent="0.25">
      <c r="A878" s="5" t="s">
        <v>786</v>
      </c>
      <c r="B878" s="2" t="str">
        <f>VLOOKUP(A878,Table3[#All],2,FALSE)</f>
        <v>Lakshmi</v>
      </c>
      <c r="C878" s="2" t="str">
        <f>VLOOKUP(A878,Table3[#All],3,FALSE)</f>
        <v>HR</v>
      </c>
      <c r="D878" s="2">
        <f>VLOOKUP(A878,Table3[#All],4,FALSE)</f>
        <v>35</v>
      </c>
      <c r="E878" s="2" t="str">
        <f>VLOOKUP(A878,Table3[#All],5,FALSE)</f>
        <v>Female</v>
      </c>
      <c r="F878" s="2">
        <f>VLOOKUP(A878,Table3[#All],6,FALSE)</f>
        <v>15</v>
      </c>
      <c r="G878" s="2">
        <f>VLOOKUP(A878,Table3[#All],7,FALSE)</f>
        <v>72829</v>
      </c>
      <c r="H878" s="2">
        <f>VLOOKUP(A878,Table3[#All],8,FALSE)</f>
        <v>12</v>
      </c>
      <c r="I878" s="2">
        <f>VLOOKUP(A878,Table3[#All],9,FALSE)</f>
        <v>38</v>
      </c>
      <c r="J878" s="2">
        <f>VLOOKUP(A878,Table3[#All],10,FALSE)</f>
        <v>1</v>
      </c>
      <c r="K878" s="2">
        <f>VLOOKUP(A878,Table3[#All],11,FALSE)</f>
        <v>89</v>
      </c>
      <c r="L878" s="2" t="str">
        <f>VLOOKUP(A878,Table3[#All],12,FALSE)</f>
        <v>Pune</v>
      </c>
      <c r="M878" s="2" t="str">
        <f t="shared" si="13"/>
        <v>Not Eligible</v>
      </c>
    </row>
    <row r="879" spans="1:13" hidden="1" x14ac:dyDescent="0.25">
      <c r="A879" s="5" t="s">
        <v>55</v>
      </c>
      <c r="B879" s="2" t="str">
        <f>VLOOKUP(A879,Table3[#All],2,FALSE)</f>
        <v>Deepa</v>
      </c>
      <c r="C879" s="2" t="str">
        <f>VLOOKUP(A879,Table3[#All],3,FALSE)</f>
        <v>IT</v>
      </c>
      <c r="D879" s="2">
        <f>VLOOKUP(A879,Table3[#All],4,FALSE)</f>
        <v>36</v>
      </c>
      <c r="E879" s="2" t="str">
        <f>VLOOKUP(A879,Table3[#All],5,FALSE)</f>
        <v>Male</v>
      </c>
      <c r="F879" s="2">
        <f>VLOOKUP(A879,Table3[#All],6,FALSE)</f>
        <v>15</v>
      </c>
      <c r="G879" s="2">
        <f>VLOOKUP(A879,Table3[#All],7,FALSE)</f>
        <v>72897</v>
      </c>
      <c r="H879" s="2">
        <f>VLOOKUP(A879,Table3[#All],8,FALSE)</f>
        <v>5</v>
      </c>
      <c r="I879" s="2">
        <f>VLOOKUP(A879,Table3[#All],9,FALSE)</f>
        <v>40</v>
      </c>
      <c r="J879" s="2">
        <f>VLOOKUP(A879,Table3[#All],10,FALSE)</f>
        <v>3</v>
      </c>
      <c r="K879" s="2">
        <f>VLOOKUP(A879,Table3[#All],11,FALSE)</f>
        <v>90</v>
      </c>
      <c r="L879" s="2" t="str">
        <f>VLOOKUP(A879,Table3[#All],12,FALSE)</f>
        <v>Chennai</v>
      </c>
      <c r="M879" s="2" t="str">
        <f t="shared" si="13"/>
        <v>Not Eligible</v>
      </c>
    </row>
    <row r="880" spans="1:13" hidden="1" x14ac:dyDescent="0.25">
      <c r="A880" s="5" t="s">
        <v>208</v>
      </c>
      <c r="B880" s="2" t="str">
        <f>VLOOKUP(A880,Table3[#All],2,FALSE)</f>
        <v>Manoj</v>
      </c>
      <c r="C880" s="2" t="str">
        <f>VLOOKUP(A880,Table3[#All],3,FALSE)</f>
        <v>IT</v>
      </c>
      <c r="D880" s="2">
        <f>VLOOKUP(A880,Table3[#All],4,FALSE)</f>
        <v>38</v>
      </c>
      <c r="E880" s="2" t="str">
        <f>VLOOKUP(A880,Table3[#All],5,FALSE)</f>
        <v>Male</v>
      </c>
      <c r="F880" s="2">
        <f>VLOOKUP(A880,Table3[#All],6,FALSE)</f>
        <v>6</v>
      </c>
      <c r="G880" s="2">
        <f>VLOOKUP(A880,Table3[#All],7,FALSE)</f>
        <v>72900</v>
      </c>
      <c r="H880" s="2">
        <f>VLOOKUP(A880,Table3[#All],8,FALSE)</f>
        <v>9</v>
      </c>
      <c r="I880" s="2">
        <f>VLOOKUP(A880,Table3[#All],9,FALSE)</f>
        <v>35</v>
      </c>
      <c r="J880" s="2">
        <f>VLOOKUP(A880,Table3[#All],10,FALSE)</f>
        <v>5</v>
      </c>
      <c r="K880" s="2">
        <f>VLOOKUP(A880,Table3[#All],11,FALSE)</f>
        <v>89</v>
      </c>
      <c r="L880" s="2" t="str">
        <f>VLOOKUP(A880,Table3[#All],12,FALSE)</f>
        <v>Pune</v>
      </c>
      <c r="M880" s="2" t="str">
        <f t="shared" si="13"/>
        <v>Not Eligible</v>
      </c>
    </row>
    <row r="881" spans="1:13" hidden="1" x14ac:dyDescent="0.25">
      <c r="A881" s="6" t="s">
        <v>923</v>
      </c>
      <c r="B881" s="2" t="str">
        <f>VLOOKUP(A881,Table3[#All],2,FALSE)</f>
        <v>Manoj</v>
      </c>
      <c r="C881" s="2" t="str">
        <f>VLOOKUP(A881,Table3[#All],3,FALSE)</f>
        <v>IT</v>
      </c>
      <c r="D881" s="2">
        <f>VLOOKUP(A881,Table3[#All],4,FALSE)</f>
        <v>33</v>
      </c>
      <c r="E881" s="2" t="str">
        <f>VLOOKUP(A881,Table3[#All],5,FALSE)</f>
        <v>Male</v>
      </c>
      <c r="F881" s="2">
        <f>VLOOKUP(A881,Table3[#All],6,FALSE)</f>
        <v>2</v>
      </c>
      <c r="G881" s="2">
        <f>VLOOKUP(A881,Table3[#All],7,FALSE)</f>
        <v>59797</v>
      </c>
      <c r="H881" s="2">
        <f>VLOOKUP(A881,Table3[#All],8,FALSE)</f>
        <v>8</v>
      </c>
      <c r="I881" s="2">
        <f>VLOOKUP(A881,Table3[#All],9,FALSE)</f>
        <v>44</v>
      </c>
      <c r="J881" s="2">
        <f>VLOOKUP(A881,Table3[#All],10,FALSE)</f>
        <v>3</v>
      </c>
      <c r="K881" s="2">
        <f>VLOOKUP(A881,Table3[#All],11,FALSE)</f>
        <v>92</v>
      </c>
      <c r="L881" s="2" t="str">
        <f>VLOOKUP(A881,Table3[#All],12,FALSE)</f>
        <v>Pune</v>
      </c>
      <c r="M881" s="2" t="str">
        <f t="shared" si="13"/>
        <v>Not Eligible</v>
      </c>
    </row>
    <row r="882" spans="1:13" hidden="1" x14ac:dyDescent="0.25">
      <c r="A882" s="5" t="s">
        <v>924</v>
      </c>
      <c r="B882" s="2" t="str">
        <f>VLOOKUP(A882,Table3[#All],2,FALSE)</f>
        <v>Priya</v>
      </c>
      <c r="C882" s="2" t="str">
        <f>VLOOKUP(A882,Table3[#All],3,FALSE)</f>
        <v>Finance</v>
      </c>
      <c r="D882" s="2">
        <f>VLOOKUP(A882,Table3[#All],4,FALSE)</f>
        <v>24</v>
      </c>
      <c r="E882" s="2" t="str">
        <f>VLOOKUP(A882,Table3[#All],5,FALSE)</f>
        <v>Male</v>
      </c>
      <c r="F882" s="2">
        <f>VLOOKUP(A882,Table3[#All],6,FALSE)</f>
        <v>1</v>
      </c>
      <c r="G882" s="2">
        <f>VLOOKUP(A882,Table3[#All],7,FALSE)</f>
        <v>71209</v>
      </c>
      <c r="H882" s="2">
        <f>VLOOKUP(A882,Table3[#All],8,FALSE)</f>
        <v>6</v>
      </c>
      <c r="I882" s="2">
        <f>VLOOKUP(A882,Table3[#All],9,FALSE)</f>
        <v>43</v>
      </c>
      <c r="J882" s="2">
        <f>VLOOKUP(A882,Table3[#All],10,FALSE)</f>
        <v>2</v>
      </c>
      <c r="K882" s="2">
        <f>VLOOKUP(A882,Table3[#All],11,FALSE)</f>
        <v>93</v>
      </c>
      <c r="L882" s="2" t="str">
        <f>VLOOKUP(A882,Table3[#All],12,FALSE)</f>
        <v>Hyderabad</v>
      </c>
      <c r="M882" s="2" t="str">
        <f t="shared" si="13"/>
        <v>Not Eligible</v>
      </c>
    </row>
    <row r="883" spans="1:13" x14ac:dyDescent="0.25">
      <c r="A883" s="5" t="s">
        <v>322</v>
      </c>
      <c r="B883" s="2" t="str">
        <f>VLOOKUP(A883,Table3[#All],2,FALSE)</f>
        <v>Vijay</v>
      </c>
      <c r="C883" s="2" t="str">
        <f>VLOOKUP(A883,Table3[#All],3,FALSE)</f>
        <v>Finance</v>
      </c>
      <c r="D883" s="2">
        <f>VLOOKUP(A883,Table3[#All],4,FALSE)</f>
        <v>29</v>
      </c>
      <c r="E883" s="2" t="str">
        <f>VLOOKUP(A883,Table3[#All],5,FALSE)</f>
        <v>Male</v>
      </c>
      <c r="F883" s="2">
        <f>VLOOKUP(A883,Table3[#All],6,FALSE)</f>
        <v>12</v>
      </c>
      <c r="G883" s="2">
        <f>VLOOKUP(A883,Table3[#All],7,FALSE)</f>
        <v>72940</v>
      </c>
      <c r="H883" s="2">
        <f>VLOOKUP(A883,Table3[#All],8,FALSE)</f>
        <v>14</v>
      </c>
      <c r="I883" s="2">
        <f>VLOOKUP(A883,Table3[#All],9,FALSE)</f>
        <v>36</v>
      </c>
      <c r="J883" s="2">
        <f>VLOOKUP(A883,Table3[#All],10,FALSE)</f>
        <v>5</v>
      </c>
      <c r="K883" s="2">
        <f>VLOOKUP(A883,Table3[#All],11,FALSE)</f>
        <v>99</v>
      </c>
      <c r="L883" s="2" t="str">
        <f>VLOOKUP(A883,Table3[#All],12,FALSE)</f>
        <v>Chennai</v>
      </c>
      <c r="M883" s="2" t="str">
        <f t="shared" si="13"/>
        <v>Eligible</v>
      </c>
    </row>
    <row r="884" spans="1:13" hidden="1" x14ac:dyDescent="0.25">
      <c r="A884" s="5" t="s">
        <v>926</v>
      </c>
      <c r="B884" s="2" t="str">
        <f>VLOOKUP(A884,Table3[#All],2,FALSE)</f>
        <v>Lakshmi</v>
      </c>
      <c r="C884" s="2" t="str">
        <f>VLOOKUP(A884,Table3[#All],3,FALSE)</f>
        <v>Sales</v>
      </c>
      <c r="D884" s="2">
        <f>VLOOKUP(A884,Table3[#All],4,FALSE)</f>
        <v>25</v>
      </c>
      <c r="E884" s="2" t="str">
        <f>VLOOKUP(A884,Table3[#All],5,FALSE)</f>
        <v>Female</v>
      </c>
      <c r="F884" s="2">
        <f>VLOOKUP(A884,Table3[#All],6,FALSE)</f>
        <v>3</v>
      </c>
      <c r="G884" s="2">
        <f>VLOOKUP(A884,Table3[#All],7,FALSE)</f>
        <v>40052</v>
      </c>
      <c r="H884" s="2">
        <f>VLOOKUP(A884,Table3[#All],8,FALSE)</f>
        <v>13</v>
      </c>
      <c r="I884" s="2">
        <f>VLOOKUP(A884,Table3[#All],9,FALSE)</f>
        <v>38</v>
      </c>
      <c r="J884" s="2">
        <f>VLOOKUP(A884,Table3[#All],10,FALSE)</f>
        <v>5</v>
      </c>
      <c r="K884" s="2">
        <f>VLOOKUP(A884,Table3[#All],11,FALSE)</f>
        <v>92</v>
      </c>
      <c r="L884" s="2" t="str">
        <f>VLOOKUP(A884,Table3[#All],12,FALSE)</f>
        <v>Bangalore</v>
      </c>
      <c r="M884" s="2" t="str">
        <f t="shared" si="13"/>
        <v>Not Eligible</v>
      </c>
    </row>
    <row r="885" spans="1:13" x14ac:dyDescent="0.25">
      <c r="A885" s="6" t="s">
        <v>263</v>
      </c>
      <c r="B885" s="2" t="str">
        <f>VLOOKUP(A885,Table3[#All],2,FALSE)</f>
        <v>Hari</v>
      </c>
      <c r="C885" s="2" t="str">
        <f>VLOOKUP(A885,Table3[#All],3,FALSE)</f>
        <v>Finance</v>
      </c>
      <c r="D885" s="2">
        <f>VLOOKUP(A885,Table3[#All],4,FALSE)</f>
        <v>29</v>
      </c>
      <c r="E885" s="2" t="str">
        <f>VLOOKUP(A885,Table3[#All],5,FALSE)</f>
        <v>Male</v>
      </c>
      <c r="F885" s="2">
        <f>VLOOKUP(A885,Table3[#All],6,FALSE)</f>
        <v>12</v>
      </c>
      <c r="G885" s="2">
        <f>VLOOKUP(A885,Table3[#All],7,FALSE)</f>
        <v>72963</v>
      </c>
      <c r="H885" s="2">
        <f>VLOOKUP(A885,Table3[#All],8,FALSE)</f>
        <v>15</v>
      </c>
      <c r="I885" s="2">
        <f>VLOOKUP(A885,Table3[#All],9,FALSE)</f>
        <v>37</v>
      </c>
      <c r="J885" s="2">
        <f>VLOOKUP(A885,Table3[#All],10,FALSE)</f>
        <v>1</v>
      </c>
      <c r="K885" s="2">
        <f>VLOOKUP(A885,Table3[#All],11,FALSE)</f>
        <v>92</v>
      </c>
      <c r="L885" s="2" t="str">
        <f>VLOOKUP(A885,Table3[#All],12,FALSE)</f>
        <v>Hyderabad</v>
      </c>
      <c r="M885" s="2" t="str">
        <f t="shared" si="13"/>
        <v>Not Eligible</v>
      </c>
    </row>
    <row r="886" spans="1:13" x14ac:dyDescent="0.25">
      <c r="A886" s="5" t="s">
        <v>802</v>
      </c>
      <c r="B886" s="2" t="str">
        <f>VLOOKUP(A886,Table3[#All],2,FALSE)</f>
        <v>Suresh</v>
      </c>
      <c r="C886" s="2" t="str">
        <f>VLOOKUP(A886,Table3[#All],3,FALSE)</f>
        <v>Sales</v>
      </c>
      <c r="D886" s="2">
        <f>VLOOKUP(A886,Table3[#All],4,FALSE)</f>
        <v>26</v>
      </c>
      <c r="E886" s="2" t="str">
        <f>VLOOKUP(A886,Table3[#All],5,FALSE)</f>
        <v>Male</v>
      </c>
      <c r="F886" s="2">
        <f>VLOOKUP(A886,Table3[#All],6,FALSE)</f>
        <v>8</v>
      </c>
      <c r="G886" s="2">
        <f>VLOOKUP(A886,Table3[#All],7,FALSE)</f>
        <v>73165</v>
      </c>
      <c r="H886" s="2">
        <f>VLOOKUP(A886,Table3[#All],8,FALSE)</f>
        <v>14</v>
      </c>
      <c r="I886" s="2">
        <f>VLOOKUP(A886,Table3[#All],9,FALSE)</f>
        <v>37</v>
      </c>
      <c r="J886" s="2">
        <f>VLOOKUP(A886,Table3[#All],10,FALSE)</f>
        <v>4</v>
      </c>
      <c r="K886" s="2">
        <f>VLOOKUP(A886,Table3[#All],11,FALSE)</f>
        <v>100</v>
      </c>
      <c r="L886" s="2" t="str">
        <f>VLOOKUP(A886,Table3[#All],12,FALSE)</f>
        <v>Chennai</v>
      </c>
      <c r="M886" s="2" t="str">
        <f t="shared" si="13"/>
        <v>Eligible</v>
      </c>
    </row>
    <row r="887" spans="1:13" hidden="1" x14ac:dyDescent="0.25">
      <c r="A887" s="6" t="s">
        <v>929</v>
      </c>
      <c r="B887" s="2" t="str">
        <f>VLOOKUP(A887,Table3[#All],2,FALSE)</f>
        <v>Manoj</v>
      </c>
      <c r="C887" s="2" t="str">
        <f>VLOOKUP(A887,Table3[#All],3,FALSE)</f>
        <v>IT</v>
      </c>
      <c r="D887" s="2">
        <f>VLOOKUP(A887,Table3[#All],4,FALSE)</f>
        <v>25</v>
      </c>
      <c r="E887" s="2" t="str">
        <f>VLOOKUP(A887,Table3[#All],5,FALSE)</f>
        <v>Female</v>
      </c>
      <c r="F887" s="2">
        <f>VLOOKUP(A887,Table3[#All],6,FALSE)</f>
        <v>3</v>
      </c>
      <c r="G887" s="2">
        <f>VLOOKUP(A887,Table3[#All],7,FALSE)</f>
        <v>65518</v>
      </c>
      <c r="H887" s="2">
        <f>VLOOKUP(A887,Table3[#All],8,FALSE)</f>
        <v>10</v>
      </c>
      <c r="I887" s="2">
        <f>VLOOKUP(A887,Table3[#All],9,FALSE)</f>
        <v>45</v>
      </c>
      <c r="J887" s="2">
        <f>VLOOKUP(A887,Table3[#All],10,FALSE)</f>
        <v>1</v>
      </c>
      <c r="K887" s="2">
        <f>VLOOKUP(A887,Table3[#All],11,FALSE)</f>
        <v>89</v>
      </c>
      <c r="L887" s="2" t="str">
        <f>VLOOKUP(A887,Table3[#All],12,FALSE)</f>
        <v>Bangalore</v>
      </c>
      <c r="M887" s="2" t="str">
        <f t="shared" si="13"/>
        <v>Not Eligible</v>
      </c>
    </row>
    <row r="888" spans="1:13" x14ac:dyDescent="0.25">
      <c r="A888" s="5" t="s">
        <v>556</v>
      </c>
      <c r="B888" s="2" t="str">
        <f>VLOOKUP(A888,Table3[#All],2,FALSE)</f>
        <v>Priya</v>
      </c>
      <c r="C888" s="2" t="str">
        <f>VLOOKUP(A888,Table3[#All],3,FALSE)</f>
        <v>Finance</v>
      </c>
      <c r="D888" s="2">
        <f>VLOOKUP(A888,Table3[#All],4,FALSE)</f>
        <v>33</v>
      </c>
      <c r="E888" s="2" t="str">
        <f>VLOOKUP(A888,Table3[#All],5,FALSE)</f>
        <v>Male</v>
      </c>
      <c r="F888" s="2">
        <f>VLOOKUP(A888,Table3[#All],6,FALSE)</f>
        <v>9</v>
      </c>
      <c r="G888" s="2">
        <f>VLOOKUP(A888,Table3[#All],7,FALSE)</f>
        <v>73293</v>
      </c>
      <c r="H888" s="2">
        <f>VLOOKUP(A888,Table3[#All],8,FALSE)</f>
        <v>14</v>
      </c>
      <c r="I888" s="2">
        <f>VLOOKUP(A888,Table3[#All],9,FALSE)</f>
        <v>48</v>
      </c>
      <c r="J888" s="2">
        <f>VLOOKUP(A888,Table3[#All],10,FALSE)</f>
        <v>1</v>
      </c>
      <c r="K888" s="2">
        <f>VLOOKUP(A888,Table3[#All],11,FALSE)</f>
        <v>98</v>
      </c>
      <c r="L888" s="2" t="str">
        <f>VLOOKUP(A888,Table3[#All],12,FALSE)</f>
        <v>Chennai</v>
      </c>
      <c r="M888" s="2" t="str">
        <f t="shared" si="13"/>
        <v>Eligible</v>
      </c>
    </row>
    <row r="889" spans="1:13" x14ac:dyDescent="0.25">
      <c r="A889" s="6" t="s">
        <v>219</v>
      </c>
      <c r="B889" s="2" t="str">
        <f>VLOOKUP(A889,Table3[#All],2,FALSE)</f>
        <v>Ramesh</v>
      </c>
      <c r="C889" s="2" t="str">
        <f>VLOOKUP(A889,Table3[#All],3,FALSE)</f>
        <v>IT</v>
      </c>
      <c r="D889" s="2">
        <f>VLOOKUP(A889,Table3[#All],4,FALSE)</f>
        <v>24</v>
      </c>
      <c r="E889" s="2" t="str">
        <f>VLOOKUP(A889,Table3[#All],5,FALSE)</f>
        <v>Male</v>
      </c>
      <c r="F889" s="2">
        <f>VLOOKUP(A889,Table3[#All],6,FALSE)</f>
        <v>13</v>
      </c>
      <c r="G889" s="2">
        <f>VLOOKUP(A889,Table3[#All],7,FALSE)</f>
        <v>73356</v>
      </c>
      <c r="H889" s="2">
        <f>VLOOKUP(A889,Table3[#All],8,FALSE)</f>
        <v>13</v>
      </c>
      <c r="I889" s="2">
        <f>VLOOKUP(A889,Table3[#All],9,FALSE)</f>
        <v>35</v>
      </c>
      <c r="J889" s="2">
        <f>VLOOKUP(A889,Table3[#All],10,FALSE)</f>
        <v>3</v>
      </c>
      <c r="K889" s="2">
        <f>VLOOKUP(A889,Table3[#All],11,FALSE)</f>
        <v>93</v>
      </c>
      <c r="L889" s="2" t="str">
        <f>VLOOKUP(A889,Table3[#All],12,FALSE)</f>
        <v>Delhi</v>
      </c>
      <c r="M889" s="2" t="str">
        <f t="shared" si="13"/>
        <v>Not Eligible</v>
      </c>
    </row>
    <row r="890" spans="1:13" hidden="1" x14ac:dyDescent="0.25">
      <c r="A890" s="5" t="s">
        <v>964</v>
      </c>
      <c r="B890" s="2" t="str">
        <f>VLOOKUP(A890,Table3[#All],2,FALSE)</f>
        <v>Kavya</v>
      </c>
      <c r="C890" s="2" t="str">
        <f>VLOOKUP(A890,Table3[#All],3,FALSE)</f>
        <v>IT</v>
      </c>
      <c r="D890" s="2">
        <f>VLOOKUP(A890,Table3[#All],4,FALSE)</f>
        <v>23</v>
      </c>
      <c r="E890" s="2" t="str">
        <f>VLOOKUP(A890,Table3[#All],5,FALSE)</f>
        <v>Male</v>
      </c>
      <c r="F890" s="2">
        <f>VLOOKUP(A890,Table3[#All],6,FALSE)</f>
        <v>5</v>
      </c>
      <c r="G890" s="2">
        <f>VLOOKUP(A890,Table3[#All],7,FALSE)</f>
        <v>73375</v>
      </c>
      <c r="H890" s="2">
        <f>VLOOKUP(A890,Table3[#All],8,FALSE)</f>
        <v>4</v>
      </c>
      <c r="I890" s="2">
        <f>VLOOKUP(A890,Table3[#All],9,FALSE)</f>
        <v>43</v>
      </c>
      <c r="J890" s="2">
        <f>VLOOKUP(A890,Table3[#All],10,FALSE)</f>
        <v>5</v>
      </c>
      <c r="K890" s="2">
        <f>VLOOKUP(A890,Table3[#All],11,FALSE)</f>
        <v>93</v>
      </c>
      <c r="L890" s="2" t="str">
        <f>VLOOKUP(A890,Table3[#All],12,FALSE)</f>
        <v>Pune</v>
      </c>
      <c r="M890" s="2" t="str">
        <f t="shared" si="13"/>
        <v>Not Eligible</v>
      </c>
    </row>
    <row r="891" spans="1:13" hidden="1" x14ac:dyDescent="0.25">
      <c r="A891" s="6" t="s">
        <v>319</v>
      </c>
      <c r="B891" s="2" t="str">
        <f>VLOOKUP(A891,Table3[#All],2,FALSE)</f>
        <v>Ramesh</v>
      </c>
      <c r="C891" s="2" t="str">
        <f>VLOOKUP(A891,Table3[#All],3,FALSE)</f>
        <v>HR</v>
      </c>
      <c r="D891" s="2">
        <f>VLOOKUP(A891,Table3[#All],4,FALSE)</f>
        <v>27</v>
      </c>
      <c r="E891" s="2" t="str">
        <f>VLOOKUP(A891,Table3[#All],5,FALSE)</f>
        <v>Male</v>
      </c>
      <c r="F891" s="2">
        <f>VLOOKUP(A891,Table3[#All],6,FALSE)</f>
        <v>5</v>
      </c>
      <c r="G891" s="2">
        <f>VLOOKUP(A891,Table3[#All],7,FALSE)</f>
        <v>73427</v>
      </c>
      <c r="H891" s="2">
        <f>VLOOKUP(A891,Table3[#All],8,FALSE)</f>
        <v>3</v>
      </c>
      <c r="I891" s="2">
        <f>VLOOKUP(A891,Table3[#All],9,FALSE)</f>
        <v>41</v>
      </c>
      <c r="J891" s="2">
        <f>VLOOKUP(A891,Table3[#All],10,FALSE)</f>
        <v>4</v>
      </c>
      <c r="K891" s="2">
        <f>VLOOKUP(A891,Table3[#All],11,FALSE)</f>
        <v>89</v>
      </c>
      <c r="L891" s="2" t="str">
        <f>VLOOKUP(A891,Table3[#All],12,FALSE)</f>
        <v>Delhi</v>
      </c>
      <c r="M891" s="2" t="str">
        <f t="shared" si="13"/>
        <v>Not Eligible</v>
      </c>
    </row>
    <row r="892" spans="1:13" hidden="1" x14ac:dyDescent="0.25">
      <c r="A892" s="5" t="s">
        <v>934</v>
      </c>
      <c r="B892" s="2" t="str">
        <f>VLOOKUP(A892,Table3[#All],2,FALSE)</f>
        <v>Hari</v>
      </c>
      <c r="C892" s="2" t="str">
        <f>VLOOKUP(A892,Table3[#All],3,FALSE)</f>
        <v>Sales</v>
      </c>
      <c r="D892" s="2">
        <f>VLOOKUP(A892,Table3[#All],4,FALSE)</f>
        <v>26</v>
      </c>
      <c r="E892" s="2" t="str">
        <f>VLOOKUP(A892,Table3[#All],5,FALSE)</f>
        <v>Male</v>
      </c>
      <c r="F892" s="2">
        <f>VLOOKUP(A892,Table3[#All],6,FALSE)</f>
        <v>1</v>
      </c>
      <c r="G892" s="2">
        <f>VLOOKUP(A892,Table3[#All],7,FALSE)</f>
        <v>59711</v>
      </c>
      <c r="H892" s="2">
        <f>VLOOKUP(A892,Table3[#All],8,FALSE)</f>
        <v>6</v>
      </c>
      <c r="I892" s="2">
        <f>VLOOKUP(A892,Table3[#All],9,FALSE)</f>
        <v>50</v>
      </c>
      <c r="J892" s="2">
        <f>VLOOKUP(A892,Table3[#All],10,FALSE)</f>
        <v>1</v>
      </c>
      <c r="K892" s="2">
        <f>VLOOKUP(A892,Table3[#All],11,FALSE)</f>
        <v>100</v>
      </c>
      <c r="L892" s="2" t="str">
        <f>VLOOKUP(A892,Table3[#All],12,FALSE)</f>
        <v>Mumbai</v>
      </c>
      <c r="M892" s="2" t="str">
        <f t="shared" si="13"/>
        <v>Eligible</v>
      </c>
    </row>
    <row r="893" spans="1:13" hidden="1" x14ac:dyDescent="0.25">
      <c r="A893" s="6" t="s">
        <v>935</v>
      </c>
      <c r="B893" s="2" t="str">
        <f>VLOOKUP(A893,Table3[#All],2,FALSE)</f>
        <v>Deepa</v>
      </c>
      <c r="C893" s="2" t="str">
        <f>VLOOKUP(A893,Table3[#All],3,FALSE)</f>
        <v>HR</v>
      </c>
      <c r="D893" s="2">
        <f>VLOOKUP(A893,Table3[#All],4,FALSE)</f>
        <v>35</v>
      </c>
      <c r="E893" s="2" t="str">
        <f>VLOOKUP(A893,Table3[#All],5,FALSE)</f>
        <v>Male</v>
      </c>
      <c r="F893" s="2">
        <f>VLOOKUP(A893,Table3[#All],6,FALSE)</f>
        <v>3</v>
      </c>
      <c r="G893" s="2">
        <f>VLOOKUP(A893,Table3[#All],7,FALSE)</f>
        <v>76718</v>
      </c>
      <c r="H893" s="2">
        <f>VLOOKUP(A893,Table3[#All],8,FALSE)</f>
        <v>14</v>
      </c>
      <c r="I893" s="2">
        <f>VLOOKUP(A893,Table3[#All],9,FALSE)</f>
        <v>49</v>
      </c>
      <c r="J893" s="2">
        <f>VLOOKUP(A893,Table3[#All],10,FALSE)</f>
        <v>1</v>
      </c>
      <c r="K893" s="2">
        <f>VLOOKUP(A893,Table3[#All],11,FALSE)</f>
        <v>91</v>
      </c>
      <c r="L893" s="2" t="str">
        <f>VLOOKUP(A893,Table3[#All],12,FALSE)</f>
        <v>Bangalore</v>
      </c>
      <c r="M893" s="2" t="str">
        <f t="shared" si="13"/>
        <v>Not Eligible</v>
      </c>
    </row>
    <row r="894" spans="1:13" hidden="1" x14ac:dyDescent="0.25">
      <c r="A894" s="5" t="s">
        <v>284</v>
      </c>
      <c r="B894" s="2" t="str">
        <f>VLOOKUP(A894,Table3[#All],2,FALSE)</f>
        <v>Anitha</v>
      </c>
      <c r="C894" s="2" t="str">
        <f>VLOOKUP(A894,Table3[#All],3,FALSE)</f>
        <v>Sales</v>
      </c>
      <c r="D894" s="2">
        <f>VLOOKUP(A894,Table3[#All],4,FALSE)</f>
        <v>33</v>
      </c>
      <c r="E894" s="2" t="str">
        <f>VLOOKUP(A894,Table3[#All],5,FALSE)</f>
        <v>Female</v>
      </c>
      <c r="F894" s="2">
        <f>VLOOKUP(A894,Table3[#All],6,FALSE)</f>
        <v>14</v>
      </c>
      <c r="G894" s="2">
        <f>VLOOKUP(A894,Table3[#All],7,FALSE)</f>
        <v>73546</v>
      </c>
      <c r="H894" s="2">
        <f>VLOOKUP(A894,Table3[#All],8,FALSE)</f>
        <v>10</v>
      </c>
      <c r="I894" s="2">
        <f>VLOOKUP(A894,Table3[#All],9,FALSE)</f>
        <v>48</v>
      </c>
      <c r="J894" s="2">
        <f>VLOOKUP(A894,Table3[#All],10,FALSE)</f>
        <v>1</v>
      </c>
      <c r="K894" s="2">
        <f>VLOOKUP(A894,Table3[#All],11,FALSE)</f>
        <v>90</v>
      </c>
      <c r="L894" s="2" t="str">
        <f>VLOOKUP(A894,Table3[#All],12,FALSE)</f>
        <v>Bangalore</v>
      </c>
      <c r="M894" s="2" t="str">
        <f t="shared" si="13"/>
        <v>Not Eligible</v>
      </c>
    </row>
    <row r="895" spans="1:13" hidden="1" x14ac:dyDescent="0.25">
      <c r="A895" s="5" t="s">
        <v>916</v>
      </c>
      <c r="B895" s="2" t="str">
        <f>VLOOKUP(A895,Table3[#All],2,FALSE)</f>
        <v>Nisha</v>
      </c>
      <c r="C895" s="2" t="str">
        <f>VLOOKUP(A895,Table3[#All],3,FALSE)</f>
        <v>IT</v>
      </c>
      <c r="D895" s="2">
        <f>VLOOKUP(A895,Table3[#All],4,FALSE)</f>
        <v>34</v>
      </c>
      <c r="E895" s="2" t="str">
        <f>VLOOKUP(A895,Table3[#All],5,FALSE)</f>
        <v>Female</v>
      </c>
      <c r="F895" s="2">
        <f>VLOOKUP(A895,Table3[#All],6,FALSE)</f>
        <v>13</v>
      </c>
      <c r="G895" s="2">
        <f>VLOOKUP(A895,Table3[#All],7,FALSE)</f>
        <v>73661</v>
      </c>
      <c r="H895" s="2">
        <f>VLOOKUP(A895,Table3[#All],8,FALSE)</f>
        <v>6</v>
      </c>
      <c r="I895" s="2">
        <f>VLOOKUP(A895,Table3[#All],9,FALSE)</f>
        <v>40</v>
      </c>
      <c r="J895" s="2">
        <f>VLOOKUP(A895,Table3[#All],10,FALSE)</f>
        <v>4</v>
      </c>
      <c r="K895" s="2">
        <f>VLOOKUP(A895,Table3[#All],11,FALSE)</f>
        <v>98</v>
      </c>
      <c r="L895" s="2" t="str">
        <f>VLOOKUP(A895,Table3[#All],12,FALSE)</f>
        <v>Bangalore</v>
      </c>
      <c r="M895" s="2" t="str">
        <f t="shared" si="13"/>
        <v>Eligible</v>
      </c>
    </row>
    <row r="896" spans="1:13" hidden="1" x14ac:dyDescent="0.25">
      <c r="A896" s="5" t="s">
        <v>938</v>
      </c>
      <c r="B896" s="2" t="str">
        <f>VLOOKUP(A896,Table3[#All],2,FALSE)</f>
        <v>Sneha</v>
      </c>
      <c r="C896" s="2" t="str">
        <f>VLOOKUP(A896,Table3[#All],3,FALSE)</f>
        <v>Sales</v>
      </c>
      <c r="D896" s="2">
        <f>VLOOKUP(A896,Table3[#All],4,FALSE)</f>
        <v>30</v>
      </c>
      <c r="E896" s="2" t="str">
        <f>VLOOKUP(A896,Table3[#All],5,FALSE)</f>
        <v>Male</v>
      </c>
      <c r="F896" s="2">
        <f>VLOOKUP(A896,Table3[#All],6,FALSE)</f>
        <v>2</v>
      </c>
      <c r="G896" s="2">
        <f>VLOOKUP(A896,Table3[#All],7,FALSE)</f>
        <v>59574</v>
      </c>
      <c r="H896" s="2">
        <f>VLOOKUP(A896,Table3[#All],8,FALSE)</f>
        <v>12</v>
      </c>
      <c r="I896" s="2">
        <f>VLOOKUP(A896,Table3[#All],9,FALSE)</f>
        <v>37</v>
      </c>
      <c r="J896" s="2">
        <f>VLOOKUP(A896,Table3[#All],10,FALSE)</f>
        <v>3</v>
      </c>
      <c r="K896" s="2">
        <f>VLOOKUP(A896,Table3[#All],11,FALSE)</f>
        <v>96</v>
      </c>
      <c r="L896" s="2" t="str">
        <f>VLOOKUP(A896,Table3[#All],12,FALSE)</f>
        <v>Delhi</v>
      </c>
      <c r="M896" s="2" t="str">
        <f t="shared" si="13"/>
        <v>Eligible</v>
      </c>
    </row>
    <row r="897" spans="1:13" hidden="1" x14ac:dyDescent="0.25">
      <c r="A897" s="6" t="s">
        <v>577</v>
      </c>
      <c r="B897" s="2" t="str">
        <f>VLOOKUP(A897,Table3[#All],2,FALSE)</f>
        <v>Kavya</v>
      </c>
      <c r="C897" s="2" t="str">
        <f>VLOOKUP(A897,Table3[#All],3,FALSE)</f>
        <v>HR</v>
      </c>
      <c r="D897" s="2">
        <f>VLOOKUP(A897,Table3[#All],4,FALSE)</f>
        <v>40</v>
      </c>
      <c r="E897" s="2" t="str">
        <f>VLOOKUP(A897,Table3[#All],5,FALSE)</f>
        <v>Female</v>
      </c>
      <c r="F897" s="2">
        <f>VLOOKUP(A897,Table3[#All],6,FALSE)</f>
        <v>9</v>
      </c>
      <c r="G897" s="2">
        <f>VLOOKUP(A897,Table3[#All],7,FALSE)</f>
        <v>73738</v>
      </c>
      <c r="H897" s="2">
        <f>VLOOKUP(A897,Table3[#All],8,FALSE)</f>
        <v>6</v>
      </c>
      <c r="I897" s="2">
        <f>VLOOKUP(A897,Table3[#All],9,FALSE)</f>
        <v>47</v>
      </c>
      <c r="J897" s="2">
        <f>VLOOKUP(A897,Table3[#All],10,FALSE)</f>
        <v>4</v>
      </c>
      <c r="K897" s="2">
        <f>VLOOKUP(A897,Table3[#All],11,FALSE)</f>
        <v>99</v>
      </c>
      <c r="L897" s="2" t="str">
        <f>VLOOKUP(A897,Table3[#All],12,FALSE)</f>
        <v>Chennai</v>
      </c>
      <c r="M897" s="2" t="str">
        <f t="shared" si="13"/>
        <v>Eligible</v>
      </c>
    </row>
    <row r="898" spans="1:13" hidden="1" x14ac:dyDescent="0.25">
      <c r="A898" s="5" t="s">
        <v>1036</v>
      </c>
      <c r="B898" s="2" t="str">
        <f>VLOOKUP(A898,Table3[#All],2,FALSE)</f>
        <v>Ramesh</v>
      </c>
      <c r="C898" s="2" t="str">
        <f>VLOOKUP(A898,Table3[#All],3,FALSE)</f>
        <v>Finance</v>
      </c>
      <c r="D898" s="2">
        <f>VLOOKUP(A898,Table3[#All],4,FALSE)</f>
        <v>31</v>
      </c>
      <c r="E898" s="2" t="str">
        <f>VLOOKUP(A898,Table3[#All],5,FALSE)</f>
        <v>Male</v>
      </c>
      <c r="F898" s="2">
        <f>VLOOKUP(A898,Table3[#All],6,FALSE)</f>
        <v>12</v>
      </c>
      <c r="G898" s="2">
        <f>VLOOKUP(A898,Table3[#All],7,FALSE)</f>
        <v>73872</v>
      </c>
      <c r="H898" s="2">
        <f>VLOOKUP(A898,Table3[#All],8,FALSE)</f>
        <v>3</v>
      </c>
      <c r="I898" s="2">
        <f>VLOOKUP(A898,Table3[#All],9,FALSE)</f>
        <v>41</v>
      </c>
      <c r="J898" s="2">
        <f>VLOOKUP(A898,Table3[#All],10,FALSE)</f>
        <v>1</v>
      </c>
      <c r="K898" s="2">
        <f>VLOOKUP(A898,Table3[#All],11,FALSE)</f>
        <v>87</v>
      </c>
      <c r="L898" s="2" t="str">
        <f>VLOOKUP(A898,Table3[#All],12,FALSE)</f>
        <v>Mumbai</v>
      </c>
      <c r="M898" s="2" t="str">
        <f t="shared" ref="M898:M961" si="14">IF(K898&gt;=95,"Eligible","Not Eligible")</f>
        <v>Not Eligible</v>
      </c>
    </row>
    <row r="899" spans="1:13" x14ac:dyDescent="0.25">
      <c r="A899" s="6" t="s">
        <v>125</v>
      </c>
      <c r="B899" s="2" t="str">
        <f>VLOOKUP(A899,Table3[#All],2,FALSE)</f>
        <v>Karthik</v>
      </c>
      <c r="C899" s="2" t="str">
        <f>VLOOKUP(A899,Table3[#All],3,FALSE)</f>
        <v>IT</v>
      </c>
      <c r="D899" s="2">
        <f>VLOOKUP(A899,Table3[#All],4,FALSE)</f>
        <v>30</v>
      </c>
      <c r="E899" s="2" t="str">
        <f>VLOOKUP(A899,Table3[#All],5,FALSE)</f>
        <v>Female</v>
      </c>
      <c r="F899" s="2">
        <f>VLOOKUP(A899,Table3[#All],6,FALSE)</f>
        <v>10</v>
      </c>
      <c r="G899" s="2">
        <f>VLOOKUP(A899,Table3[#All],7,FALSE)</f>
        <v>73986</v>
      </c>
      <c r="H899" s="2">
        <f>VLOOKUP(A899,Table3[#All],8,FALSE)</f>
        <v>11</v>
      </c>
      <c r="I899" s="2">
        <f>VLOOKUP(A899,Table3[#All],9,FALSE)</f>
        <v>49</v>
      </c>
      <c r="J899" s="2">
        <f>VLOOKUP(A899,Table3[#All],10,FALSE)</f>
        <v>5</v>
      </c>
      <c r="K899" s="2">
        <f>VLOOKUP(A899,Table3[#All],11,FALSE)</f>
        <v>97</v>
      </c>
      <c r="L899" s="2" t="str">
        <f>VLOOKUP(A899,Table3[#All],12,FALSE)</f>
        <v>Chennai</v>
      </c>
      <c r="M899" s="2" t="str">
        <f t="shared" si="14"/>
        <v>Eligible</v>
      </c>
    </row>
    <row r="900" spans="1:13" hidden="1" x14ac:dyDescent="0.25">
      <c r="A900" s="6" t="s">
        <v>129</v>
      </c>
      <c r="B900" s="2" t="str">
        <f>VLOOKUP(A900,Table3[#All],2,FALSE)</f>
        <v>Ajay</v>
      </c>
      <c r="C900" s="2" t="str">
        <f>VLOOKUP(A900,Table3[#All],3,FALSE)</f>
        <v>Sales</v>
      </c>
      <c r="D900" s="2">
        <f>VLOOKUP(A900,Table3[#All],4,FALSE)</f>
        <v>32</v>
      </c>
      <c r="E900" s="2" t="str">
        <f>VLOOKUP(A900,Table3[#All],5,FALSE)</f>
        <v>Male</v>
      </c>
      <c r="F900" s="2">
        <f>VLOOKUP(A900,Table3[#All],6,FALSE)</f>
        <v>10</v>
      </c>
      <c r="G900" s="2">
        <f>VLOOKUP(A900,Table3[#All],7,FALSE)</f>
        <v>74010</v>
      </c>
      <c r="H900" s="2">
        <f>VLOOKUP(A900,Table3[#All],8,FALSE)</f>
        <v>9</v>
      </c>
      <c r="I900" s="2">
        <f>VLOOKUP(A900,Table3[#All],9,FALSE)</f>
        <v>41</v>
      </c>
      <c r="J900" s="2">
        <f>VLOOKUP(A900,Table3[#All],10,FALSE)</f>
        <v>5</v>
      </c>
      <c r="K900" s="2">
        <f>VLOOKUP(A900,Table3[#All],11,FALSE)</f>
        <v>88</v>
      </c>
      <c r="L900" s="2" t="str">
        <f>VLOOKUP(A900,Table3[#All],12,FALSE)</f>
        <v>Pune</v>
      </c>
      <c r="M900" s="2" t="str">
        <f t="shared" si="14"/>
        <v>Not Eligible</v>
      </c>
    </row>
    <row r="901" spans="1:13" hidden="1" x14ac:dyDescent="0.25">
      <c r="A901" s="6" t="s">
        <v>471</v>
      </c>
      <c r="B901" s="2" t="str">
        <f>VLOOKUP(A901,Table3[#All],2,FALSE)</f>
        <v>Rekha</v>
      </c>
      <c r="C901" s="2" t="str">
        <f>VLOOKUP(A901,Table3[#All],3,FALSE)</f>
        <v>IT</v>
      </c>
      <c r="D901" s="2">
        <f>VLOOKUP(A901,Table3[#All],4,FALSE)</f>
        <v>33</v>
      </c>
      <c r="E901" s="2" t="str">
        <f>VLOOKUP(A901,Table3[#All],5,FALSE)</f>
        <v>Male</v>
      </c>
      <c r="F901" s="2">
        <f>VLOOKUP(A901,Table3[#All],6,FALSE)</f>
        <v>9</v>
      </c>
      <c r="G901" s="2">
        <f>VLOOKUP(A901,Table3[#All],7,FALSE)</f>
        <v>74134</v>
      </c>
      <c r="H901" s="2">
        <f>VLOOKUP(A901,Table3[#All],8,FALSE)</f>
        <v>4</v>
      </c>
      <c r="I901" s="2">
        <f>VLOOKUP(A901,Table3[#All],9,FALSE)</f>
        <v>47</v>
      </c>
      <c r="J901" s="2">
        <f>VLOOKUP(A901,Table3[#All],10,FALSE)</f>
        <v>5</v>
      </c>
      <c r="K901" s="2">
        <f>VLOOKUP(A901,Table3[#All],11,FALSE)</f>
        <v>90</v>
      </c>
      <c r="L901" s="2" t="str">
        <f>VLOOKUP(A901,Table3[#All],12,FALSE)</f>
        <v>Mumbai</v>
      </c>
      <c r="M901" s="2" t="str">
        <f t="shared" si="14"/>
        <v>Not Eligible</v>
      </c>
    </row>
    <row r="902" spans="1:13" hidden="1" x14ac:dyDescent="0.25">
      <c r="A902" s="6" t="s">
        <v>981</v>
      </c>
      <c r="B902" s="2" t="str">
        <f>VLOOKUP(A902,Table3[#All],2,FALSE)</f>
        <v>Nisha</v>
      </c>
      <c r="C902" s="2" t="str">
        <f>VLOOKUP(A902,Table3[#All],3,FALSE)</f>
        <v>IT</v>
      </c>
      <c r="D902" s="2">
        <f>VLOOKUP(A902,Table3[#All],4,FALSE)</f>
        <v>38</v>
      </c>
      <c r="E902" s="2" t="str">
        <f>VLOOKUP(A902,Table3[#All],5,FALSE)</f>
        <v>Female</v>
      </c>
      <c r="F902" s="2">
        <f>VLOOKUP(A902,Table3[#All],6,FALSE)</f>
        <v>5</v>
      </c>
      <c r="G902" s="2">
        <f>VLOOKUP(A902,Table3[#All],7,FALSE)</f>
        <v>74614</v>
      </c>
      <c r="H902" s="2">
        <f>VLOOKUP(A902,Table3[#All],8,FALSE)</f>
        <v>13</v>
      </c>
      <c r="I902" s="2">
        <f>VLOOKUP(A902,Table3[#All],9,FALSE)</f>
        <v>40</v>
      </c>
      <c r="J902" s="2">
        <f>VLOOKUP(A902,Table3[#All],10,FALSE)</f>
        <v>5</v>
      </c>
      <c r="K902" s="2">
        <f>VLOOKUP(A902,Table3[#All],11,FALSE)</f>
        <v>85</v>
      </c>
      <c r="L902" s="2" t="str">
        <f>VLOOKUP(A902,Table3[#All],12,FALSE)</f>
        <v>Bangalore</v>
      </c>
      <c r="M902" s="2" t="str">
        <f t="shared" si="14"/>
        <v>Not Eligible</v>
      </c>
    </row>
    <row r="903" spans="1:13" x14ac:dyDescent="0.25">
      <c r="A903" s="6" t="s">
        <v>767</v>
      </c>
      <c r="B903" s="2" t="str">
        <f>VLOOKUP(A903,Table3[#All],2,FALSE)</f>
        <v>Arun</v>
      </c>
      <c r="C903" s="2" t="str">
        <f>VLOOKUP(A903,Table3[#All],3,FALSE)</f>
        <v>HR</v>
      </c>
      <c r="D903" s="2">
        <f>VLOOKUP(A903,Table3[#All],4,FALSE)</f>
        <v>27</v>
      </c>
      <c r="E903" s="2" t="str">
        <f>VLOOKUP(A903,Table3[#All],5,FALSE)</f>
        <v>Female</v>
      </c>
      <c r="F903" s="2">
        <f>VLOOKUP(A903,Table3[#All],6,FALSE)</f>
        <v>10</v>
      </c>
      <c r="G903" s="2">
        <f>VLOOKUP(A903,Table3[#All],7,FALSE)</f>
        <v>74627</v>
      </c>
      <c r="H903" s="2">
        <f>VLOOKUP(A903,Table3[#All],8,FALSE)</f>
        <v>13</v>
      </c>
      <c r="I903" s="2">
        <f>VLOOKUP(A903,Table3[#All],9,FALSE)</f>
        <v>48</v>
      </c>
      <c r="J903" s="2">
        <f>VLOOKUP(A903,Table3[#All],10,FALSE)</f>
        <v>5</v>
      </c>
      <c r="K903" s="2">
        <f>VLOOKUP(A903,Table3[#All],11,FALSE)</f>
        <v>94</v>
      </c>
      <c r="L903" s="2" t="str">
        <f>VLOOKUP(A903,Table3[#All],12,FALSE)</f>
        <v>Pune</v>
      </c>
      <c r="M903" s="2" t="str">
        <f t="shared" si="14"/>
        <v>Not Eligible</v>
      </c>
    </row>
    <row r="904" spans="1:13" hidden="1" x14ac:dyDescent="0.25">
      <c r="A904" s="5" t="s">
        <v>698</v>
      </c>
      <c r="B904" s="2" t="str">
        <f>VLOOKUP(A904,Table3[#All],2,FALSE)</f>
        <v>Manoj</v>
      </c>
      <c r="C904" s="2" t="str">
        <f>VLOOKUP(A904,Table3[#All],3,FALSE)</f>
        <v>HR</v>
      </c>
      <c r="D904" s="2">
        <f>VLOOKUP(A904,Table3[#All],4,FALSE)</f>
        <v>30</v>
      </c>
      <c r="E904" s="2" t="str">
        <f>VLOOKUP(A904,Table3[#All],5,FALSE)</f>
        <v>Male</v>
      </c>
      <c r="F904" s="2">
        <f>VLOOKUP(A904,Table3[#All],6,FALSE)</f>
        <v>5</v>
      </c>
      <c r="G904" s="2">
        <f>VLOOKUP(A904,Table3[#All],7,FALSE)</f>
        <v>74664</v>
      </c>
      <c r="H904" s="2">
        <f>VLOOKUP(A904,Table3[#All],8,FALSE)</f>
        <v>4</v>
      </c>
      <c r="I904" s="2">
        <f>VLOOKUP(A904,Table3[#All],9,FALSE)</f>
        <v>46</v>
      </c>
      <c r="J904" s="2">
        <f>VLOOKUP(A904,Table3[#All],10,FALSE)</f>
        <v>1</v>
      </c>
      <c r="K904" s="2">
        <f>VLOOKUP(A904,Table3[#All],11,FALSE)</f>
        <v>99</v>
      </c>
      <c r="L904" s="2" t="str">
        <f>VLOOKUP(A904,Table3[#All],12,FALSE)</f>
        <v>Pune</v>
      </c>
      <c r="M904" s="2" t="str">
        <f t="shared" si="14"/>
        <v>Eligible</v>
      </c>
    </row>
    <row r="905" spans="1:13" x14ac:dyDescent="0.25">
      <c r="A905" s="6" t="s">
        <v>781</v>
      </c>
      <c r="B905" s="2" t="str">
        <f>VLOOKUP(A905,Table3[#All],2,FALSE)</f>
        <v>Arun</v>
      </c>
      <c r="C905" s="2" t="str">
        <f>VLOOKUP(A905,Table3[#All],3,FALSE)</f>
        <v>HR</v>
      </c>
      <c r="D905" s="2">
        <f>VLOOKUP(A905,Table3[#All],4,FALSE)</f>
        <v>23</v>
      </c>
      <c r="E905" s="2" t="str">
        <f>VLOOKUP(A905,Table3[#All],5,FALSE)</f>
        <v>Female</v>
      </c>
      <c r="F905" s="2">
        <f>VLOOKUP(A905,Table3[#All],6,FALSE)</f>
        <v>13</v>
      </c>
      <c r="G905" s="2">
        <f>VLOOKUP(A905,Table3[#All],7,FALSE)</f>
        <v>74819</v>
      </c>
      <c r="H905" s="2">
        <f>VLOOKUP(A905,Table3[#All],8,FALSE)</f>
        <v>13</v>
      </c>
      <c r="I905" s="2">
        <f>VLOOKUP(A905,Table3[#All],9,FALSE)</f>
        <v>43</v>
      </c>
      <c r="J905" s="2">
        <f>VLOOKUP(A905,Table3[#All],10,FALSE)</f>
        <v>2</v>
      </c>
      <c r="K905" s="2">
        <f>VLOOKUP(A905,Table3[#All],11,FALSE)</f>
        <v>94</v>
      </c>
      <c r="L905" s="2" t="str">
        <f>VLOOKUP(A905,Table3[#All],12,FALSE)</f>
        <v>Chennai</v>
      </c>
      <c r="M905" s="2" t="str">
        <f t="shared" si="14"/>
        <v>Not Eligible</v>
      </c>
    </row>
    <row r="906" spans="1:13" x14ac:dyDescent="0.25">
      <c r="A906" s="6" t="s">
        <v>17</v>
      </c>
      <c r="B906" s="2" t="str">
        <f>VLOOKUP(A906,Table3[#All],2,FALSE)</f>
        <v>Deepa</v>
      </c>
      <c r="C906" s="2" t="str">
        <f>VLOOKUP(A906,Table3[#All],3,FALSE)</f>
        <v>Sales</v>
      </c>
      <c r="D906" s="2">
        <f>VLOOKUP(A906,Table3[#All],4,FALSE)</f>
        <v>39</v>
      </c>
      <c r="E906" s="2" t="str">
        <f>VLOOKUP(A906,Table3[#All],5,FALSE)</f>
        <v>Female</v>
      </c>
      <c r="F906" s="2">
        <f>VLOOKUP(A906,Table3[#All],6,FALSE)</f>
        <v>9</v>
      </c>
      <c r="G906" s="2">
        <f>VLOOKUP(A906,Table3[#All],7,FALSE)</f>
        <v>74855</v>
      </c>
      <c r="H906" s="2">
        <f>VLOOKUP(A906,Table3[#All],8,FALSE)</f>
        <v>15</v>
      </c>
      <c r="I906" s="2">
        <f>VLOOKUP(A906,Table3[#All],9,FALSE)</f>
        <v>42</v>
      </c>
      <c r="J906" s="2">
        <f>VLOOKUP(A906,Table3[#All],10,FALSE)</f>
        <v>2</v>
      </c>
      <c r="K906" s="2">
        <f>VLOOKUP(A906,Table3[#All],11,FALSE)</f>
        <v>91</v>
      </c>
      <c r="L906" s="2" t="str">
        <f>VLOOKUP(A906,Table3[#All],12,FALSE)</f>
        <v>Bangalore</v>
      </c>
      <c r="M906" s="2" t="str">
        <f t="shared" si="14"/>
        <v>Not Eligible</v>
      </c>
    </row>
    <row r="907" spans="1:13" hidden="1" x14ac:dyDescent="0.25">
      <c r="A907" s="5" t="s">
        <v>908</v>
      </c>
      <c r="B907" s="2" t="str">
        <f>VLOOKUP(A907,Table3[#All],2,FALSE)</f>
        <v>Divya</v>
      </c>
      <c r="C907" s="2" t="str">
        <f>VLOOKUP(A907,Table3[#All],3,FALSE)</f>
        <v>HR</v>
      </c>
      <c r="D907" s="2">
        <f>VLOOKUP(A907,Table3[#All],4,FALSE)</f>
        <v>29</v>
      </c>
      <c r="E907" s="2" t="str">
        <f>VLOOKUP(A907,Table3[#All],5,FALSE)</f>
        <v>Male</v>
      </c>
      <c r="F907" s="2">
        <f>VLOOKUP(A907,Table3[#All],6,FALSE)</f>
        <v>11</v>
      </c>
      <c r="G907" s="2">
        <f>VLOOKUP(A907,Table3[#All],7,FALSE)</f>
        <v>74878</v>
      </c>
      <c r="H907" s="2">
        <f>VLOOKUP(A907,Table3[#All],8,FALSE)</f>
        <v>3</v>
      </c>
      <c r="I907" s="2">
        <f>VLOOKUP(A907,Table3[#All],9,FALSE)</f>
        <v>49</v>
      </c>
      <c r="J907" s="2">
        <f>VLOOKUP(A907,Table3[#All],10,FALSE)</f>
        <v>4</v>
      </c>
      <c r="K907" s="2">
        <f>VLOOKUP(A907,Table3[#All],11,FALSE)</f>
        <v>87</v>
      </c>
      <c r="L907" s="2" t="str">
        <f>VLOOKUP(A907,Table3[#All],12,FALSE)</f>
        <v>Hyderabad</v>
      </c>
      <c r="M907" s="2" t="str">
        <f t="shared" si="14"/>
        <v>Not Eligible</v>
      </c>
    </row>
    <row r="908" spans="1:13" x14ac:dyDescent="0.25">
      <c r="A908" s="6" t="s">
        <v>279</v>
      </c>
      <c r="B908" s="2" t="str">
        <f>VLOOKUP(A908,Table3[#All],2,FALSE)</f>
        <v>Arun</v>
      </c>
      <c r="C908" s="2" t="str">
        <f>VLOOKUP(A908,Table3[#All],3,FALSE)</f>
        <v>Finance</v>
      </c>
      <c r="D908" s="2">
        <f>VLOOKUP(A908,Table3[#All],4,FALSE)</f>
        <v>39</v>
      </c>
      <c r="E908" s="2" t="str">
        <f>VLOOKUP(A908,Table3[#All],5,FALSE)</f>
        <v>Female</v>
      </c>
      <c r="F908" s="2">
        <f>VLOOKUP(A908,Table3[#All],6,FALSE)</f>
        <v>5</v>
      </c>
      <c r="G908" s="2">
        <f>VLOOKUP(A908,Table3[#All],7,FALSE)</f>
        <v>74914</v>
      </c>
      <c r="H908" s="2">
        <f>VLOOKUP(A908,Table3[#All],8,FALSE)</f>
        <v>13</v>
      </c>
      <c r="I908" s="2">
        <f>VLOOKUP(A908,Table3[#All],9,FALSE)</f>
        <v>38</v>
      </c>
      <c r="J908" s="2">
        <f>VLOOKUP(A908,Table3[#All],10,FALSE)</f>
        <v>2</v>
      </c>
      <c r="K908" s="2">
        <f>VLOOKUP(A908,Table3[#All],11,FALSE)</f>
        <v>94</v>
      </c>
      <c r="L908" s="2" t="str">
        <f>VLOOKUP(A908,Table3[#All],12,FALSE)</f>
        <v>Pune</v>
      </c>
      <c r="M908" s="2" t="str">
        <f t="shared" si="14"/>
        <v>Not Eligible</v>
      </c>
    </row>
    <row r="909" spans="1:13" x14ac:dyDescent="0.25">
      <c r="A909" s="5" t="s">
        <v>950</v>
      </c>
      <c r="B909" s="2" t="str">
        <f>VLOOKUP(A909,Table3[#All],2,FALSE)</f>
        <v>Ajay</v>
      </c>
      <c r="C909" s="2" t="str">
        <f>VLOOKUP(A909,Table3[#All],3,FALSE)</f>
        <v>IT</v>
      </c>
      <c r="D909" s="2">
        <f>VLOOKUP(A909,Table3[#All],4,FALSE)</f>
        <v>32</v>
      </c>
      <c r="E909" s="2" t="str">
        <f>VLOOKUP(A909,Table3[#All],5,FALSE)</f>
        <v>Female</v>
      </c>
      <c r="F909" s="2">
        <f>VLOOKUP(A909,Table3[#All],6,FALSE)</f>
        <v>14</v>
      </c>
      <c r="G909" s="2">
        <f>VLOOKUP(A909,Table3[#All],7,FALSE)</f>
        <v>74934</v>
      </c>
      <c r="H909" s="2">
        <f>VLOOKUP(A909,Table3[#All],8,FALSE)</f>
        <v>11</v>
      </c>
      <c r="I909" s="2">
        <f>VLOOKUP(A909,Table3[#All],9,FALSE)</f>
        <v>40</v>
      </c>
      <c r="J909" s="2">
        <f>VLOOKUP(A909,Table3[#All],10,FALSE)</f>
        <v>5</v>
      </c>
      <c r="K909" s="2">
        <f>VLOOKUP(A909,Table3[#All],11,FALSE)</f>
        <v>98</v>
      </c>
      <c r="L909" s="2" t="str">
        <f>VLOOKUP(A909,Table3[#All],12,FALSE)</f>
        <v>Bangalore</v>
      </c>
      <c r="M909" s="2" t="str">
        <f t="shared" si="14"/>
        <v>Eligible</v>
      </c>
    </row>
    <row r="910" spans="1:13" hidden="1" x14ac:dyDescent="0.25">
      <c r="A910" s="5" t="s">
        <v>792</v>
      </c>
      <c r="B910" s="2" t="str">
        <f>VLOOKUP(A910,Table3[#All],2,FALSE)</f>
        <v>Ajay</v>
      </c>
      <c r="C910" s="2" t="str">
        <f>VLOOKUP(A910,Table3[#All],3,FALSE)</f>
        <v>IT</v>
      </c>
      <c r="D910" s="2">
        <f>VLOOKUP(A910,Table3[#All],4,FALSE)</f>
        <v>35</v>
      </c>
      <c r="E910" s="2" t="str">
        <f>VLOOKUP(A910,Table3[#All],5,FALSE)</f>
        <v>Male</v>
      </c>
      <c r="F910" s="2">
        <f>VLOOKUP(A910,Table3[#All],6,FALSE)</f>
        <v>5</v>
      </c>
      <c r="G910" s="2">
        <f>VLOOKUP(A910,Table3[#All],7,FALSE)</f>
        <v>75063</v>
      </c>
      <c r="H910" s="2">
        <f>VLOOKUP(A910,Table3[#All],8,FALSE)</f>
        <v>5</v>
      </c>
      <c r="I910" s="2">
        <f>VLOOKUP(A910,Table3[#All],9,FALSE)</f>
        <v>35</v>
      </c>
      <c r="J910" s="2">
        <f>VLOOKUP(A910,Table3[#All],10,FALSE)</f>
        <v>5</v>
      </c>
      <c r="K910" s="2">
        <f>VLOOKUP(A910,Table3[#All],11,FALSE)</f>
        <v>99</v>
      </c>
      <c r="L910" s="2" t="str">
        <f>VLOOKUP(A910,Table3[#All],12,FALSE)</f>
        <v>Bangalore</v>
      </c>
      <c r="M910" s="2" t="str">
        <f t="shared" si="14"/>
        <v>Eligible</v>
      </c>
    </row>
    <row r="911" spans="1:13" hidden="1" x14ac:dyDescent="0.25">
      <c r="A911" s="6" t="s">
        <v>953</v>
      </c>
      <c r="B911" s="2" t="str">
        <f>VLOOKUP(A911,Table3[#All],2,FALSE)</f>
        <v>Karthik</v>
      </c>
      <c r="C911" s="2" t="str">
        <f>VLOOKUP(A911,Table3[#All],3,FALSE)</f>
        <v>Finance</v>
      </c>
      <c r="D911" s="2">
        <f>VLOOKUP(A911,Table3[#All],4,FALSE)</f>
        <v>39</v>
      </c>
      <c r="E911" s="2" t="str">
        <f>VLOOKUP(A911,Table3[#All],5,FALSE)</f>
        <v>Female</v>
      </c>
      <c r="F911" s="2">
        <f>VLOOKUP(A911,Table3[#All],6,FALSE)</f>
        <v>1</v>
      </c>
      <c r="G911" s="2">
        <f>VLOOKUP(A911,Table3[#All],7,FALSE)</f>
        <v>30478</v>
      </c>
      <c r="H911" s="2">
        <f>VLOOKUP(A911,Table3[#All],8,FALSE)</f>
        <v>15</v>
      </c>
      <c r="I911" s="2">
        <f>VLOOKUP(A911,Table3[#All],9,FALSE)</f>
        <v>49</v>
      </c>
      <c r="J911" s="2">
        <f>VLOOKUP(A911,Table3[#All],10,FALSE)</f>
        <v>3</v>
      </c>
      <c r="K911" s="2">
        <f>VLOOKUP(A911,Table3[#All],11,FALSE)</f>
        <v>86</v>
      </c>
      <c r="L911" s="2" t="str">
        <f>VLOOKUP(A911,Table3[#All],12,FALSE)</f>
        <v>Bangalore</v>
      </c>
      <c r="M911" s="2" t="str">
        <f t="shared" si="14"/>
        <v>Not Eligible</v>
      </c>
    </row>
    <row r="912" spans="1:13" hidden="1" x14ac:dyDescent="0.25">
      <c r="A912" s="5" t="s">
        <v>954</v>
      </c>
      <c r="B912" s="2" t="str">
        <f>VLOOKUP(A912,Table3[#All],2,FALSE)</f>
        <v>Sneha</v>
      </c>
      <c r="C912" s="2" t="str">
        <f>VLOOKUP(A912,Table3[#All],3,FALSE)</f>
        <v>IT</v>
      </c>
      <c r="D912" s="2">
        <f>VLOOKUP(A912,Table3[#All],4,FALSE)</f>
        <v>27</v>
      </c>
      <c r="E912" s="2" t="str">
        <f>VLOOKUP(A912,Table3[#All],5,FALSE)</f>
        <v>Male</v>
      </c>
      <c r="F912" s="2">
        <f>VLOOKUP(A912,Table3[#All],6,FALSE)</f>
        <v>1</v>
      </c>
      <c r="G912" s="2">
        <f>VLOOKUP(A912,Table3[#All],7,FALSE)</f>
        <v>71524</v>
      </c>
      <c r="H912" s="2">
        <f>VLOOKUP(A912,Table3[#All],8,FALSE)</f>
        <v>7</v>
      </c>
      <c r="I912" s="2">
        <f>VLOOKUP(A912,Table3[#All],9,FALSE)</f>
        <v>35</v>
      </c>
      <c r="J912" s="2">
        <f>VLOOKUP(A912,Table3[#All],10,FALSE)</f>
        <v>1</v>
      </c>
      <c r="K912" s="2">
        <f>VLOOKUP(A912,Table3[#All],11,FALSE)</f>
        <v>92</v>
      </c>
      <c r="L912" s="2" t="str">
        <f>VLOOKUP(A912,Table3[#All],12,FALSE)</f>
        <v>Chennai</v>
      </c>
      <c r="M912" s="2" t="str">
        <f t="shared" si="14"/>
        <v>Not Eligible</v>
      </c>
    </row>
    <row r="913" spans="1:13" hidden="1" x14ac:dyDescent="0.25">
      <c r="A913" s="6" t="s">
        <v>955</v>
      </c>
      <c r="B913" s="2" t="str">
        <f>VLOOKUP(A913,Table3[#All],2,FALSE)</f>
        <v>Sneha</v>
      </c>
      <c r="C913" s="2" t="str">
        <f>VLOOKUP(A913,Table3[#All],3,FALSE)</f>
        <v>Sales</v>
      </c>
      <c r="D913" s="2">
        <f>VLOOKUP(A913,Table3[#All],4,FALSE)</f>
        <v>22</v>
      </c>
      <c r="E913" s="2" t="str">
        <f>VLOOKUP(A913,Table3[#All],5,FALSE)</f>
        <v>Male</v>
      </c>
      <c r="F913" s="2">
        <f>VLOOKUP(A913,Table3[#All],6,FALSE)</f>
        <v>3</v>
      </c>
      <c r="G913" s="2">
        <f>VLOOKUP(A913,Table3[#All],7,FALSE)</f>
        <v>75077</v>
      </c>
      <c r="H913" s="2">
        <f>VLOOKUP(A913,Table3[#All],8,FALSE)</f>
        <v>14</v>
      </c>
      <c r="I913" s="2">
        <f>VLOOKUP(A913,Table3[#All],9,FALSE)</f>
        <v>39</v>
      </c>
      <c r="J913" s="2">
        <f>VLOOKUP(A913,Table3[#All],10,FALSE)</f>
        <v>1</v>
      </c>
      <c r="K913" s="2">
        <f>VLOOKUP(A913,Table3[#All],11,FALSE)</f>
        <v>97</v>
      </c>
      <c r="L913" s="2" t="str">
        <f>VLOOKUP(A913,Table3[#All],12,FALSE)</f>
        <v>Delhi</v>
      </c>
      <c r="M913" s="2" t="str">
        <f t="shared" si="14"/>
        <v>Eligible</v>
      </c>
    </row>
    <row r="914" spans="1:13" hidden="1" x14ac:dyDescent="0.25">
      <c r="A914" s="5" t="s">
        <v>78</v>
      </c>
      <c r="B914" s="2" t="str">
        <f>VLOOKUP(A914,Table3[#All],2,FALSE)</f>
        <v>Sneha</v>
      </c>
      <c r="C914" s="2" t="str">
        <f>VLOOKUP(A914,Table3[#All],3,FALSE)</f>
        <v>IT</v>
      </c>
      <c r="D914" s="2">
        <f>VLOOKUP(A914,Table3[#All],4,FALSE)</f>
        <v>37</v>
      </c>
      <c r="E914" s="2" t="str">
        <f>VLOOKUP(A914,Table3[#All],5,FALSE)</f>
        <v>Male</v>
      </c>
      <c r="F914" s="2">
        <f>VLOOKUP(A914,Table3[#All],6,FALSE)</f>
        <v>13</v>
      </c>
      <c r="G914" s="2">
        <f>VLOOKUP(A914,Table3[#All],7,FALSE)</f>
        <v>75113</v>
      </c>
      <c r="H914" s="2">
        <f>VLOOKUP(A914,Table3[#All],8,FALSE)</f>
        <v>6</v>
      </c>
      <c r="I914" s="2">
        <f>VLOOKUP(A914,Table3[#All],9,FALSE)</f>
        <v>43</v>
      </c>
      <c r="J914" s="2">
        <f>VLOOKUP(A914,Table3[#All],10,FALSE)</f>
        <v>4</v>
      </c>
      <c r="K914" s="2">
        <f>VLOOKUP(A914,Table3[#All],11,FALSE)</f>
        <v>97</v>
      </c>
      <c r="L914" s="2" t="str">
        <f>VLOOKUP(A914,Table3[#All],12,FALSE)</f>
        <v>Mumbai</v>
      </c>
      <c r="M914" s="2" t="str">
        <f t="shared" si="14"/>
        <v>Eligible</v>
      </c>
    </row>
    <row r="915" spans="1:13" hidden="1" x14ac:dyDescent="0.25">
      <c r="A915" s="6" t="s">
        <v>641</v>
      </c>
      <c r="B915" s="2" t="str">
        <f>VLOOKUP(A915,Table3[#All],2,FALSE)</f>
        <v>Divya</v>
      </c>
      <c r="C915" s="2" t="str">
        <f>VLOOKUP(A915,Table3[#All],3,FALSE)</f>
        <v>Sales</v>
      </c>
      <c r="D915" s="2">
        <f>VLOOKUP(A915,Table3[#All],4,FALSE)</f>
        <v>23</v>
      </c>
      <c r="E915" s="2" t="str">
        <f>VLOOKUP(A915,Table3[#All],5,FALSE)</f>
        <v>Female</v>
      </c>
      <c r="F915" s="2">
        <f>VLOOKUP(A915,Table3[#All],6,FALSE)</f>
        <v>12</v>
      </c>
      <c r="G915" s="2">
        <f>VLOOKUP(A915,Table3[#All],7,FALSE)</f>
        <v>75326</v>
      </c>
      <c r="H915" s="2">
        <f>VLOOKUP(A915,Table3[#All],8,FALSE)</f>
        <v>6</v>
      </c>
      <c r="I915" s="2">
        <f>VLOOKUP(A915,Table3[#All],9,FALSE)</f>
        <v>37</v>
      </c>
      <c r="J915" s="2">
        <f>VLOOKUP(A915,Table3[#All],10,FALSE)</f>
        <v>5</v>
      </c>
      <c r="K915" s="2">
        <f>VLOOKUP(A915,Table3[#All],11,FALSE)</f>
        <v>90</v>
      </c>
      <c r="L915" s="2" t="str">
        <f>VLOOKUP(A915,Table3[#All],12,FALSE)</f>
        <v>Mumbai</v>
      </c>
      <c r="M915" s="2" t="str">
        <f t="shared" si="14"/>
        <v>Not Eligible</v>
      </c>
    </row>
    <row r="916" spans="1:13" hidden="1" x14ac:dyDescent="0.25">
      <c r="A916" s="6" t="s">
        <v>487</v>
      </c>
      <c r="B916" s="2" t="str">
        <f>VLOOKUP(A916,Table3[#All],2,FALSE)</f>
        <v>Ajay</v>
      </c>
      <c r="C916" s="2" t="str">
        <f>VLOOKUP(A916,Table3[#All],3,FALSE)</f>
        <v>IT</v>
      </c>
      <c r="D916" s="2">
        <f>VLOOKUP(A916,Table3[#All],4,FALSE)</f>
        <v>34</v>
      </c>
      <c r="E916" s="2" t="str">
        <f>VLOOKUP(A916,Table3[#All],5,FALSE)</f>
        <v>Female</v>
      </c>
      <c r="F916" s="2">
        <f>VLOOKUP(A916,Table3[#All],6,FALSE)</f>
        <v>14</v>
      </c>
      <c r="G916" s="2">
        <f>VLOOKUP(A916,Table3[#All],7,FALSE)</f>
        <v>75484</v>
      </c>
      <c r="H916" s="2">
        <f>VLOOKUP(A916,Table3[#All],8,FALSE)</f>
        <v>12</v>
      </c>
      <c r="I916" s="2">
        <f>VLOOKUP(A916,Table3[#All],9,FALSE)</f>
        <v>40</v>
      </c>
      <c r="J916" s="2">
        <f>VLOOKUP(A916,Table3[#All],10,FALSE)</f>
        <v>1</v>
      </c>
      <c r="K916" s="2">
        <f>VLOOKUP(A916,Table3[#All],11,FALSE)</f>
        <v>86</v>
      </c>
      <c r="L916" s="2" t="str">
        <f>VLOOKUP(A916,Table3[#All],12,FALSE)</f>
        <v>Chennai</v>
      </c>
      <c r="M916" s="2" t="str">
        <f t="shared" si="14"/>
        <v>Not Eligible</v>
      </c>
    </row>
    <row r="917" spans="1:13" hidden="1" x14ac:dyDescent="0.25">
      <c r="A917" s="6" t="s">
        <v>699</v>
      </c>
      <c r="B917" s="2" t="str">
        <f>VLOOKUP(A917,Table3[#All],2,FALSE)</f>
        <v>Ajay</v>
      </c>
      <c r="C917" s="2" t="str">
        <f>VLOOKUP(A917,Table3[#All],3,FALSE)</f>
        <v>Sales</v>
      </c>
      <c r="D917" s="2">
        <f>VLOOKUP(A917,Table3[#All],4,FALSE)</f>
        <v>26</v>
      </c>
      <c r="E917" s="2" t="str">
        <f>VLOOKUP(A917,Table3[#All],5,FALSE)</f>
        <v>Female</v>
      </c>
      <c r="F917" s="2">
        <f>VLOOKUP(A917,Table3[#All],6,FALSE)</f>
        <v>9</v>
      </c>
      <c r="G917" s="2">
        <f>VLOOKUP(A917,Table3[#All],7,FALSE)</f>
        <v>75620</v>
      </c>
      <c r="H917" s="2">
        <f>VLOOKUP(A917,Table3[#All],8,FALSE)</f>
        <v>12</v>
      </c>
      <c r="I917" s="2">
        <f>VLOOKUP(A917,Table3[#All],9,FALSE)</f>
        <v>45</v>
      </c>
      <c r="J917" s="2">
        <f>VLOOKUP(A917,Table3[#All],10,FALSE)</f>
        <v>5</v>
      </c>
      <c r="K917" s="2">
        <f>VLOOKUP(A917,Table3[#All],11,FALSE)</f>
        <v>90</v>
      </c>
      <c r="L917" s="2" t="str">
        <f>VLOOKUP(A917,Table3[#All],12,FALSE)</f>
        <v>Chennai</v>
      </c>
      <c r="M917" s="2" t="str">
        <f t="shared" si="14"/>
        <v>Not Eligible</v>
      </c>
    </row>
    <row r="918" spans="1:13" hidden="1" x14ac:dyDescent="0.25">
      <c r="A918" s="6" t="s">
        <v>583</v>
      </c>
      <c r="B918" s="2" t="str">
        <f>VLOOKUP(A918,Table3[#All],2,FALSE)</f>
        <v>Divya</v>
      </c>
      <c r="C918" s="2" t="str">
        <f>VLOOKUP(A918,Table3[#All],3,FALSE)</f>
        <v>IT</v>
      </c>
      <c r="D918" s="2">
        <f>VLOOKUP(A918,Table3[#All],4,FALSE)</f>
        <v>28</v>
      </c>
      <c r="E918" s="2" t="str">
        <f>VLOOKUP(A918,Table3[#All],5,FALSE)</f>
        <v>Male</v>
      </c>
      <c r="F918" s="2">
        <f>VLOOKUP(A918,Table3[#All],6,FALSE)</f>
        <v>11</v>
      </c>
      <c r="G918" s="2">
        <f>VLOOKUP(A918,Table3[#All],7,FALSE)</f>
        <v>75650</v>
      </c>
      <c r="H918" s="2">
        <f>VLOOKUP(A918,Table3[#All],8,FALSE)</f>
        <v>9</v>
      </c>
      <c r="I918" s="2">
        <f>VLOOKUP(A918,Table3[#All],9,FALSE)</f>
        <v>50</v>
      </c>
      <c r="J918" s="2">
        <f>VLOOKUP(A918,Table3[#All],10,FALSE)</f>
        <v>3</v>
      </c>
      <c r="K918" s="2">
        <f>VLOOKUP(A918,Table3[#All],11,FALSE)</f>
        <v>98</v>
      </c>
      <c r="L918" s="2" t="str">
        <f>VLOOKUP(A918,Table3[#All],12,FALSE)</f>
        <v>Mumbai</v>
      </c>
      <c r="M918" s="2" t="str">
        <f t="shared" si="14"/>
        <v>Eligible</v>
      </c>
    </row>
    <row r="919" spans="1:13" hidden="1" x14ac:dyDescent="0.25">
      <c r="A919" s="6" t="s">
        <v>961</v>
      </c>
      <c r="B919" s="2" t="str">
        <f>VLOOKUP(A919,Table3[#All],2,FALSE)</f>
        <v>Priya</v>
      </c>
      <c r="C919" s="2" t="str">
        <f>VLOOKUP(A919,Table3[#All],3,FALSE)</f>
        <v>IT</v>
      </c>
      <c r="D919" s="2">
        <f>VLOOKUP(A919,Table3[#All],4,FALSE)</f>
        <v>23</v>
      </c>
      <c r="E919" s="2" t="str">
        <f>VLOOKUP(A919,Table3[#All],5,FALSE)</f>
        <v>Female</v>
      </c>
      <c r="F919" s="2">
        <f>VLOOKUP(A919,Table3[#All],6,FALSE)</f>
        <v>1</v>
      </c>
      <c r="G919" s="2">
        <f>VLOOKUP(A919,Table3[#All],7,FALSE)</f>
        <v>36249</v>
      </c>
      <c r="H919" s="2">
        <f>VLOOKUP(A919,Table3[#All],8,FALSE)</f>
        <v>7</v>
      </c>
      <c r="I919" s="2">
        <f>VLOOKUP(A919,Table3[#All],9,FALSE)</f>
        <v>37</v>
      </c>
      <c r="J919" s="2">
        <f>VLOOKUP(A919,Table3[#All],10,FALSE)</f>
        <v>4</v>
      </c>
      <c r="K919" s="2">
        <f>VLOOKUP(A919,Table3[#All],11,FALSE)</f>
        <v>87</v>
      </c>
      <c r="L919" s="2" t="str">
        <f>VLOOKUP(A919,Table3[#All],12,FALSE)</f>
        <v>Mumbai</v>
      </c>
      <c r="M919" s="2" t="str">
        <f t="shared" si="14"/>
        <v>Not Eligible</v>
      </c>
    </row>
    <row r="920" spans="1:13" hidden="1" x14ac:dyDescent="0.25">
      <c r="A920" s="6" t="s">
        <v>881</v>
      </c>
      <c r="B920" s="2" t="str">
        <f>VLOOKUP(A920,Table3[#All],2,FALSE)</f>
        <v>Sneha</v>
      </c>
      <c r="C920" s="2" t="str">
        <f>VLOOKUP(A920,Table3[#All],3,FALSE)</f>
        <v>Finance</v>
      </c>
      <c r="D920" s="2">
        <f>VLOOKUP(A920,Table3[#All],4,FALSE)</f>
        <v>38</v>
      </c>
      <c r="E920" s="2" t="str">
        <f>VLOOKUP(A920,Table3[#All],5,FALSE)</f>
        <v>Male</v>
      </c>
      <c r="F920" s="2">
        <f>VLOOKUP(A920,Table3[#All],6,FALSE)</f>
        <v>11</v>
      </c>
      <c r="G920" s="2">
        <f>VLOOKUP(A920,Table3[#All],7,FALSE)</f>
        <v>75787</v>
      </c>
      <c r="H920" s="2">
        <f>VLOOKUP(A920,Table3[#All],8,FALSE)</f>
        <v>6</v>
      </c>
      <c r="I920" s="2">
        <f>VLOOKUP(A920,Table3[#All],9,FALSE)</f>
        <v>38</v>
      </c>
      <c r="J920" s="2">
        <f>VLOOKUP(A920,Table3[#All],10,FALSE)</f>
        <v>4</v>
      </c>
      <c r="K920" s="2">
        <f>VLOOKUP(A920,Table3[#All],11,FALSE)</f>
        <v>88</v>
      </c>
      <c r="L920" s="2" t="str">
        <f>VLOOKUP(A920,Table3[#All],12,FALSE)</f>
        <v>Chennai</v>
      </c>
      <c r="M920" s="2" t="str">
        <f t="shared" si="14"/>
        <v>Not Eligible</v>
      </c>
    </row>
    <row r="921" spans="1:13" hidden="1" x14ac:dyDescent="0.25">
      <c r="A921" s="6" t="s">
        <v>963</v>
      </c>
      <c r="B921" s="2" t="str">
        <f>VLOOKUP(A921,Table3[#All],2,FALSE)</f>
        <v>Kavya</v>
      </c>
      <c r="C921" s="2" t="str">
        <f>VLOOKUP(A921,Table3[#All],3,FALSE)</f>
        <v>Finance</v>
      </c>
      <c r="D921" s="2">
        <f>VLOOKUP(A921,Table3[#All],4,FALSE)</f>
        <v>38</v>
      </c>
      <c r="E921" s="2" t="str">
        <f>VLOOKUP(A921,Table3[#All],5,FALSE)</f>
        <v>Male</v>
      </c>
      <c r="F921" s="2">
        <f>VLOOKUP(A921,Table3[#All],6,FALSE)</f>
        <v>2</v>
      </c>
      <c r="G921" s="2">
        <f>VLOOKUP(A921,Table3[#All],7,FALSE)</f>
        <v>48337</v>
      </c>
      <c r="H921" s="2">
        <f>VLOOKUP(A921,Table3[#All],8,FALSE)</f>
        <v>9</v>
      </c>
      <c r="I921" s="2">
        <f>VLOOKUP(A921,Table3[#All],9,FALSE)</f>
        <v>41</v>
      </c>
      <c r="J921" s="2">
        <f>VLOOKUP(A921,Table3[#All],10,FALSE)</f>
        <v>2</v>
      </c>
      <c r="K921" s="2">
        <f>VLOOKUP(A921,Table3[#All],11,FALSE)</f>
        <v>97</v>
      </c>
      <c r="L921" s="2" t="str">
        <f>VLOOKUP(A921,Table3[#All],12,FALSE)</f>
        <v>Bangalore</v>
      </c>
      <c r="M921" s="2" t="str">
        <f t="shared" si="14"/>
        <v>Eligible</v>
      </c>
    </row>
    <row r="922" spans="1:13" hidden="1" x14ac:dyDescent="0.25">
      <c r="A922" s="6" t="s">
        <v>325</v>
      </c>
      <c r="B922" s="2" t="str">
        <f>VLOOKUP(A922,Table3[#All],2,FALSE)</f>
        <v>Priya</v>
      </c>
      <c r="C922" s="2" t="str">
        <f>VLOOKUP(A922,Table3[#All],3,FALSE)</f>
        <v>Sales</v>
      </c>
      <c r="D922" s="2">
        <f>VLOOKUP(A922,Table3[#All],4,FALSE)</f>
        <v>33</v>
      </c>
      <c r="E922" s="2" t="str">
        <f>VLOOKUP(A922,Table3[#All],5,FALSE)</f>
        <v>Female</v>
      </c>
      <c r="F922" s="2">
        <f>VLOOKUP(A922,Table3[#All],6,FALSE)</f>
        <v>7</v>
      </c>
      <c r="G922" s="2">
        <f>VLOOKUP(A922,Table3[#All],7,FALSE)</f>
        <v>75863</v>
      </c>
      <c r="H922" s="2">
        <f>VLOOKUP(A922,Table3[#All],8,FALSE)</f>
        <v>3</v>
      </c>
      <c r="I922" s="2">
        <f>VLOOKUP(A922,Table3[#All],9,FALSE)</f>
        <v>41</v>
      </c>
      <c r="J922" s="2">
        <f>VLOOKUP(A922,Table3[#All],10,FALSE)</f>
        <v>4</v>
      </c>
      <c r="K922" s="2">
        <f>VLOOKUP(A922,Table3[#All],11,FALSE)</f>
        <v>85</v>
      </c>
      <c r="L922" s="2" t="str">
        <f>VLOOKUP(A922,Table3[#All],12,FALSE)</f>
        <v>Mumbai</v>
      </c>
      <c r="M922" s="2" t="str">
        <f t="shared" si="14"/>
        <v>Not Eligible</v>
      </c>
    </row>
    <row r="923" spans="1:13" hidden="1" x14ac:dyDescent="0.25">
      <c r="A923" s="6" t="s">
        <v>965</v>
      </c>
      <c r="B923" s="2" t="str">
        <f>VLOOKUP(A923,Table3[#All],2,FALSE)</f>
        <v>Rekha</v>
      </c>
      <c r="C923" s="2" t="str">
        <f>VLOOKUP(A923,Table3[#All],3,FALSE)</f>
        <v>IT</v>
      </c>
      <c r="D923" s="2">
        <f>VLOOKUP(A923,Table3[#All],4,FALSE)</f>
        <v>30</v>
      </c>
      <c r="E923" s="2" t="str">
        <f>VLOOKUP(A923,Table3[#All],5,FALSE)</f>
        <v>Female</v>
      </c>
      <c r="F923" s="2">
        <f>VLOOKUP(A923,Table3[#All],6,FALSE)</f>
        <v>2</v>
      </c>
      <c r="G923" s="2">
        <f>VLOOKUP(A923,Table3[#All],7,FALSE)</f>
        <v>56311</v>
      </c>
      <c r="H923" s="2">
        <f>VLOOKUP(A923,Table3[#All],8,FALSE)</f>
        <v>15</v>
      </c>
      <c r="I923" s="2">
        <f>VLOOKUP(A923,Table3[#All],9,FALSE)</f>
        <v>43</v>
      </c>
      <c r="J923" s="2">
        <f>VLOOKUP(A923,Table3[#All],10,FALSE)</f>
        <v>2</v>
      </c>
      <c r="K923" s="2">
        <f>VLOOKUP(A923,Table3[#All],11,FALSE)</f>
        <v>91</v>
      </c>
      <c r="L923" s="2" t="str">
        <f>VLOOKUP(A923,Table3[#All],12,FALSE)</f>
        <v>Chennai</v>
      </c>
      <c r="M923" s="2" t="str">
        <f t="shared" si="14"/>
        <v>Not Eligible</v>
      </c>
    </row>
    <row r="924" spans="1:13" hidden="1" x14ac:dyDescent="0.25">
      <c r="A924" s="5" t="s">
        <v>966</v>
      </c>
      <c r="B924" s="2" t="str">
        <f>VLOOKUP(A924,Table3[#All],2,FALSE)</f>
        <v>Priya</v>
      </c>
      <c r="C924" s="2" t="str">
        <f>VLOOKUP(A924,Table3[#All],3,FALSE)</f>
        <v>Sales</v>
      </c>
      <c r="D924" s="2">
        <f>VLOOKUP(A924,Table3[#All],4,FALSE)</f>
        <v>28</v>
      </c>
      <c r="E924" s="2" t="str">
        <f>VLOOKUP(A924,Table3[#All],5,FALSE)</f>
        <v>Female</v>
      </c>
      <c r="F924" s="2">
        <f>VLOOKUP(A924,Table3[#All],6,FALSE)</f>
        <v>3</v>
      </c>
      <c r="G924" s="2">
        <f>VLOOKUP(A924,Table3[#All],7,FALSE)</f>
        <v>25039</v>
      </c>
      <c r="H924" s="2">
        <f>VLOOKUP(A924,Table3[#All],8,FALSE)</f>
        <v>11</v>
      </c>
      <c r="I924" s="2">
        <f>VLOOKUP(A924,Table3[#All],9,FALSE)</f>
        <v>45</v>
      </c>
      <c r="J924" s="2">
        <f>VLOOKUP(A924,Table3[#All],10,FALSE)</f>
        <v>3</v>
      </c>
      <c r="K924" s="2">
        <f>VLOOKUP(A924,Table3[#All],11,FALSE)</f>
        <v>95</v>
      </c>
      <c r="L924" s="2" t="str">
        <f>VLOOKUP(A924,Table3[#All],12,FALSE)</f>
        <v>Delhi</v>
      </c>
      <c r="M924" s="2" t="str">
        <f t="shared" si="14"/>
        <v>Eligible</v>
      </c>
    </row>
    <row r="925" spans="1:13" x14ac:dyDescent="0.25">
      <c r="A925" s="6" t="s">
        <v>79</v>
      </c>
      <c r="B925" s="2" t="str">
        <f>VLOOKUP(A925,Table3[#All],2,FALSE)</f>
        <v>Anitha</v>
      </c>
      <c r="C925" s="2" t="str">
        <f>VLOOKUP(A925,Table3[#All],3,FALSE)</f>
        <v>Sales</v>
      </c>
      <c r="D925" s="2">
        <f>VLOOKUP(A925,Table3[#All],4,FALSE)</f>
        <v>40</v>
      </c>
      <c r="E925" s="2" t="str">
        <f>VLOOKUP(A925,Table3[#All],5,FALSE)</f>
        <v>Male</v>
      </c>
      <c r="F925" s="2">
        <f>VLOOKUP(A925,Table3[#All],6,FALSE)</f>
        <v>9</v>
      </c>
      <c r="G925" s="2">
        <f>VLOOKUP(A925,Table3[#All],7,FALSE)</f>
        <v>75874</v>
      </c>
      <c r="H925" s="2">
        <f>VLOOKUP(A925,Table3[#All],8,FALSE)</f>
        <v>13</v>
      </c>
      <c r="I925" s="2">
        <f>VLOOKUP(A925,Table3[#All],9,FALSE)</f>
        <v>35</v>
      </c>
      <c r="J925" s="2">
        <f>VLOOKUP(A925,Table3[#All],10,FALSE)</f>
        <v>4</v>
      </c>
      <c r="K925" s="2">
        <f>VLOOKUP(A925,Table3[#All],11,FALSE)</f>
        <v>97</v>
      </c>
      <c r="L925" s="2" t="str">
        <f>VLOOKUP(A925,Table3[#All],12,FALSE)</f>
        <v>Mumbai</v>
      </c>
      <c r="M925" s="2" t="str">
        <f t="shared" si="14"/>
        <v>Eligible</v>
      </c>
    </row>
    <row r="926" spans="1:13" hidden="1" x14ac:dyDescent="0.25">
      <c r="A926" s="6" t="s">
        <v>969</v>
      </c>
      <c r="B926" s="2" t="str">
        <f>VLOOKUP(A926,Table3[#All],2,FALSE)</f>
        <v>Ravi</v>
      </c>
      <c r="C926" s="2" t="str">
        <f>VLOOKUP(A926,Table3[#All],3,FALSE)</f>
        <v>Finance</v>
      </c>
      <c r="D926" s="2">
        <f>VLOOKUP(A926,Table3[#All],4,FALSE)</f>
        <v>22</v>
      </c>
      <c r="E926" s="2" t="str">
        <f>VLOOKUP(A926,Table3[#All],5,FALSE)</f>
        <v>Female</v>
      </c>
      <c r="F926" s="2">
        <f>VLOOKUP(A926,Table3[#All],6,FALSE)</f>
        <v>8</v>
      </c>
      <c r="G926" s="2">
        <f>VLOOKUP(A926,Table3[#All],7,FALSE)</f>
        <v>76243</v>
      </c>
      <c r="H926" s="2">
        <f>VLOOKUP(A926,Table3[#All],8,FALSE)</f>
        <v>9</v>
      </c>
      <c r="I926" s="2">
        <f>VLOOKUP(A926,Table3[#All],9,FALSE)</f>
        <v>35</v>
      </c>
      <c r="J926" s="2">
        <f>VLOOKUP(A926,Table3[#All],10,FALSE)</f>
        <v>1</v>
      </c>
      <c r="K926" s="2">
        <f>VLOOKUP(A926,Table3[#All],11,FALSE)</f>
        <v>95</v>
      </c>
      <c r="L926" s="2" t="str">
        <f>VLOOKUP(A926,Table3[#All],12,FALSE)</f>
        <v>Chennai</v>
      </c>
      <c r="M926" s="2" t="str">
        <f t="shared" si="14"/>
        <v>Eligible</v>
      </c>
    </row>
    <row r="927" spans="1:13" hidden="1" x14ac:dyDescent="0.25">
      <c r="A927" s="5" t="s">
        <v>406</v>
      </c>
      <c r="B927" s="2" t="str">
        <f>VLOOKUP(A927,Table3[#All],2,FALSE)</f>
        <v>Sneha</v>
      </c>
      <c r="C927" s="2" t="str">
        <f>VLOOKUP(A927,Table3[#All],3,FALSE)</f>
        <v>IT</v>
      </c>
      <c r="D927" s="2">
        <f>VLOOKUP(A927,Table3[#All],4,FALSE)</f>
        <v>26</v>
      </c>
      <c r="E927" s="2" t="str">
        <f>VLOOKUP(A927,Table3[#All],5,FALSE)</f>
        <v>Male</v>
      </c>
      <c r="F927" s="2">
        <f>VLOOKUP(A927,Table3[#All],6,FALSE)</f>
        <v>6</v>
      </c>
      <c r="G927" s="2">
        <f>VLOOKUP(A927,Table3[#All],7,FALSE)</f>
        <v>76256</v>
      </c>
      <c r="H927" s="2">
        <f>VLOOKUP(A927,Table3[#All],8,FALSE)</f>
        <v>7</v>
      </c>
      <c r="I927" s="2">
        <f>VLOOKUP(A927,Table3[#All],9,FALSE)</f>
        <v>35</v>
      </c>
      <c r="J927" s="2">
        <f>VLOOKUP(A927,Table3[#All],10,FALSE)</f>
        <v>1</v>
      </c>
      <c r="K927" s="2">
        <f>VLOOKUP(A927,Table3[#All],11,FALSE)</f>
        <v>96</v>
      </c>
      <c r="L927" s="2" t="str">
        <f>VLOOKUP(A927,Table3[#All],12,FALSE)</f>
        <v>Chennai</v>
      </c>
      <c r="M927" s="2" t="str">
        <f t="shared" si="14"/>
        <v>Eligible</v>
      </c>
    </row>
    <row r="928" spans="1:13" x14ac:dyDescent="0.25">
      <c r="A928" s="5" t="s">
        <v>676</v>
      </c>
      <c r="B928" s="2" t="str">
        <f>VLOOKUP(A928,Table3[#All],2,FALSE)</f>
        <v>Kavya</v>
      </c>
      <c r="C928" s="2" t="str">
        <f>VLOOKUP(A928,Table3[#All],3,FALSE)</f>
        <v>Sales</v>
      </c>
      <c r="D928" s="2">
        <f>VLOOKUP(A928,Table3[#All],4,FALSE)</f>
        <v>37</v>
      </c>
      <c r="E928" s="2" t="str">
        <f>VLOOKUP(A928,Table3[#All],5,FALSE)</f>
        <v>Male</v>
      </c>
      <c r="F928" s="2">
        <f>VLOOKUP(A928,Table3[#All],6,FALSE)</f>
        <v>6</v>
      </c>
      <c r="G928" s="2">
        <f>VLOOKUP(A928,Table3[#All],7,FALSE)</f>
        <v>76342</v>
      </c>
      <c r="H928" s="2">
        <f>VLOOKUP(A928,Table3[#All],8,FALSE)</f>
        <v>11</v>
      </c>
      <c r="I928" s="2">
        <f>VLOOKUP(A928,Table3[#All],9,FALSE)</f>
        <v>43</v>
      </c>
      <c r="J928" s="2">
        <f>VLOOKUP(A928,Table3[#All],10,FALSE)</f>
        <v>3</v>
      </c>
      <c r="K928" s="2">
        <f>VLOOKUP(A928,Table3[#All],11,FALSE)</f>
        <v>91</v>
      </c>
      <c r="L928" s="2" t="str">
        <f>VLOOKUP(A928,Table3[#All],12,FALSE)</f>
        <v>Mumbai</v>
      </c>
      <c r="M928" s="2" t="str">
        <f t="shared" si="14"/>
        <v>Not Eligible</v>
      </c>
    </row>
    <row r="929" spans="1:13" hidden="1" x14ac:dyDescent="0.25">
      <c r="A929" s="5" t="s">
        <v>336</v>
      </c>
      <c r="B929" s="2" t="str">
        <f>VLOOKUP(A929,Table3[#All],2,FALSE)</f>
        <v>Anitha</v>
      </c>
      <c r="C929" s="2" t="str">
        <f>VLOOKUP(A929,Table3[#All],3,FALSE)</f>
        <v>Finance</v>
      </c>
      <c r="D929" s="2">
        <f>VLOOKUP(A929,Table3[#All],4,FALSE)</f>
        <v>31</v>
      </c>
      <c r="E929" s="2" t="str">
        <f>VLOOKUP(A929,Table3[#All],5,FALSE)</f>
        <v>Male</v>
      </c>
      <c r="F929" s="2">
        <f>VLOOKUP(A929,Table3[#All],6,FALSE)</f>
        <v>15</v>
      </c>
      <c r="G929" s="2">
        <f>VLOOKUP(A929,Table3[#All],7,FALSE)</f>
        <v>76389</v>
      </c>
      <c r="H929" s="2">
        <f>VLOOKUP(A929,Table3[#All],8,FALSE)</f>
        <v>6</v>
      </c>
      <c r="I929" s="2">
        <f>VLOOKUP(A929,Table3[#All],9,FALSE)</f>
        <v>36</v>
      </c>
      <c r="J929" s="2">
        <f>VLOOKUP(A929,Table3[#All],10,FALSE)</f>
        <v>2</v>
      </c>
      <c r="K929" s="2">
        <f>VLOOKUP(A929,Table3[#All],11,FALSE)</f>
        <v>95</v>
      </c>
      <c r="L929" s="2" t="str">
        <f>VLOOKUP(A929,Table3[#All],12,FALSE)</f>
        <v>Delhi</v>
      </c>
      <c r="M929" s="2" t="str">
        <f t="shared" si="14"/>
        <v>Eligible</v>
      </c>
    </row>
    <row r="930" spans="1:13" x14ac:dyDescent="0.25">
      <c r="A930" s="6" t="s">
        <v>681</v>
      </c>
      <c r="B930" s="2" t="str">
        <f>VLOOKUP(A930,Table3[#All],2,FALSE)</f>
        <v>Meena</v>
      </c>
      <c r="C930" s="2" t="str">
        <f>VLOOKUP(A930,Table3[#All],3,FALSE)</f>
        <v>Finance</v>
      </c>
      <c r="D930" s="2">
        <f>VLOOKUP(A930,Table3[#All],4,FALSE)</f>
        <v>37</v>
      </c>
      <c r="E930" s="2" t="str">
        <f>VLOOKUP(A930,Table3[#All],5,FALSE)</f>
        <v>Male</v>
      </c>
      <c r="F930" s="2">
        <f>VLOOKUP(A930,Table3[#All],6,FALSE)</f>
        <v>11</v>
      </c>
      <c r="G930" s="2">
        <f>VLOOKUP(A930,Table3[#All],7,FALSE)</f>
        <v>76423</v>
      </c>
      <c r="H930" s="2">
        <f>VLOOKUP(A930,Table3[#All],8,FALSE)</f>
        <v>15</v>
      </c>
      <c r="I930" s="2">
        <f>VLOOKUP(A930,Table3[#All],9,FALSE)</f>
        <v>35</v>
      </c>
      <c r="J930" s="2">
        <f>VLOOKUP(A930,Table3[#All],10,FALSE)</f>
        <v>5</v>
      </c>
      <c r="K930" s="2">
        <f>VLOOKUP(A930,Table3[#All],11,FALSE)</f>
        <v>94</v>
      </c>
      <c r="L930" s="2" t="str">
        <f>VLOOKUP(A930,Table3[#All],12,FALSE)</f>
        <v>Pune</v>
      </c>
      <c r="M930" s="2" t="str">
        <f t="shared" si="14"/>
        <v>Not Eligible</v>
      </c>
    </row>
    <row r="931" spans="1:13" x14ac:dyDescent="0.25">
      <c r="A931" s="6" t="s">
        <v>39</v>
      </c>
      <c r="B931" s="2" t="str">
        <f>VLOOKUP(A931,Table3[#All],2,FALSE)</f>
        <v>Anitha</v>
      </c>
      <c r="C931" s="2" t="str">
        <f>VLOOKUP(A931,Table3[#All],3,FALSE)</f>
        <v>Finance</v>
      </c>
      <c r="D931" s="2">
        <f>VLOOKUP(A931,Table3[#All],4,FALSE)</f>
        <v>40</v>
      </c>
      <c r="E931" s="2" t="str">
        <f>VLOOKUP(A931,Table3[#All],5,FALSE)</f>
        <v>Male</v>
      </c>
      <c r="F931" s="2">
        <f>VLOOKUP(A931,Table3[#All],6,FALSE)</f>
        <v>5</v>
      </c>
      <c r="G931" s="2">
        <f>VLOOKUP(A931,Table3[#All],7,FALSE)</f>
        <v>76499</v>
      </c>
      <c r="H931" s="2">
        <f>VLOOKUP(A931,Table3[#All],8,FALSE)</f>
        <v>10</v>
      </c>
      <c r="I931" s="2">
        <f>VLOOKUP(A931,Table3[#All],9,FALSE)</f>
        <v>41</v>
      </c>
      <c r="J931" s="2">
        <f>VLOOKUP(A931,Table3[#All],10,FALSE)</f>
        <v>2</v>
      </c>
      <c r="K931" s="2">
        <f>VLOOKUP(A931,Table3[#All],11,FALSE)</f>
        <v>92</v>
      </c>
      <c r="L931" s="2" t="str">
        <f>VLOOKUP(A931,Table3[#All],12,FALSE)</f>
        <v>Hyderabad</v>
      </c>
      <c r="M931" s="2" t="str">
        <f t="shared" si="14"/>
        <v>Not Eligible</v>
      </c>
    </row>
    <row r="932" spans="1:13" x14ac:dyDescent="0.25">
      <c r="A932" s="5" t="s">
        <v>276</v>
      </c>
      <c r="B932" s="2" t="str">
        <f>VLOOKUP(A932,Table3[#All],2,FALSE)</f>
        <v>Rekha</v>
      </c>
      <c r="C932" s="2" t="str">
        <f>VLOOKUP(A932,Table3[#All],3,FALSE)</f>
        <v>Finance</v>
      </c>
      <c r="D932" s="2">
        <f>VLOOKUP(A932,Table3[#All],4,FALSE)</f>
        <v>37</v>
      </c>
      <c r="E932" s="2" t="str">
        <f>VLOOKUP(A932,Table3[#All],5,FALSE)</f>
        <v>Male</v>
      </c>
      <c r="F932" s="2">
        <f>VLOOKUP(A932,Table3[#All],6,FALSE)</f>
        <v>10</v>
      </c>
      <c r="G932" s="2">
        <f>VLOOKUP(A932,Table3[#All],7,FALSE)</f>
        <v>76531</v>
      </c>
      <c r="H932" s="2">
        <f>VLOOKUP(A932,Table3[#All],8,FALSE)</f>
        <v>12</v>
      </c>
      <c r="I932" s="2">
        <f>VLOOKUP(A932,Table3[#All],9,FALSE)</f>
        <v>43</v>
      </c>
      <c r="J932" s="2">
        <f>VLOOKUP(A932,Table3[#All],10,FALSE)</f>
        <v>5</v>
      </c>
      <c r="K932" s="2">
        <f>VLOOKUP(A932,Table3[#All],11,FALSE)</f>
        <v>98</v>
      </c>
      <c r="L932" s="2" t="str">
        <f>VLOOKUP(A932,Table3[#All],12,FALSE)</f>
        <v>Hyderabad</v>
      </c>
      <c r="M932" s="2" t="str">
        <f t="shared" si="14"/>
        <v>Eligible</v>
      </c>
    </row>
    <row r="933" spans="1:13" hidden="1" x14ac:dyDescent="0.25">
      <c r="A933" s="6" t="s">
        <v>975</v>
      </c>
      <c r="B933" s="2" t="str">
        <f>VLOOKUP(A933,Table3[#All],2,FALSE)</f>
        <v>Ajay</v>
      </c>
      <c r="C933" s="2" t="str">
        <f>VLOOKUP(A933,Table3[#All],3,FALSE)</f>
        <v>Sales</v>
      </c>
      <c r="D933" s="2">
        <f>VLOOKUP(A933,Table3[#All],4,FALSE)</f>
        <v>23</v>
      </c>
      <c r="E933" s="2" t="str">
        <f>VLOOKUP(A933,Table3[#All],5,FALSE)</f>
        <v>Male</v>
      </c>
      <c r="F933" s="2">
        <f>VLOOKUP(A933,Table3[#All],6,FALSE)</f>
        <v>1</v>
      </c>
      <c r="G933" s="2">
        <f>VLOOKUP(A933,Table3[#All],7,FALSE)</f>
        <v>44696</v>
      </c>
      <c r="H933" s="2">
        <f>VLOOKUP(A933,Table3[#All],8,FALSE)</f>
        <v>12</v>
      </c>
      <c r="I933" s="2">
        <f>VLOOKUP(A933,Table3[#All],9,FALSE)</f>
        <v>50</v>
      </c>
      <c r="J933" s="2">
        <f>VLOOKUP(A933,Table3[#All],10,FALSE)</f>
        <v>3</v>
      </c>
      <c r="K933" s="2">
        <f>VLOOKUP(A933,Table3[#All],11,FALSE)</f>
        <v>87</v>
      </c>
      <c r="L933" s="2" t="str">
        <f>VLOOKUP(A933,Table3[#All],12,FALSE)</f>
        <v>Bangalore</v>
      </c>
      <c r="M933" s="2" t="str">
        <f t="shared" si="14"/>
        <v>Not Eligible</v>
      </c>
    </row>
    <row r="934" spans="1:13" hidden="1" x14ac:dyDescent="0.25">
      <c r="A934" s="5" t="s">
        <v>976</v>
      </c>
      <c r="B934" s="2" t="str">
        <f>VLOOKUP(A934,Table3[#All],2,FALSE)</f>
        <v>Ramesh</v>
      </c>
      <c r="C934" s="2" t="str">
        <f>VLOOKUP(A934,Table3[#All],3,FALSE)</f>
        <v>IT</v>
      </c>
      <c r="D934" s="2">
        <f>VLOOKUP(A934,Table3[#All],4,FALSE)</f>
        <v>30</v>
      </c>
      <c r="E934" s="2" t="str">
        <f>VLOOKUP(A934,Table3[#All],5,FALSE)</f>
        <v>Male</v>
      </c>
      <c r="F934" s="2">
        <f>VLOOKUP(A934,Table3[#All],6,FALSE)</f>
        <v>4</v>
      </c>
      <c r="G934" s="2">
        <f>VLOOKUP(A934,Table3[#All],7,FALSE)</f>
        <v>26403</v>
      </c>
      <c r="H934" s="2">
        <f>VLOOKUP(A934,Table3[#All],8,FALSE)</f>
        <v>4</v>
      </c>
      <c r="I934" s="2">
        <f>VLOOKUP(A934,Table3[#All],9,FALSE)</f>
        <v>42</v>
      </c>
      <c r="J934" s="2">
        <f>VLOOKUP(A934,Table3[#All],10,FALSE)</f>
        <v>2</v>
      </c>
      <c r="K934" s="2">
        <f>VLOOKUP(A934,Table3[#All],11,FALSE)</f>
        <v>95</v>
      </c>
      <c r="L934" s="2" t="str">
        <f>VLOOKUP(A934,Table3[#All],12,FALSE)</f>
        <v>Hyderabad</v>
      </c>
      <c r="M934" s="2" t="str">
        <f t="shared" si="14"/>
        <v>Eligible</v>
      </c>
    </row>
    <row r="935" spans="1:13" hidden="1" x14ac:dyDescent="0.25">
      <c r="A935" s="6" t="s">
        <v>291</v>
      </c>
      <c r="B935" s="2" t="str">
        <f>VLOOKUP(A935,Table3[#All],2,FALSE)</f>
        <v>Ajay</v>
      </c>
      <c r="C935" s="2" t="str">
        <f>VLOOKUP(A935,Table3[#All],3,FALSE)</f>
        <v>Finance</v>
      </c>
      <c r="D935" s="2">
        <f>VLOOKUP(A935,Table3[#All],4,FALSE)</f>
        <v>28</v>
      </c>
      <c r="E935" s="2" t="str">
        <f>VLOOKUP(A935,Table3[#All],5,FALSE)</f>
        <v>Male</v>
      </c>
      <c r="F935" s="2">
        <f>VLOOKUP(A935,Table3[#All],6,FALSE)</f>
        <v>7</v>
      </c>
      <c r="G935" s="2">
        <f>VLOOKUP(A935,Table3[#All],7,FALSE)</f>
        <v>76533</v>
      </c>
      <c r="H935" s="2">
        <f>VLOOKUP(A935,Table3[#All],8,FALSE)</f>
        <v>3</v>
      </c>
      <c r="I935" s="2">
        <f>VLOOKUP(A935,Table3[#All],9,FALSE)</f>
        <v>44</v>
      </c>
      <c r="J935" s="2">
        <f>VLOOKUP(A935,Table3[#All],10,FALSE)</f>
        <v>5</v>
      </c>
      <c r="K935" s="2">
        <f>VLOOKUP(A935,Table3[#All],11,FALSE)</f>
        <v>93</v>
      </c>
      <c r="L935" s="2" t="str">
        <f>VLOOKUP(A935,Table3[#All],12,FALSE)</f>
        <v>Mumbai</v>
      </c>
      <c r="M935" s="2" t="str">
        <f t="shared" si="14"/>
        <v>Not Eligible</v>
      </c>
    </row>
    <row r="936" spans="1:13" hidden="1" x14ac:dyDescent="0.25">
      <c r="A936" s="5" t="s">
        <v>620</v>
      </c>
      <c r="B936" s="2" t="str">
        <f>VLOOKUP(A936,Table3[#All],2,FALSE)</f>
        <v>Manoj</v>
      </c>
      <c r="C936" s="2" t="str">
        <f>VLOOKUP(A936,Table3[#All],3,FALSE)</f>
        <v>HR</v>
      </c>
      <c r="D936" s="2">
        <f>VLOOKUP(A936,Table3[#All],4,FALSE)</f>
        <v>36</v>
      </c>
      <c r="E936" s="2" t="str">
        <f>VLOOKUP(A936,Table3[#All],5,FALSE)</f>
        <v>Male</v>
      </c>
      <c r="F936" s="2">
        <f>VLOOKUP(A936,Table3[#All],6,FALSE)</f>
        <v>7</v>
      </c>
      <c r="G936" s="2">
        <f>VLOOKUP(A936,Table3[#All],7,FALSE)</f>
        <v>76702</v>
      </c>
      <c r="H936" s="2">
        <f>VLOOKUP(A936,Table3[#All],8,FALSE)</f>
        <v>9</v>
      </c>
      <c r="I936" s="2">
        <f>VLOOKUP(A936,Table3[#All],9,FALSE)</f>
        <v>50</v>
      </c>
      <c r="J936" s="2">
        <f>VLOOKUP(A936,Table3[#All],10,FALSE)</f>
        <v>4</v>
      </c>
      <c r="K936" s="2">
        <f>VLOOKUP(A936,Table3[#All],11,FALSE)</f>
        <v>88</v>
      </c>
      <c r="L936" s="2" t="str">
        <f>VLOOKUP(A936,Table3[#All],12,FALSE)</f>
        <v>Bangalore</v>
      </c>
      <c r="M936" s="2" t="str">
        <f t="shared" si="14"/>
        <v>Not Eligible</v>
      </c>
    </row>
    <row r="937" spans="1:13" hidden="1" x14ac:dyDescent="0.25">
      <c r="A937" s="6" t="s">
        <v>60</v>
      </c>
      <c r="B937" s="2" t="str">
        <f>VLOOKUP(A937,Table3[#All],2,FALSE)</f>
        <v>Nisha</v>
      </c>
      <c r="C937" s="2" t="str">
        <f>VLOOKUP(A937,Table3[#All],3,FALSE)</f>
        <v>HR</v>
      </c>
      <c r="D937" s="2">
        <f>VLOOKUP(A937,Table3[#All],4,FALSE)</f>
        <v>27</v>
      </c>
      <c r="E937" s="2" t="str">
        <f>VLOOKUP(A937,Table3[#All],5,FALSE)</f>
        <v>Male</v>
      </c>
      <c r="F937" s="2">
        <f>VLOOKUP(A937,Table3[#All],6,FALSE)</f>
        <v>6</v>
      </c>
      <c r="G937" s="2">
        <f>VLOOKUP(A937,Table3[#All],7,FALSE)</f>
        <v>76824</v>
      </c>
      <c r="H937" s="2">
        <f>VLOOKUP(A937,Table3[#All],8,FALSE)</f>
        <v>6</v>
      </c>
      <c r="I937" s="2">
        <f>VLOOKUP(A937,Table3[#All],9,FALSE)</f>
        <v>42</v>
      </c>
      <c r="J937" s="2">
        <f>VLOOKUP(A937,Table3[#All],10,FALSE)</f>
        <v>5</v>
      </c>
      <c r="K937" s="2">
        <f>VLOOKUP(A937,Table3[#All],11,FALSE)</f>
        <v>85</v>
      </c>
      <c r="L937" s="2" t="str">
        <f>VLOOKUP(A937,Table3[#All],12,FALSE)</f>
        <v>Bangalore</v>
      </c>
      <c r="M937" s="2" t="str">
        <f t="shared" si="14"/>
        <v>Not Eligible</v>
      </c>
    </row>
    <row r="938" spans="1:13" hidden="1" x14ac:dyDescent="0.25">
      <c r="A938" s="6" t="s">
        <v>237</v>
      </c>
      <c r="B938" s="2" t="str">
        <f>VLOOKUP(A938,Table3[#All],2,FALSE)</f>
        <v>Meena</v>
      </c>
      <c r="C938" s="2" t="str">
        <f>VLOOKUP(A938,Table3[#All],3,FALSE)</f>
        <v>HR</v>
      </c>
      <c r="D938" s="2">
        <f>VLOOKUP(A938,Table3[#All],4,FALSE)</f>
        <v>25</v>
      </c>
      <c r="E938" s="2" t="str">
        <f>VLOOKUP(A938,Table3[#All],5,FALSE)</f>
        <v>Male</v>
      </c>
      <c r="F938" s="2">
        <f>VLOOKUP(A938,Table3[#All],6,FALSE)</f>
        <v>14</v>
      </c>
      <c r="G938" s="2">
        <f>VLOOKUP(A938,Table3[#All],7,FALSE)</f>
        <v>76866</v>
      </c>
      <c r="H938" s="2">
        <f>VLOOKUP(A938,Table3[#All],8,FALSE)</f>
        <v>8</v>
      </c>
      <c r="I938" s="2">
        <f>VLOOKUP(A938,Table3[#All],9,FALSE)</f>
        <v>41</v>
      </c>
      <c r="J938" s="2">
        <f>VLOOKUP(A938,Table3[#All],10,FALSE)</f>
        <v>3</v>
      </c>
      <c r="K938" s="2">
        <f>VLOOKUP(A938,Table3[#All],11,FALSE)</f>
        <v>90</v>
      </c>
      <c r="L938" s="2" t="str">
        <f>VLOOKUP(A938,Table3[#All],12,FALSE)</f>
        <v>Delhi</v>
      </c>
      <c r="M938" s="2" t="str">
        <f t="shared" si="14"/>
        <v>Not Eligible</v>
      </c>
    </row>
    <row r="939" spans="1:13" hidden="1" x14ac:dyDescent="0.25">
      <c r="A939" s="5" t="s">
        <v>678</v>
      </c>
      <c r="B939" s="2" t="str">
        <f>VLOOKUP(A939,Table3[#All],2,FALSE)</f>
        <v>Rekha</v>
      </c>
      <c r="C939" s="2" t="str">
        <f>VLOOKUP(A939,Table3[#All],3,FALSE)</f>
        <v>Finance</v>
      </c>
      <c r="D939" s="2">
        <f>VLOOKUP(A939,Table3[#All],4,FALSE)</f>
        <v>33</v>
      </c>
      <c r="E939" s="2" t="str">
        <f>VLOOKUP(A939,Table3[#All],5,FALSE)</f>
        <v>Male</v>
      </c>
      <c r="F939" s="2">
        <f>VLOOKUP(A939,Table3[#All],6,FALSE)</f>
        <v>12</v>
      </c>
      <c r="G939" s="2">
        <f>VLOOKUP(A939,Table3[#All],7,FALSE)</f>
        <v>76956</v>
      </c>
      <c r="H939" s="2">
        <f>VLOOKUP(A939,Table3[#All],8,FALSE)</f>
        <v>7</v>
      </c>
      <c r="I939" s="2">
        <f>VLOOKUP(A939,Table3[#All],9,FALSE)</f>
        <v>46</v>
      </c>
      <c r="J939" s="2">
        <f>VLOOKUP(A939,Table3[#All],10,FALSE)</f>
        <v>3</v>
      </c>
      <c r="K939" s="2">
        <f>VLOOKUP(A939,Table3[#All],11,FALSE)</f>
        <v>90</v>
      </c>
      <c r="L939" s="2" t="str">
        <f>VLOOKUP(A939,Table3[#All],12,FALSE)</f>
        <v>Hyderabad</v>
      </c>
      <c r="M939" s="2" t="str">
        <f t="shared" si="14"/>
        <v>Not Eligible</v>
      </c>
    </row>
    <row r="940" spans="1:13" hidden="1" x14ac:dyDescent="0.25">
      <c r="A940" s="6" t="s">
        <v>42</v>
      </c>
      <c r="B940" s="2" t="str">
        <f>VLOOKUP(A940,Table3[#All],2,FALSE)</f>
        <v>Ramesh</v>
      </c>
      <c r="C940" s="2" t="str">
        <f>VLOOKUP(A940,Table3[#All],3,FALSE)</f>
        <v>HR</v>
      </c>
      <c r="D940" s="2">
        <f>VLOOKUP(A940,Table3[#All],4,FALSE)</f>
        <v>34</v>
      </c>
      <c r="E940" s="2" t="str">
        <f>VLOOKUP(A940,Table3[#All],5,FALSE)</f>
        <v>Male</v>
      </c>
      <c r="F940" s="2">
        <f>VLOOKUP(A940,Table3[#All],6,FALSE)</f>
        <v>9</v>
      </c>
      <c r="G940" s="2">
        <f>VLOOKUP(A940,Table3[#All],7,FALSE)</f>
        <v>76959</v>
      </c>
      <c r="H940" s="2">
        <f>VLOOKUP(A940,Table3[#All],8,FALSE)</f>
        <v>4</v>
      </c>
      <c r="I940" s="2">
        <f>VLOOKUP(A940,Table3[#All],9,FALSE)</f>
        <v>47</v>
      </c>
      <c r="J940" s="2">
        <f>VLOOKUP(A940,Table3[#All],10,FALSE)</f>
        <v>4</v>
      </c>
      <c r="K940" s="2">
        <f>VLOOKUP(A940,Table3[#All],11,FALSE)</f>
        <v>96</v>
      </c>
      <c r="L940" s="2" t="str">
        <f>VLOOKUP(A940,Table3[#All],12,FALSE)</f>
        <v>Mumbai</v>
      </c>
      <c r="M940" s="2" t="str">
        <f t="shared" si="14"/>
        <v>Eligible</v>
      </c>
    </row>
    <row r="941" spans="1:13" hidden="1" x14ac:dyDescent="0.25">
      <c r="A941" s="6" t="s">
        <v>983</v>
      </c>
      <c r="B941" s="2" t="str">
        <f>VLOOKUP(A941,Table3[#All],2,FALSE)</f>
        <v>Priya</v>
      </c>
      <c r="C941" s="2" t="str">
        <f>VLOOKUP(A941,Table3[#All],3,FALSE)</f>
        <v>Sales</v>
      </c>
      <c r="D941" s="2">
        <f>VLOOKUP(A941,Table3[#All],4,FALSE)</f>
        <v>29</v>
      </c>
      <c r="E941" s="2" t="str">
        <f>VLOOKUP(A941,Table3[#All],5,FALSE)</f>
        <v>Male</v>
      </c>
      <c r="F941" s="2">
        <f>VLOOKUP(A941,Table3[#All],6,FALSE)</f>
        <v>2</v>
      </c>
      <c r="G941" s="2">
        <f>VLOOKUP(A941,Table3[#All],7,FALSE)</f>
        <v>31566</v>
      </c>
      <c r="H941" s="2">
        <f>VLOOKUP(A941,Table3[#All],8,FALSE)</f>
        <v>9</v>
      </c>
      <c r="I941" s="2">
        <f>VLOOKUP(A941,Table3[#All],9,FALSE)</f>
        <v>48</v>
      </c>
      <c r="J941" s="2">
        <f>VLOOKUP(A941,Table3[#All],10,FALSE)</f>
        <v>4</v>
      </c>
      <c r="K941" s="2">
        <f>VLOOKUP(A941,Table3[#All],11,FALSE)</f>
        <v>100</v>
      </c>
      <c r="L941" s="2" t="str">
        <f>VLOOKUP(A941,Table3[#All],12,FALSE)</f>
        <v>Pune</v>
      </c>
      <c r="M941" s="2" t="str">
        <f t="shared" si="14"/>
        <v>Eligible</v>
      </c>
    </row>
    <row r="942" spans="1:13" x14ac:dyDescent="0.25">
      <c r="A942" s="5" t="s">
        <v>1040</v>
      </c>
      <c r="B942" s="2" t="str">
        <f>VLOOKUP(A942,Table3[#All],2,FALSE)</f>
        <v>Karthik</v>
      </c>
      <c r="C942" s="2" t="str">
        <f>VLOOKUP(A942,Table3[#All],3,FALSE)</f>
        <v>Sales</v>
      </c>
      <c r="D942" s="2">
        <f>VLOOKUP(A942,Table3[#All],4,FALSE)</f>
        <v>38</v>
      </c>
      <c r="E942" s="2" t="str">
        <f>VLOOKUP(A942,Table3[#All],5,FALSE)</f>
        <v>Male</v>
      </c>
      <c r="F942" s="2">
        <f>VLOOKUP(A942,Table3[#All],6,FALSE)</f>
        <v>9</v>
      </c>
      <c r="G942" s="2">
        <f>VLOOKUP(A942,Table3[#All],7,FALSE)</f>
        <v>77051</v>
      </c>
      <c r="H942" s="2">
        <f>VLOOKUP(A942,Table3[#All],8,FALSE)</f>
        <v>10</v>
      </c>
      <c r="I942" s="2">
        <f>VLOOKUP(A942,Table3[#All],9,FALSE)</f>
        <v>45</v>
      </c>
      <c r="J942" s="2">
        <f>VLOOKUP(A942,Table3[#All],10,FALSE)</f>
        <v>2</v>
      </c>
      <c r="K942" s="2">
        <f>VLOOKUP(A942,Table3[#All],11,FALSE)</f>
        <v>93</v>
      </c>
      <c r="L942" s="2" t="str">
        <f>VLOOKUP(A942,Table3[#All],12,FALSE)</f>
        <v>Hyderabad</v>
      </c>
      <c r="M942" s="2" t="str">
        <f t="shared" si="14"/>
        <v>Not Eligible</v>
      </c>
    </row>
    <row r="943" spans="1:13" hidden="1" x14ac:dyDescent="0.25">
      <c r="A943" s="6" t="s">
        <v>743</v>
      </c>
      <c r="B943" s="2" t="str">
        <f>VLOOKUP(A943,Table3[#All],2,FALSE)</f>
        <v>Anitha</v>
      </c>
      <c r="C943" s="2" t="str">
        <f>VLOOKUP(A943,Table3[#All],3,FALSE)</f>
        <v>Finance</v>
      </c>
      <c r="D943" s="2">
        <f>VLOOKUP(A943,Table3[#All],4,FALSE)</f>
        <v>33</v>
      </c>
      <c r="E943" s="2" t="str">
        <f>VLOOKUP(A943,Table3[#All],5,FALSE)</f>
        <v>Male</v>
      </c>
      <c r="F943" s="2">
        <f>VLOOKUP(A943,Table3[#All],6,FALSE)</f>
        <v>6</v>
      </c>
      <c r="G943" s="2">
        <f>VLOOKUP(A943,Table3[#All],7,FALSE)</f>
        <v>77495</v>
      </c>
      <c r="H943" s="2">
        <f>VLOOKUP(A943,Table3[#All],8,FALSE)</f>
        <v>14</v>
      </c>
      <c r="I943" s="2">
        <f>VLOOKUP(A943,Table3[#All],9,FALSE)</f>
        <v>42</v>
      </c>
      <c r="J943" s="2">
        <f>VLOOKUP(A943,Table3[#All],10,FALSE)</f>
        <v>5</v>
      </c>
      <c r="K943" s="2">
        <f>VLOOKUP(A943,Table3[#All],11,FALSE)</f>
        <v>87</v>
      </c>
      <c r="L943" s="2" t="str">
        <f>VLOOKUP(A943,Table3[#All],12,FALSE)</f>
        <v>Mumbai</v>
      </c>
      <c r="M943" s="2" t="str">
        <f t="shared" si="14"/>
        <v>Not Eligible</v>
      </c>
    </row>
    <row r="944" spans="1:13" hidden="1" x14ac:dyDescent="0.25">
      <c r="A944" s="5" t="s">
        <v>372</v>
      </c>
      <c r="B944" s="2" t="str">
        <f>VLOOKUP(A944,Table3[#All],2,FALSE)</f>
        <v>Kavya</v>
      </c>
      <c r="C944" s="2" t="str">
        <f>VLOOKUP(A944,Table3[#All],3,FALSE)</f>
        <v>HR</v>
      </c>
      <c r="D944" s="2">
        <f>VLOOKUP(A944,Table3[#All],4,FALSE)</f>
        <v>29</v>
      </c>
      <c r="E944" s="2" t="str">
        <f>VLOOKUP(A944,Table3[#All],5,FALSE)</f>
        <v>Female</v>
      </c>
      <c r="F944" s="2">
        <f>VLOOKUP(A944,Table3[#All],6,FALSE)</f>
        <v>10</v>
      </c>
      <c r="G944" s="2">
        <f>VLOOKUP(A944,Table3[#All],7,FALSE)</f>
        <v>77522</v>
      </c>
      <c r="H944" s="2">
        <f>VLOOKUP(A944,Table3[#All],8,FALSE)</f>
        <v>4</v>
      </c>
      <c r="I944" s="2">
        <f>VLOOKUP(A944,Table3[#All],9,FALSE)</f>
        <v>48</v>
      </c>
      <c r="J944" s="2">
        <f>VLOOKUP(A944,Table3[#All],10,FALSE)</f>
        <v>5</v>
      </c>
      <c r="K944" s="2">
        <f>VLOOKUP(A944,Table3[#All],11,FALSE)</f>
        <v>99</v>
      </c>
      <c r="L944" s="2" t="str">
        <f>VLOOKUP(A944,Table3[#All],12,FALSE)</f>
        <v>Hyderabad</v>
      </c>
      <c r="M944" s="2" t="str">
        <f t="shared" si="14"/>
        <v>Eligible</v>
      </c>
    </row>
    <row r="945" spans="1:13" hidden="1" x14ac:dyDescent="0.25">
      <c r="A945" s="6" t="s">
        <v>991</v>
      </c>
      <c r="B945" s="2" t="str">
        <f>VLOOKUP(A945,Table3[#All],2,FALSE)</f>
        <v>Meena</v>
      </c>
      <c r="C945" s="2" t="str">
        <f>VLOOKUP(A945,Table3[#All],3,FALSE)</f>
        <v>Finance</v>
      </c>
      <c r="D945" s="2">
        <f>VLOOKUP(A945,Table3[#All],4,FALSE)</f>
        <v>24</v>
      </c>
      <c r="E945" s="2" t="str">
        <f>VLOOKUP(A945,Table3[#All],5,FALSE)</f>
        <v>Female</v>
      </c>
      <c r="F945" s="2">
        <f>VLOOKUP(A945,Table3[#All],6,FALSE)</f>
        <v>12</v>
      </c>
      <c r="G945" s="2">
        <f>VLOOKUP(A945,Table3[#All],7,FALSE)</f>
        <v>77647</v>
      </c>
      <c r="H945" s="2">
        <f>VLOOKUP(A945,Table3[#All],8,FALSE)</f>
        <v>9</v>
      </c>
      <c r="I945" s="2">
        <f>VLOOKUP(A945,Table3[#All],9,FALSE)</f>
        <v>40</v>
      </c>
      <c r="J945" s="2">
        <f>VLOOKUP(A945,Table3[#All],10,FALSE)</f>
        <v>4</v>
      </c>
      <c r="K945" s="2">
        <f>VLOOKUP(A945,Table3[#All],11,FALSE)</f>
        <v>98</v>
      </c>
      <c r="L945" s="2" t="str">
        <f>VLOOKUP(A945,Table3[#All],12,FALSE)</f>
        <v>Delhi</v>
      </c>
      <c r="M945" s="2" t="str">
        <f t="shared" si="14"/>
        <v>Eligible</v>
      </c>
    </row>
    <row r="946" spans="1:13" hidden="1" x14ac:dyDescent="0.25">
      <c r="A946" s="5" t="s">
        <v>988</v>
      </c>
      <c r="B946" s="2" t="str">
        <f>VLOOKUP(A946,Table3[#All],2,FALSE)</f>
        <v>Manoj</v>
      </c>
      <c r="C946" s="2" t="str">
        <f>VLOOKUP(A946,Table3[#All],3,FALSE)</f>
        <v>HR</v>
      </c>
      <c r="D946" s="2">
        <f>VLOOKUP(A946,Table3[#All],4,FALSE)</f>
        <v>22</v>
      </c>
      <c r="E946" s="2" t="str">
        <f>VLOOKUP(A946,Table3[#All],5,FALSE)</f>
        <v>Female</v>
      </c>
      <c r="F946" s="2">
        <f>VLOOKUP(A946,Table3[#All],6,FALSE)</f>
        <v>1</v>
      </c>
      <c r="G946" s="2">
        <f>VLOOKUP(A946,Table3[#All],7,FALSE)</f>
        <v>38608</v>
      </c>
      <c r="H946" s="2">
        <f>VLOOKUP(A946,Table3[#All],8,FALSE)</f>
        <v>15</v>
      </c>
      <c r="I946" s="2">
        <f>VLOOKUP(A946,Table3[#All],9,FALSE)</f>
        <v>38</v>
      </c>
      <c r="J946" s="2">
        <f>VLOOKUP(A946,Table3[#All],10,FALSE)</f>
        <v>4</v>
      </c>
      <c r="K946" s="2">
        <f>VLOOKUP(A946,Table3[#All],11,FALSE)</f>
        <v>96</v>
      </c>
      <c r="L946" s="2" t="str">
        <f>VLOOKUP(A946,Table3[#All],12,FALSE)</f>
        <v>Chennai</v>
      </c>
      <c r="M946" s="2" t="str">
        <f t="shared" si="14"/>
        <v>Eligible</v>
      </c>
    </row>
    <row r="947" spans="1:13" hidden="1" x14ac:dyDescent="0.25">
      <c r="A947" s="6" t="s">
        <v>989</v>
      </c>
      <c r="B947" s="2" t="str">
        <f>VLOOKUP(A947,Table3[#All],2,FALSE)</f>
        <v>Suresh</v>
      </c>
      <c r="C947" s="2" t="str">
        <f>VLOOKUP(A947,Table3[#All],3,FALSE)</f>
        <v>Finance</v>
      </c>
      <c r="D947" s="2">
        <f>VLOOKUP(A947,Table3[#All],4,FALSE)</f>
        <v>31</v>
      </c>
      <c r="E947" s="2" t="str">
        <f>VLOOKUP(A947,Table3[#All],5,FALSE)</f>
        <v>Female</v>
      </c>
      <c r="F947" s="2">
        <f>VLOOKUP(A947,Table3[#All],6,FALSE)</f>
        <v>1</v>
      </c>
      <c r="G947" s="2">
        <f>VLOOKUP(A947,Table3[#All],7,FALSE)</f>
        <v>49205</v>
      </c>
      <c r="H947" s="2">
        <f>VLOOKUP(A947,Table3[#All],8,FALSE)</f>
        <v>7</v>
      </c>
      <c r="I947" s="2">
        <f>VLOOKUP(A947,Table3[#All],9,FALSE)</f>
        <v>48</v>
      </c>
      <c r="J947" s="2">
        <f>VLOOKUP(A947,Table3[#All],10,FALSE)</f>
        <v>2</v>
      </c>
      <c r="K947" s="2">
        <f>VLOOKUP(A947,Table3[#All],11,FALSE)</f>
        <v>93</v>
      </c>
      <c r="L947" s="2" t="str">
        <f>VLOOKUP(A947,Table3[#All],12,FALSE)</f>
        <v>Pune</v>
      </c>
      <c r="M947" s="2" t="str">
        <f t="shared" si="14"/>
        <v>Not Eligible</v>
      </c>
    </row>
    <row r="948" spans="1:13" x14ac:dyDescent="0.25">
      <c r="A948" s="6" t="s">
        <v>833</v>
      </c>
      <c r="B948" s="2" t="str">
        <f>VLOOKUP(A948,Table3[#All],2,FALSE)</f>
        <v>Sneha</v>
      </c>
      <c r="C948" s="2" t="str">
        <f>VLOOKUP(A948,Table3[#All],3,FALSE)</f>
        <v>HR</v>
      </c>
      <c r="D948" s="2">
        <f>VLOOKUP(A948,Table3[#All],4,FALSE)</f>
        <v>26</v>
      </c>
      <c r="E948" s="2" t="str">
        <f>VLOOKUP(A948,Table3[#All],5,FALSE)</f>
        <v>Female</v>
      </c>
      <c r="F948" s="2">
        <f>VLOOKUP(A948,Table3[#All],6,FALSE)</f>
        <v>10</v>
      </c>
      <c r="G948" s="2">
        <f>VLOOKUP(A948,Table3[#All],7,FALSE)</f>
        <v>77673</v>
      </c>
      <c r="H948" s="2">
        <f>VLOOKUP(A948,Table3[#All],8,FALSE)</f>
        <v>12</v>
      </c>
      <c r="I948" s="2">
        <f>VLOOKUP(A948,Table3[#All],9,FALSE)</f>
        <v>44</v>
      </c>
      <c r="J948" s="2">
        <f>VLOOKUP(A948,Table3[#All],10,FALSE)</f>
        <v>4</v>
      </c>
      <c r="K948" s="2">
        <f>VLOOKUP(A948,Table3[#All],11,FALSE)</f>
        <v>96</v>
      </c>
      <c r="L948" s="2" t="str">
        <f>VLOOKUP(A948,Table3[#All],12,FALSE)</f>
        <v>Hyderabad</v>
      </c>
      <c r="M948" s="2" t="str">
        <f t="shared" si="14"/>
        <v>Eligible</v>
      </c>
    </row>
    <row r="949" spans="1:13" hidden="1" x14ac:dyDescent="0.25">
      <c r="A949" s="6" t="s">
        <v>163</v>
      </c>
      <c r="B949" s="2" t="str">
        <f>VLOOKUP(A949,Table3[#All],2,FALSE)</f>
        <v>Hari</v>
      </c>
      <c r="C949" s="2" t="str">
        <f>VLOOKUP(A949,Table3[#All],3,FALSE)</f>
        <v>Finance</v>
      </c>
      <c r="D949" s="2">
        <f>VLOOKUP(A949,Table3[#All],4,FALSE)</f>
        <v>35</v>
      </c>
      <c r="E949" s="2" t="str">
        <f>VLOOKUP(A949,Table3[#All],5,FALSE)</f>
        <v>Female</v>
      </c>
      <c r="F949" s="2">
        <f>VLOOKUP(A949,Table3[#All],6,FALSE)</f>
        <v>12</v>
      </c>
      <c r="G949" s="2">
        <f>VLOOKUP(A949,Table3[#All],7,FALSE)</f>
        <v>77734</v>
      </c>
      <c r="H949" s="2">
        <f>VLOOKUP(A949,Table3[#All],8,FALSE)</f>
        <v>8</v>
      </c>
      <c r="I949" s="2">
        <f>VLOOKUP(A949,Table3[#All],9,FALSE)</f>
        <v>44</v>
      </c>
      <c r="J949" s="2">
        <f>VLOOKUP(A949,Table3[#All],10,FALSE)</f>
        <v>1</v>
      </c>
      <c r="K949" s="2">
        <f>VLOOKUP(A949,Table3[#All],11,FALSE)</f>
        <v>86</v>
      </c>
      <c r="L949" s="2" t="str">
        <f>VLOOKUP(A949,Table3[#All],12,FALSE)</f>
        <v>Mumbai</v>
      </c>
      <c r="M949" s="2" t="str">
        <f t="shared" si="14"/>
        <v>Not Eligible</v>
      </c>
    </row>
    <row r="950" spans="1:13" hidden="1" x14ac:dyDescent="0.25">
      <c r="A950" s="6" t="s">
        <v>555</v>
      </c>
      <c r="B950" s="2" t="str">
        <f>VLOOKUP(A950,Table3[#All],2,FALSE)</f>
        <v>Kavya</v>
      </c>
      <c r="C950" s="2" t="str">
        <f>VLOOKUP(A950,Table3[#All],3,FALSE)</f>
        <v>IT</v>
      </c>
      <c r="D950" s="2">
        <f>VLOOKUP(A950,Table3[#All],4,FALSE)</f>
        <v>24</v>
      </c>
      <c r="E950" s="2" t="str">
        <f>VLOOKUP(A950,Table3[#All],5,FALSE)</f>
        <v>Male</v>
      </c>
      <c r="F950" s="2">
        <f>VLOOKUP(A950,Table3[#All],6,FALSE)</f>
        <v>10</v>
      </c>
      <c r="G950" s="2">
        <f>VLOOKUP(A950,Table3[#All],7,FALSE)</f>
        <v>77737</v>
      </c>
      <c r="H950" s="2">
        <f>VLOOKUP(A950,Table3[#All],8,FALSE)</f>
        <v>11</v>
      </c>
      <c r="I950" s="2">
        <f>VLOOKUP(A950,Table3[#All],9,FALSE)</f>
        <v>46</v>
      </c>
      <c r="J950" s="2">
        <f>VLOOKUP(A950,Table3[#All],10,FALSE)</f>
        <v>1</v>
      </c>
      <c r="K950" s="2">
        <f>VLOOKUP(A950,Table3[#All],11,FALSE)</f>
        <v>88</v>
      </c>
      <c r="L950" s="2" t="str">
        <f>VLOOKUP(A950,Table3[#All],12,FALSE)</f>
        <v>Pune</v>
      </c>
      <c r="M950" s="2" t="str">
        <f t="shared" si="14"/>
        <v>Not Eligible</v>
      </c>
    </row>
    <row r="951" spans="1:13" hidden="1" x14ac:dyDescent="0.25">
      <c r="A951" s="6" t="s">
        <v>993</v>
      </c>
      <c r="B951" s="2" t="str">
        <f>VLOOKUP(A951,Table3[#All],2,FALSE)</f>
        <v>Deepa</v>
      </c>
      <c r="C951" s="2" t="str">
        <f>VLOOKUP(A951,Table3[#All],3,FALSE)</f>
        <v>Finance</v>
      </c>
      <c r="D951" s="2">
        <f>VLOOKUP(A951,Table3[#All],4,FALSE)</f>
        <v>27</v>
      </c>
      <c r="E951" s="2" t="str">
        <f>VLOOKUP(A951,Table3[#All],5,FALSE)</f>
        <v>Female</v>
      </c>
      <c r="F951" s="2">
        <f>VLOOKUP(A951,Table3[#All],6,FALSE)</f>
        <v>4</v>
      </c>
      <c r="G951" s="2">
        <f>VLOOKUP(A951,Table3[#All],7,FALSE)</f>
        <v>58350</v>
      </c>
      <c r="H951" s="2">
        <f>VLOOKUP(A951,Table3[#All],8,FALSE)</f>
        <v>15</v>
      </c>
      <c r="I951" s="2">
        <f>VLOOKUP(A951,Table3[#All],9,FALSE)</f>
        <v>46</v>
      </c>
      <c r="J951" s="2">
        <f>VLOOKUP(A951,Table3[#All],10,FALSE)</f>
        <v>4</v>
      </c>
      <c r="K951" s="2">
        <f>VLOOKUP(A951,Table3[#All],11,FALSE)</f>
        <v>88</v>
      </c>
      <c r="L951" s="2" t="str">
        <f>VLOOKUP(A951,Table3[#All],12,FALSE)</f>
        <v>Bangalore</v>
      </c>
      <c r="M951" s="2" t="str">
        <f t="shared" si="14"/>
        <v>Not Eligible</v>
      </c>
    </row>
    <row r="952" spans="1:13" hidden="1" x14ac:dyDescent="0.25">
      <c r="A952" s="5" t="s">
        <v>228</v>
      </c>
      <c r="B952" s="2" t="str">
        <f>VLOOKUP(A952,Table3[#All],2,FALSE)</f>
        <v>Manoj</v>
      </c>
      <c r="C952" s="2" t="str">
        <f>VLOOKUP(A952,Table3[#All],3,FALSE)</f>
        <v>HR</v>
      </c>
      <c r="D952" s="2">
        <f>VLOOKUP(A952,Table3[#All],4,FALSE)</f>
        <v>26</v>
      </c>
      <c r="E952" s="2" t="str">
        <f>VLOOKUP(A952,Table3[#All],5,FALSE)</f>
        <v>Male</v>
      </c>
      <c r="F952" s="2">
        <f>VLOOKUP(A952,Table3[#All],6,FALSE)</f>
        <v>5</v>
      </c>
      <c r="G952" s="2">
        <f>VLOOKUP(A952,Table3[#All],7,FALSE)</f>
        <v>77979</v>
      </c>
      <c r="H952" s="2">
        <f>VLOOKUP(A952,Table3[#All],8,FALSE)</f>
        <v>7</v>
      </c>
      <c r="I952" s="2">
        <f>VLOOKUP(A952,Table3[#All],9,FALSE)</f>
        <v>44</v>
      </c>
      <c r="J952" s="2">
        <f>VLOOKUP(A952,Table3[#All],10,FALSE)</f>
        <v>2</v>
      </c>
      <c r="K952" s="2">
        <f>VLOOKUP(A952,Table3[#All],11,FALSE)</f>
        <v>91</v>
      </c>
      <c r="L952" s="2" t="str">
        <f>VLOOKUP(A952,Table3[#All],12,FALSE)</f>
        <v>Hyderabad</v>
      </c>
      <c r="M952" s="2" t="str">
        <f t="shared" si="14"/>
        <v>Not Eligible</v>
      </c>
    </row>
    <row r="953" spans="1:13" hidden="1" x14ac:dyDescent="0.25">
      <c r="A953" s="6" t="s">
        <v>995</v>
      </c>
      <c r="B953" s="2" t="str">
        <f>VLOOKUP(A953,Table3[#All],2,FALSE)</f>
        <v>Nisha</v>
      </c>
      <c r="C953" s="2" t="str">
        <f>VLOOKUP(A953,Table3[#All],3,FALSE)</f>
        <v>IT</v>
      </c>
      <c r="D953" s="2">
        <f>VLOOKUP(A953,Table3[#All],4,FALSE)</f>
        <v>28</v>
      </c>
      <c r="E953" s="2" t="str">
        <f>VLOOKUP(A953,Table3[#All],5,FALSE)</f>
        <v>Male</v>
      </c>
      <c r="F953" s="2">
        <f>VLOOKUP(A953,Table3[#All],6,FALSE)</f>
        <v>2</v>
      </c>
      <c r="G953" s="2">
        <f>VLOOKUP(A953,Table3[#All],7,FALSE)</f>
        <v>59803</v>
      </c>
      <c r="H953" s="2">
        <f>VLOOKUP(A953,Table3[#All],8,FALSE)</f>
        <v>4</v>
      </c>
      <c r="I953" s="2">
        <f>VLOOKUP(A953,Table3[#All],9,FALSE)</f>
        <v>40</v>
      </c>
      <c r="J953" s="2">
        <f>VLOOKUP(A953,Table3[#All],10,FALSE)</f>
        <v>2</v>
      </c>
      <c r="K953" s="2">
        <f>VLOOKUP(A953,Table3[#All],11,FALSE)</f>
        <v>89</v>
      </c>
      <c r="L953" s="2" t="str">
        <f>VLOOKUP(A953,Table3[#All],12,FALSE)</f>
        <v>Chennai</v>
      </c>
      <c r="M953" s="2" t="str">
        <f t="shared" si="14"/>
        <v>Not Eligible</v>
      </c>
    </row>
    <row r="954" spans="1:13" hidden="1" x14ac:dyDescent="0.25">
      <c r="A954" s="5" t="s">
        <v>256</v>
      </c>
      <c r="B954" s="2" t="str">
        <f>VLOOKUP(A954,Table3[#All],2,FALSE)</f>
        <v>Deepa</v>
      </c>
      <c r="C954" s="2" t="str">
        <f>VLOOKUP(A954,Table3[#All],3,FALSE)</f>
        <v>HR</v>
      </c>
      <c r="D954" s="2">
        <f>VLOOKUP(A954,Table3[#All],4,FALSE)</f>
        <v>36</v>
      </c>
      <c r="E954" s="2" t="str">
        <f>VLOOKUP(A954,Table3[#All],5,FALSE)</f>
        <v>Female</v>
      </c>
      <c r="F954" s="2">
        <f>VLOOKUP(A954,Table3[#All],6,FALSE)</f>
        <v>14</v>
      </c>
      <c r="G954" s="2">
        <f>VLOOKUP(A954,Table3[#All],7,FALSE)</f>
        <v>77981</v>
      </c>
      <c r="H954" s="2">
        <f>VLOOKUP(A954,Table3[#All],8,FALSE)</f>
        <v>3</v>
      </c>
      <c r="I954" s="2">
        <f>VLOOKUP(A954,Table3[#All],9,FALSE)</f>
        <v>43</v>
      </c>
      <c r="J954" s="2">
        <f>VLOOKUP(A954,Table3[#All],10,FALSE)</f>
        <v>3</v>
      </c>
      <c r="K954" s="2">
        <f>VLOOKUP(A954,Table3[#All],11,FALSE)</f>
        <v>90</v>
      </c>
      <c r="L954" s="2" t="str">
        <f>VLOOKUP(A954,Table3[#All],12,FALSE)</f>
        <v>Mumbai</v>
      </c>
      <c r="M954" s="2" t="str">
        <f t="shared" si="14"/>
        <v>Not Eligible</v>
      </c>
    </row>
    <row r="955" spans="1:13" hidden="1" x14ac:dyDescent="0.25">
      <c r="A955" s="5" t="s">
        <v>230</v>
      </c>
      <c r="B955" s="2" t="str">
        <f>VLOOKUP(A955,Table3[#All],2,FALSE)</f>
        <v>Karthik</v>
      </c>
      <c r="C955" s="2" t="str">
        <f>VLOOKUP(A955,Table3[#All],3,FALSE)</f>
        <v>HR</v>
      </c>
      <c r="D955" s="2">
        <f>VLOOKUP(A955,Table3[#All],4,FALSE)</f>
        <v>24</v>
      </c>
      <c r="E955" s="2" t="str">
        <f>VLOOKUP(A955,Table3[#All],5,FALSE)</f>
        <v>Male</v>
      </c>
      <c r="F955" s="2">
        <f>VLOOKUP(A955,Table3[#All],6,FALSE)</f>
        <v>13</v>
      </c>
      <c r="G955" s="2">
        <f>VLOOKUP(A955,Table3[#All],7,FALSE)</f>
        <v>77990</v>
      </c>
      <c r="H955" s="2">
        <f>VLOOKUP(A955,Table3[#All],8,FALSE)</f>
        <v>3</v>
      </c>
      <c r="I955" s="2">
        <f>VLOOKUP(A955,Table3[#All],9,FALSE)</f>
        <v>40</v>
      </c>
      <c r="J955" s="2">
        <f>VLOOKUP(A955,Table3[#All],10,FALSE)</f>
        <v>2</v>
      </c>
      <c r="K955" s="2">
        <f>VLOOKUP(A955,Table3[#All],11,FALSE)</f>
        <v>93</v>
      </c>
      <c r="L955" s="2" t="str">
        <f>VLOOKUP(A955,Table3[#All],12,FALSE)</f>
        <v>Pune</v>
      </c>
      <c r="M955" s="2" t="str">
        <f t="shared" si="14"/>
        <v>Not Eligible</v>
      </c>
    </row>
    <row r="956" spans="1:13" hidden="1" x14ac:dyDescent="0.25">
      <c r="A956" s="5" t="s">
        <v>998</v>
      </c>
      <c r="B956" s="2" t="str">
        <f>VLOOKUP(A956,Table3[#All],2,FALSE)</f>
        <v>Priya</v>
      </c>
      <c r="C956" s="2" t="str">
        <f>VLOOKUP(A956,Table3[#All],3,FALSE)</f>
        <v>Finance</v>
      </c>
      <c r="D956" s="2">
        <f>VLOOKUP(A956,Table3[#All],4,FALSE)</f>
        <v>39</v>
      </c>
      <c r="E956" s="2" t="str">
        <f>VLOOKUP(A956,Table3[#All],5,FALSE)</f>
        <v>Male</v>
      </c>
      <c r="F956" s="2">
        <f>VLOOKUP(A956,Table3[#All],6,FALSE)</f>
        <v>4</v>
      </c>
      <c r="G956" s="2">
        <f>VLOOKUP(A956,Table3[#All],7,FALSE)</f>
        <v>52802</v>
      </c>
      <c r="H956" s="2">
        <f>VLOOKUP(A956,Table3[#All],8,FALSE)</f>
        <v>7</v>
      </c>
      <c r="I956" s="2">
        <f>VLOOKUP(A956,Table3[#All],9,FALSE)</f>
        <v>36</v>
      </c>
      <c r="J956" s="2">
        <f>VLOOKUP(A956,Table3[#All],10,FALSE)</f>
        <v>2</v>
      </c>
      <c r="K956" s="2">
        <f>VLOOKUP(A956,Table3[#All],11,FALSE)</f>
        <v>86</v>
      </c>
      <c r="L956" s="2" t="str">
        <f>VLOOKUP(A956,Table3[#All],12,FALSE)</f>
        <v>Hyderabad</v>
      </c>
      <c r="M956" s="2" t="str">
        <f t="shared" si="14"/>
        <v>Not Eligible</v>
      </c>
    </row>
    <row r="957" spans="1:13" hidden="1" x14ac:dyDescent="0.25">
      <c r="A957" s="6" t="s">
        <v>999</v>
      </c>
      <c r="B957" s="2" t="str">
        <f>VLOOKUP(A957,Table3[#All],2,FALSE)</f>
        <v>Karthik</v>
      </c>
      <c r="C957" s="2" t="str">
        <f>VLOOKUP(A957,Table3[#All],3,FALSE)</f>
        <v>Sales</v>
      </c>
      <c r="D957" s="2">
        <f>VLOOKUP(A957,Table3[#All],4,FALSE)</f>
        <v>33</v>
      </c>
      <c r="E957" s="2" t="str">
        <f>VLOOKUP(A957,Table3[#All],5,FALSE)</f>
        <v>Female</v>
      </c>
      <c r="F957" s="2">
        <f>VLOOKUP(A957,Table3[#All],6,FALSE)</f>
        <v>4</v>
      </c>
      <c r="G957" s="2">
        <f>VLOOKUP(A957,Table3[#All],7,FALSE)</f>
        <v>56514</v>
      </c>
      <c r="H957" s="2">
        <f>VLOOKUP(A957,Table3[#All],8,FALSE)</f>
        <v>6</v>
      </c>
      <c r="I957" s="2">
        <f>VLOOKUP(A957,Table3[#All],9,FALSE)</f>
        <v>41</v>
      </c>
      <c r="J957" s="2">
        <f>VLOOKUP(A957,Table3[#All],10,FALSE)</f>
        <v>3</v>
      </c>
      <c r="K957" s="2">
        <f>VLOOKUP(A957,Table3[#All],11,FALSE)</f>
        <v>90</v>
      </c>
      <c r="L957" s="2" t="str">
        <f>VLOOKUP(A957,Table3[#All],12,FALSE)</f>
        <v>Chennai</v>
      </c>
      <c r="M957" s="2" t="str">
        <f t="shared" si="14"/>
        <v>Not Eligible</v>
      </c>
    </row>
    <row r="958" spans="1:13" hidden="1" x14ac:dyDescent="0.25">
      <c r="A958" s="6" t="s">
        <v>271</v>
      </c>
      <c r="B958" s="2" t="str">
        <f>VLOOKUP(A958,Table3[#All],2,FALSE)</f>
        <v>Manoj</v>
      </c>
      <c r="C958" s="2" t="str">
        <f>VLOOKUP(A958,Table3[#All],3,FALSE)</f>
        <v>HR</v>
      </c>
      <c r="D958" s="2">
        <f>VLOOKUP(A958,Table3[#All],4,FALSE)</f>
        <v>37</v>
      </c>
      <c r="E958" s="2" t="str">
        <f>VLOOKUP(A958,Table3[#All],5,FALSE)</f>
        <v>Male</v>
      </c>
      <c r="F958" s="2">
        <f>VLOOKUP(A958,Table3[#All],6,FALSE)</f>
        <v>8</v>
      </c>
      <c r="G958" s="2">
        <f>VLOOKUP(A958,Table3[#All],7,FALSE)</f>
        <v>78107</v>
      </c>
      <c r="H958" s="2">
        <f>VLOOKUP(A958,Table3[#All],8,FALSE)</f>
        <v>10</v>
      </c>
      <c r="I958" s="2">
        <f>VLOOKUP(A958,Table3[#All],9,FALSE)</f>
        <v>35</v>
      </c>
      <c r="J958" s="2">
        <f>VLOOKUP(A958,Table3[#All],10,FALSE)</f>
        <v>2</v>
      </c>
      <c r="K958" s="2">
        <f>VLOOKUP(A958,Table3[#All],11,FALSE)</f>
        <v>90</v>
      </c>
      <c r="L958" s="2" t="str">
        <f>VLOOKUP(A958,Table3[#All],12,FALSE)</f>
        <v>Hyderabad</v>
      </c>
      <c r="M958" s="2" t="str">
        <f t="shared" si="14"/>
        <v>Not Eligible</v>
      </c>
    </row>
    <row r="959" spans="1:13" x14ac:dyDescent="0.25">
      <c r="A959" s="6" t="s">
        <v>785</v>
      </c>
      <c r="B959" s="2" t="str">
        <f>VLOOKUP(A959,Table3[#All],2,FALSE)</f>
        <v>Vijay</v>
      </c>
      <c r="C959" s="2" t="str">
        <f>VLOOKUP(A959,Table3[#All],3,FALSE)</f>
        <v>Sales</v>
      </c>
      <c r="D959" s="2">
        <f>VLOOKUP(A959,Table3[#All],4,FALSE)</f>
        <v>34</v>
      </c>
      <c r="E959" s="2" t="str">
        <f>VLOOKUP(A959,Table3[#All],5,FALSE)</f>
        <v>Female</v>
      </c>
      <c r="F959" s="2">
        <f>VLOOKUP(A959,Table3[#All],6,FALSE)</f>
        <v>13</v>
      </c>
      <c r="G959" s="2">
        <f>VLOOKUP(A959,Table3[#All],7,FALSE)</f>
        <v>78164</v>
      </c>
      <c r="H959" s="2">
        <f>VLOOKUP(A959,Table3[#All],8,FALSE)</f>
        <v>11</v>
      </c>
      <c r="I959" s="2">
        <f>VLOOKUP(A959,Table3[#All],9,FALSE)</f>
        <v>46</v>
      </c>
      <c r="J959" s="2">
        <f>VLOOKUP(A959,Table3[#All],10,FALSE)</f>
        <v>5</v>
      </c>
      <c r="K959" s="2">
        <f>VLOOKUP(A959,Table3[#All],11,FALSE)</f>
        <v>100</v>
      </c>
      <c r="L959" s="2" t="str">
        <f>VLOOKUP(A959,Table3[#All],12,FALSE)</f>
        <v>Mumbai</v>
      </c>
      <c r="M959" s="2" t="str">
        <f t="shared" si="14"/>
        <v>Eligible</v>
      </c>
    </row>
    <row r="960" spans="1:13" hidden="1" x14ac:dyDescent="0.25">
      <c r="A960" s="5" t="s">
        <v>160</v>
      </c>
      <c r="B960" s="2" t="str">
        <f>VLOOKUP(A960,Table3[#All],2,FALSE)</f>
        <v>Nisha</v>
      </c>
      <c r="C960" s="2" t="str">
        <f>VLOOKUP(A960,Table3[#All],3,FALSE)</f>
        <v>Sales</v>
      </c>
      <c r="D960" s="2">
        <f>VLOOKUP(A960,Table3[#All],4,FALSE)</f>
        <v>38</v>
      </c>
      <c r="E960" s="2" t="str">
        <f>VLOOKUP(A960,Table3[#All],5,FALSE)</f>
        <v>Male</v>
      </c>
      <c r="F960" s="2">
        <f>VLOOKUP(A960,Table3[#All],6,FALSE)</f>
        <v>6</v>
      </c>
      <c r="G960" s="2">
        <f>VLOOKUP(A960,Table3[#All],7,FALSE)</f>
        <v>78173</v>
      </c>
      <c r="H960" s="2">
        <f>VLOOKUP(A960,Table3[#All],8,FALSE)</f>
        <v>7</v>
      </c>
      <c r="I960" s="2">
        <f>VLOOKUP(A960,Table3[#All],9,FALSE)</f>
        <v>44</v>
      </c>
      <c r="J960" s="2">
        <f>VLOOKUP(A960,Table3[#All],10,FALSE)</f>
        <v>4</v>
      </c>
      <c r="K960" s="2">
        <f>VLOOKUP(A960,Table3[#All],11,FALSE)</f>
        <v>98</v>
      </c>
      <c r="L960" s="2" t="str">
        <f>VLOOKUP(A960,Table3[#All],12,FALSE)</f>
        <v>Pune</v>
      </c>
      <c r="M960" s="2" t="str">
        <f t="shared" si="14"/>
        <v>Eligible</v>
      </c>
    </row>
    <row r="961" spans="1:13" hidden="1" x14ac:dyDescent="0.25">
      <c r="A961" s="5" t="s">
        <v>354</v>
      </c>
      <c r="B961" s="2" t="str">
        <f>VLOOKUP(A961,Table3[#All],2,FALSE)</f>
        <v>Nisha</v>
      </c>
      <c r="C961" s="2" t="str">
        <f>VLOOKUP(A961,Table3[#All],3,FALSE)</f>
        <v>Finance</v>
      </c>
      <c r="D961" s="2">
        <f>VLOOKUP(A961,Table3[#All],4,FALSE)</f>
        <v>40</v>
      </c>
      <c r="E961" s="2" t="str">
        <f>VLOOKUP(A961,Table3[#All],5,FALSE)</f>
        <v>Male</v>
      </c>
      <c r="F961" s="2">
        <f>VLOOKUP(A961,Table3[#All],6,FALSE)</f>
        <v>13</v>
      </c>
      <c r="G961" s="2">
        <f>VLOOKUP(A961,Table3[#All],7,FALSE)</f>
        <v>78385</v>
      </c>
      <c r="H961" s="2">
        <f>VLOOKUP(A961,Table3[#All],8,FALSE)</f>
        <v>10</v>
      </c>
      <c r="I961" s="2">
        <f>VLOOKUP(A961,Table3[#All],9,FALSE)</f>
        <v>44</v>
      </c>
      <c r="J961" s="2">
        <f>VLOOKUP(A961,Table3[#All],10,FALSE)</f>
        <v>4</v>
      </c>
      <c r="K961" s="2">
        <f>VLOOKUP(A961,Table3[#All],11,FALSE)</f>
        <v>85</v>
      </c>
      <c r="L961" s="2" t="str">
        <f>VLOOKUP(A961,Table3[#All],12,FALSE)</f>
        <v>Mumbai</v>
      </c>
      <c r="M961" s="2" t="str">
        <f t="shared" si="14"/>
        <v>Not Eligible</v>
      </c>
    </row>
    <row r="962" spans="1:13" hidden="1" x14ac:dyDescent="0.25">
      <c r="A962" s="5" t="s">
        <v>1004</v>
      </c>
      <c r="B962" s="2" t="str">
        <f>VLOOKUP(A962,Table3[#All],2,FALSE)</f>
        <v>Anitha</v>
      </c>
      <c r="C962" s="2" t="str">
        <f>VLOOKUP(A962,Table3[#All],3,FALSE)</f>
        <v>Finance</v>
      </c>
      <c r="D962" s="2">
        <f>VLOOKUP(A962,Table3[#All],4,FALSE)</f>
        <v>40</v>
      </c>
      <c r="E962" s="2" t="str">
        <f>VLOOKUP(A962,Table3[#All],5,FALSE)</f>
        <v>Female</v>
      </c>
      <c r="F962" s="2">
        <f>VLOOKUP(A962,Table3[#All],6,FALSE)</f>
        <v>1</v>
      </c>
      <c r="G962" s="2">
        <f>VLOOKUP(A962,Table3[#All],7,FALSE)</f>
        <v>67683</v>
      </c>
      <c r="H962" s="2">
        <f>VLOOKUP(A962,Table3[#All],8,FALSE)</f>
        <v>9</v>
      </c>
      <c r="I962" s="2">
        <f>VLOOKUP(A962,Table3[#All],9,FALSE)</f>
        <v>44</v>
      </c>
      <c r="J962" s="2">
        <f>VLOOKUP(A962,Table3[#All],10,FALSE)</f>
        <v>3</v>
      </c>
      <c r="K962" s="2">
        <f>VLOOKUP(A962,Table3[#All],11,FALSE)</f>
        <v>97</v>
      </c>
      <c r="L962" s="2" t="str">
        <f>VLOOKUP(A962,Table3[#All],12,FALSE)</f>
        <v>Chennai</v>
      </c>
      <c r="M962" s="2" t="str">
        <f t="shared" ref="M962:M1001" si="15">IF(K962&gt;=95,"Eligible","Not Eligible")</f>
        <v>Eligible</v>
      </c>
    </row>
    <row r="963" spans="1:13" hidden="1" x14ac:dyDescent="0.25">
      <c r="A963" s="6" t="s">
        <v>909</v>
      </c>
      <c r="B963" s="2" t="str">
        <f>VLOOKUP(A963,Table3[#All],2,FALSE)</f>
        <v>Priya</v>
      </c>
      <c r="C963" s="2" t="str">
        <f>VLOOKUP(A963,Table3[#All],3,FALSE)</f>
        <v>Finance</v>
      </c>
      <c r="D963" s="2">
        <f>VLOOKUP(A963,Table3[#All],4,FALSE)</f>
        <v>22</v>
      </c>
      <c r="E963" s="2" t="str">
        <f>VLOOKUP(A963,Table3[#All],5,FALSE)</f>
        <v>Female</v>
      </c>
      <c r="F963" s="2">
        <f>VLOOKUP(A963,Table3[#All],6,FALSE)</f>
        <v>10</v>
      </c>
      <c r="G963" s="2">
        <f>VLOOKUP(A963,Table3[#All],7,FALSE)</f>
        <v>78397</v>
      </c>
      <c r="H963" s="2">
        <f>VLOOKUP(A963,Table3[#All],8,FALSE)</f>
        <v>5</v>
      </c>
      <c r="I963" s="2">
        <f>VLOOKUP(A963,Table3[#All],9,FALSE)</f>
        <v>37</v>
      </c>
      <c r="J963" s="2">
        <f>VLOOKUP(A963,Table3[#All],10,FALSE)</f>
        <v>5</v>
      </c>
      <c r="K963" s="2">
        <f>VLOOKUP(A963,Table3[#All],11,FALSE)</f>
        <v>100</v>
      </c>
      <c r="L963" s="2" t="str">
        <f>VLOOKUP(A963,Table3[#All],12,FALSE)</f>
        <v>Bangalore</v>
      </c>
      <c r="M963" s="2" t="str">
        <f t="shared" si="15"/>
        <v>Eligible</v>
      </c>
    </row>
    <row r="964" spans="1:13" hidden="1" x14ac:dyDescent="0.25">
      <c r="A964" s="5" t="s">
        <v>1006</v>
      </c>
      <c r="B964" s="2" t="str">
        <f>VLOOKUP(A964,Table3[#All],2,FALSE)</f>
        <v>Manoj</v>
      </c>
      <c r="C964" s="2" t="str">
        <f>VLOOKUP(A964,Table3[#All],3,FALSE)</f>
        <v>Finance</v>
      </c>
      <c r="D964" s="2">
        <f>VLOOKUP(A964,Table3[#All],4,FALSE)</f>
        <v>37</v>
      </c>
      <c r="E964" s="2" t="str">
        <f>VLOOKUP(A964,Table3[#All],5,FALSE)</f>
        <v>Female</v>
      </c>
      <c r="F964" s="2">
        <f>VLOOKUP(A964,Table3[#All],6,FALSE)</f>
        <v>1</v>
      </c>
      <c r="G964" s="2">
        <f>VLOOKUP(A964,Table3[#All],7,FALSE)</f>
        <v>67533</v>
      </c>
      <c r="H964" s="2">
        <f>VLOOKUP(A964,Table3[#All],8,FALSE)</f>
        <v>11</v>
      </c>
      <c r="I964" s="2">
        <f>VLOOKUP(A964,Table3[#All],9,FALSE)</f>
        <v>35</v>
      </c>
      <c r="J964" s="2">
        <f>VLOOKUP(A964,Table3[#All],10,FALSE)</f>
        <v>3</v>
      </c>
      <c r="K964" s="2">
        <f>VLOOKUP(A964,Table3[#All],11,FALSE)</f>
        <v>98</v>
      </c>
      <c r="L964" s="2" t="str">
        <f>VLOOKUP(A964,Table3[#All],12,FALSE)</f>
        <v>Hyderabad</v>
      </c>
      <c r="M964" s="2" t="str">
        <f t="shared" si="15"/>
        <v>Eligible</v>
      </c>
    </row>
    <row r="965" spans="1:13" hidden="1" x14ac:dyDescent="0.25">
      <c r="A965" s="5" t="s">
        <v>944</v>
      </c>
      <c r="B965" s="2" t="str">
        <f>VLOOKUP(A965,Table3[#All],2,FALSE)</f>
        <v>Kavya</v>
      </c>
      <c r="C965" s="2" t="str">
        <f>VLOOKUP(A965,Table3[#All],3,FALSE)</f>
        <v>HR</v>
      </c>
      <c r="D965" s="2">
        <f>VLOOKUP(A965,Table3[#All],4,FALSE)</f>
        <v>38</v>
      </c>
      <c r="E965" s="2" t="str">
        <f>VLOOKUP(A965,Table3[#All],5,FALSE)</f>
        <v>Male</v>
      </c>
      <c r="F965" s="2">
        <f>VLOOKUP(A965,Table3[#All],6,FALSE)</f>
        <v>12</v>
      </c>
      <c r="G965" s="2">
        <f>VLOOKUP(A965,Table3[#All],7,FALSE)</f>
        <v>78427</v>
      </c>
      <c r="H965" s="2">
        <f>VLOOKUP(A965,Table3[#All],8,FALSE)</f>
        <v>9</v>
      </c>
      <c r="I965" s="2">
        <f>VLOOKUP(A965,Table3[#All],9,FALSE)</f>
        <v>47</v>
      </c>
      <c r="J965" s="2">
        <f>VLOOKUP(A965,Table3[#All],10,FALSE)</f>
        <v>4</v>
      </c>
      <c r="K965" s="2">
        <f>VLOOKUP(A965,Table3[#All],11,FALSE)</f>
        <v>86</v>
      </c>
      <c r="L965" s="2" t="str">
        <f>VLOOKUP(A965,Table3[#All],12,FALSE)</f>
        <v>Pune</v>
      </c>
      <c r="M965" s="2" t="str">
        <f t="shared" si="15"/>
        <v>Not Eligible</v>
      </c>
    </row>
    <row r="966" spans="1:13" hidden="1" x14ac:dyDescent="0.25">
      <c r="A966" s="5" t="s">
        <v>570</v>
      </c>
      <c r="B966" s="2" t="str">
        <f>VLOOKUP(A966,Table3[#All],2,FALSE)</f>
        <v>Sanjay</v>
      </c>
      <c r="C966" s="2" t="str">
        <f>VLOOKUP(A966,Table3[#All],3,FALSE)</f>
        <v>IT</v>
      </c>
      <c r="D966" s="2">
        <f>VLOOKUP(A966,Table3[#All],4,FALSE)</f>
        <v>38</v>
      </c>
      <c r="E966" s="2" t="str">
        <f>VLOOKUP(A966,Table3[#All],5,FALSE)</f>
        <v>Female</v>
      </c>
      <c r="F966" s="2">
        <f>VLOOKUP(A966,Table3[#All],6,FALSE)</f>
        <v>11</v>
      </c>
      <c r="G966" s="2">
        <f>VLOOKUP(A966,Table3[#All],7,FALSE)</f>
        <v>78474</v>
      </c>
      <c r="H966" s="2">
        <f>VLOOKUP(A966,Table3[#All],8,FALSE)</f>
        <v>9</v>
      </c>
      <c r="I966" s="2">
        <f>VLOOKUP(A966,Table3[#All],9,FALSE)</f>
        <v>41</v>
      </c>
      <c r="J966" s="2">
        <f>VLOOKUP(A966,Table3[#All],10,FALSE)</f>
        <v>2</v>
      </c>
      <c r="K966" s="2">
        <f>VLOOKUP(A966,Table3[#All],11,FALSE)</f>
        <v>86</v>
      </c>
      <c r="L966" s="2" t="str">
        <f>VLOOKUP(A966,Table3[#All],12,FALSE)</f>
        <v>Hyderabad</v>
      </c>
      <c r="M966" s="2" t="str">
        <f t="shared" si="15"/>
        <v>Not Eligible</v>
      </c>
    </row>
    <row r="967" spans="1:13" hidden="1" x14ac:dyDescent="0.25">
      <c r="A967" s="5" t="s">
        <v>864</v>
      </c>
      <c r="B967" s="2" t="str">
        <f>VLOOKUP(A967,Table3[#All],2,FALSE)</f>
        <v>Ajay</v>
      </c>
      <c r="C967" s="2" t="str">
        <f>VLOOKUP(A967,Table3[#All],3,FALSE)</f>
        <v>Sales</v>
      </c>
      <c r="D967" s="2">
        <f>VLOOKUP(A967,Table3[#All],4,FALSE)</f>
        <v>30</v>
      </c>
      <c r="E967" s="2" t="str">
        <f>VLOOKUP(A967,Table3[#All],5,FALSE)</f>
        <v>Male</v>
      </c>
      <c r="F967" s="2">
        <f>VLOOKUP(A967,Table3[#All],6,FALSE)</f>
        <v>5</v>
      </c>
      <c r="G967" s="2">
        <f>VLOOKUP(A967,Table3[#All],7,FALSE)</f>
        <v>78576</v>
      </c>
      <c r="H967" s="2">
        <f>VLOOKUP(A967,Table3[#All],8,FALSE)</f>
        <v>9</v>
      </c>
      <c r="I967" s="2">
        <f>VLOOKUP(A967,Table3[#All],9,FALSE)</f>
        <v>41</v>
      </c>
      <c r="J967" s="2">
        <f>VLOOKUP(A967,Table3[#All],10,FALSE)</f>
        <v>4</v>
      </c>
      <c r="K967" s="2">
        <f>VLOOKUP(A967,Table3[#All],11,FALSE)</f>
        <v>91</v>
      </c>
      <c r="L967" s="2" t="str">
        <f>VLOOKUP(A967,Table3[#All],12,FALSE)</f>
        <v>Hyderabad</v>
      </c>
      <c r="M967" s="2" t="str">
        <f t="shared" si="15"/>
        <v>Not Eligible</v>
      </c>
    </row>
    <row r="968" spans="1:13" x14ac:dyDescent="0.25">
      <c r="A968" s="6" t="s">
        <v>857</v>
      </c>
      <c r="B968" s="2" t="str">
        <f>VLOOKUP(A968,Table3[#All],2,FALSE)</f>
        <v>Sanjay</v>
      </c>
      <c r="C968" s="2" t="str">
        <f>VLOOKUP(A968,Table3[#All],3,FALSE)</f>
        <v>Finance</v>
      </c>
      <c r="D968" s="2">
        <f>VLOOKUP(A968,Table3[#All],4,FALSE)</f>
        <v>22</v>
      </c>
      <c r="E968" s="2" t="str">
        <f>VLOOKUP(A968,Table3[#All],5,FALSE)</f>
        <v>Male</v>
      </c>
      <c r="F968" s="2">
        <f>VLOOKUP(A968,Table3[#All],6,FALSE)</f>
        <v>6</v>
      </c>
      <c r="G968" s="2">
        <f>VLOOKUP(A968,Table3[#All],7,FALSE)</f>
        <v>78682</v>
      </c>
      <c r="H968" s="2">
        <f>VLOOKUP(A968,Table3[#All],8,FALSE)</f>
        <v>11</v>
      </c>
      <c r="I968" s="2">
        <f>VLOOKUP(A968,Table3[#All],9,FALSE)</f>
        <v>46</v>
      </c>
      <c r="J968" s="2">
        <f>VLOOKUP(A968,Table3[#All],10,FALSE)</f>
        <v>1</v>
      </c>
      <c r="K968" s="2">
        <f>VLOOKUP(A968,Table3[#All],11,FALSE)</f>
        <v>95</v>
      </c>
      <c r="L968" s="2" t="str">
        <f>VLOOKUP(A968,Table3[#All],12,FALSE)</f>
        <v>Mumbai</v>
      </c>
      <c r="M968" s="2" t="str">
        <f t="shared" si="15"/>
        <v>Eligible</v>
      </c>
    </row>
    <row r="969" spans="1:13" hidden="1" x14ac:dyDescent="0.25">
      <c r="A969" s="5" t="s">
        <v>874</v>
      </c>
      <c r="B969" s="2" t="str">
        <f>VLOOKUP(A969,Table3[#All],2,FALSE)</f>
        <v>Manoj</v>
      </c>
      <c r="C969" s="2" t="str">
        <f>VLOOKUP(A969,Table3[#All],3,FALSE)</f>
        <v>Sales</v>
      </c>
      <c r="D969" s="2">
        <f>VLOOKUP(A969,Table3[#All],4,FALSE)</f>
        <v>22</v>
      </c>
      <c r="E969" s="2" t="str">
        <f>VLOOKUP(A969,Table3[#All],5,FALSE)</f>
        <v>Female</v>
      </c>
      <c r="F969" s="2">
        <f>VLOOKUP(A969,Table3[#All],6,FALSE)</f>
        <v>9</v>
      </c>
      <c r="G969" s="2">
        <f>VLOOKUP(A969,Table3[#All],7,FALSE)</f>
        <v>78748</v>
      </c>
      <c r="H969" s="2">
        <f>VLOOKUP(A969,Table3[#All],8,FALSE)</f>
        <v>3</v>
      </c>
      <c r="I969" s="2">
        <f>VLOOKUP(A969,Table3[#All],9,FALSE)</f>
        <v>39</v>
      </c>
      <c r="J969" s="2">
        <f>VLOOKUP(A969,Table3[#All],10,FALSE)</f>
        <v>1</v>
      </c>
      <c r="K969" s="2">
        <f>VLOOKUP(A969,Table3[#All],11,FALSE)</f>
        <v>91</v>
      </c>
      <c r="L969" s="2" t="str">
        <f>VLOOKUP(A969,Table3[#All],12,FALSE)</f>
        <v>Chennai</v>
      </c>
      <c r="M969" s="2" t="str">
        <f t="shared" si="15"/>
        <v>Not Eligible</v>
      </c>
    </row>
    <row r="970" spans="1:13" x14ac:dyDescent="0.25">
      <c r="A970" s="5" t="s">
        <v>600</v>
      </c>
      <c r="B970" s="2" t="str">
        <f>VLOOKUP(A970,Table3[#All],2,FALSE)</f>
        <v>Manoj</v>
      </c>
      <c r="C970" s="2" t="str">
        <f>VLOOKUP(A970,Table3[#All],3,FALSE)</f>
        <v>HR</v>
      </c>
      <c r="D970" s="2">
        <f>VLOOKUP(A970,Table3[#All],4,FALSE)</f>
        <v>27</v>
      </c>
      <c r="E970" s="2" t="str">
        <f>VLOOKUP(A970,Table3[#All],5,FALSE)</f>
        <v>Female</v>
      </c>
      <c r="F970" s="2">
        <f>VLOOKUP(A970,Table3[#All],6,FALSE)</f>
        <v>5</v>
      </c>
      <c r="G970" s="2">
        <f>VLOOKUP(A970,Table3[#All],7,FALSE)</f>
        <v>78796</v>
      </c>
      <c r="H970" s="2">
        <f>VLOOKUP(A970,Table3[#All],8,FALSE)</f>
        <v>13</v>
      </c>
      <c r="I970" s="2">
        <f>VLOOKUP(A970,Table3[#All],9,FALSE)</f>
        <v>48</v>
      </c>
      <c r="J970" s="2">
        <f>VLOOKUP(A970,Table3[#All],10,FALSE)</f>
        <v>2</v>
      </c>
      <c r="K970" s="2">
        <f>VLOOKUP(A970,Table3[#All],11,FALSE)</f>
        <v>96</v>
      </c>
      <c r="L970" s="2" t="str">
        <f>VLOOKUP(A970,Table3[#All],12,FALSE)</f>
        <v>Delhi</v>
      </c>
      <c r="M970" s="2" t="str">
        <f t="shared" si="15"/>
        <v>Eligible</v>
      </c>
    </row>
    <row r="971" spans="1:13" hidden="1" x14ac:dyDescent="0.25">
      <c r="A971" s="6" t="s">
        <v>865</v>
      </c>
      <c r="B971" s="2" t="str">
        <f>VLOOKUP(A971,Table3[#All],2,FALSE)</f>
        <v>Ravi</v>
      </c>
      <c r="C971" s="2" t="str">
        <f>VLOOKUP(A971,Table3[#All],3,FALSE)</f>
        <v>Sales</v>
      </c>
      <c r="D971" s="2">
        <f>VLOOKUP(A971,Table3[#All],4,FALSE)</f>
        <v>39</v>
      </c>
      <c r="E971" s="2" t="str">
        <f>VLOOKUP(A971,Table3[#All],5,FALSE)</f>
        <v>Female</v>
      </c>
      <c r="F971" s="2">
        <f>VLOOKUP(A971,Table3[#All],6,FALSE)</f>
        <v>12</v>
      </c>
      <c r="G971" s="2">
        <f>VLOOKUP(A971,Table3[#All],7,FALSE)</f>
        <v>78803</v>
      </c>
      <c r="H971" s="2">
        <f>VLOOKUP(A971,Table3[#All],8,FALSE)</f>
        <v>12</v>
      </c>
      <c r="I971" s="2">
        <f>VLOOKUP(A971,Table3[#All],9,FALSE)</f>
        <v>47</v>
      </c>
      <c r="J971" s="2">
        <f>VLOOKUP(A971,Table3[#All],10,FALSE)</f>
        <v>5</v>
      </c>
      <c r="K971" s="2">
        <f>VLOOKUP(A971,Table3[#All],11,FALSE)</f>
        <v>88</v>
      </c>
      <c r="L971" s="2" t="str">
        <f>VLOOKUP(A971,Table3[#All],12,FALSE)</f>
        <v>Mumbai</v>
      </c>
      <c r="M971" s="2" t="str">
        <f t="shared" si="15"/>
        <v>Not Eligible</v>
      </c>
    </row>
    <row r="972" spans="1:13" hidden="1" x14ac:dyDescent="0.25">
      <c r="A972" s="5" t="s">
        <v>1014</v>
      </c>
      <c r="B972" s="2" t="str">
        <f>VLOOKUP(A972,Table3[#All],2,FALSE)</f>
        <v>Meena</v>
      </c>
      <c r="C972" s="2" t="str">
        <f>VLOOKUP(A972,Table3[#All],3,FALSE)</f>
        <v>Finance</v>
      </c>
      <c r="D972" s="2">
        <f>VLOOKUP(A972,Table3[#All],4,FALSE)</f>
        <v>34</v>
      </c>
      <c r="E972" s="2" t="str">
        <f>VLOOKUP(A972,Table3[#All],5,FALSE)</f>
        <v>Male</v>
      </c>
      <c r="F972" s="2">
        <f>VLOOKUP(A972,Table3[#All],6,FALSE)</f>
        <v>3</v>
      </c>
      <c r="G972" s="2">
        <f>VLOOKUP(A972,Table3[#All],7,FALSE)</f>
        <v>34785</v>
      </c>
      <c r="H972" s="2">
        <f>VLOOKUP(A972,Table3[#All],8,FALSE)</f>
        <v>13</v>
      </c>
      <c r="I972" s="2">
        <f>VLOOKUP(A972,Table3[#All],9,FALSE)</f>
        <v>50</v>
      </c>
      <c r="J972" s="2">
        <f>VLOOKUP(A972,Table3[#All],10,FALSE)</f>
        <v>3</v>
      </c>
      <c r="K972" s="2">
        <f>VLOOKUP(A972,Table3[#All],11,FALSE)</f>
        <v>94</v>
      </c>
      <c r="L972" s="2" t="str">
        <f>VLOOKUP(A972,Table3[#All],12,FALSE)</f>
        <v>Mumbai</v>
      </c>
      <c r="M972" s="2" t="str">
        <f t="shared" si="15"/>
        <v>Not Eligible</v>
      </c>
    </row>
    <row r="973" spans="1:13" hidden="1" x14ac:dyDescent="0.25">
      <c r="A973" s="6" t="s">
        <v>603</v>
      </c>
      <c r="B973" s="2" t="str">
        <f>VLOOKUP(A973,Table3[#All],2,FALSE)</f>
        <v>Kavya</v>
      </c>
      <c r="C973" s="2" t="str">
        <f>VLOOKUP(A973,Table3[#All],3,FALSE)</f>
        <v>IT</v>
      </c>
      <c r="D973" s="2">
        <f>VLOOKUP(A973,Table3[#All],4,FALSE)</f>
        <v>25</v>
      </c>
      <c r="E973" s="2" t="str">
        <f>VLOOKUP(A973,Table3[#All],5,FALSE)</f>
        <v>Male</v>
      </c>
      <c r="F973" s="2">
        <f>VLOOKUP(A973,Table3[#All],6,FALSE)</f>
        <v>7</v>
      </c>
      <c r="G973" s="2">
        <f>VLOOKUP(A973,Table3[#All],7,FALSE)</f>
        <v>78916</v>
      </c>
      <c r="H973" s="2">
        <f>VLOOKUP(A973,Table3[#All],8,FALSE)</f>
        <v>6</v>
      </c>
      <c r="I973" s="2">
        <f>VLOOKUP(A973,Table3[#All],9,FALSE)</f>
        <v>35</v>
      </c>
      <c r="J973" s="2">
        <f>VLOOKUP(A973,Table3[#All],10,FALSE)</f>
        <v>2</v>
      </c>
      <c r="K973" s="2">
        <f>VLOOKUP(A973,Table3[#All],11,FALSE)</f>
        <v>88</v>
      </c>
      <c r="L973" s="2" t="str">
        <f>VLOOKUP(A973,Table3[#All],12,FALSE)</f>
        <v>Chennai</v>
      </c>
      <c r="M973" s="2" t="str">
        <f t="shared" si="15"/>
        <v>Not Eligible</v>
      </c>
    </row>
    <row r="974" spans="1:13" x14ac:dyDescent="0.25">
      <c r="A974" s="5" t="s">
        <v>524</v>
      </c>
      <c r="B974" s="2" t="str">
        <f>VLOOKUP(A974,Table3[#All],2,FALSE)</f>
        <v>Ravi</v>
      </c>
      <c r="C974" s="2" t="str">
        <f>VLOOKUP(A974,Table3[#All],3,FALSE)</f>
        <v>Finance</v>
      </c>
      <c r="D974" s="2">
        <f>VLOOKUP(A974,Table3[#All],4,FALSE)</f>
        <v>25</v>
      </c>
      <c r="E974" s="2" t="str">
        <f>VLOOKUP(A974,Table3[#All],5,FALSE)</f>
        <v>Male</v>
      </c>
      <c r="F974" s="2">
        <f>VLOOKUP(A974,Table3[#All],6,FALSE)</f>
        <v>5</v>
      </c>
      <c r="G974" s="2">
        <f>VLOOKUP(A974,Table3[#All],7,FALSE)</f>
        <v>78987</v>
      </c>
      <c r="H974" s="2">
        <f>VLOOKUP(A974,Table3[#All],8,FALSE)</f>
        <v>14</v>
      </c>
      <c r="I974" s="2">
        <f>VLOOKUP(A974,Table3[#All],9,FALSE)</f>
        <v>49</v>
      </c>
      <c r="J974" s="2">
        <f>VLOOKUP(A974,Table3[#All],10,FALSE)</f>
        <v>1</v>
      </c>
      <c r="K974" s="2">
        <f>VLOOKUP(A974,Table3[#All],11,FALSE)</f>
        <v>99</v>
      </c>
      <c r="L974" s="2" t="str">
        <f>VLOOKUP(A974,Table3[#All],12,FALSE)</f>
        <v>Chennai</v>
      </c>
      <c r="M974" s="2" t="str">
        <f t="shared" si="15"/>
        <v>Eligible</v>
      </c>
    </row>
    <row r="975" spans="1:13" hidden="1" x14ac:dyDescent="0.25">
      <c r="A975" s="5" t="s">
        <v>304</v>
      </c>
      <c r="B975" s="2" t="str">
        <f>VLOOKUP(A975,Table3[#All],2,FALSE)</f>
        <v>Lakshmi</v>
      </c>
      <c r="C975" s="2" t="str">
        <f>VLOOKUP(A975,Table3[#All],3,FALSE)</f>
        <v>IT</v>
      </c>
      <c r="D975" s="2">
        <f>VLOOKUP(A975,Table3[#All],4,FALSE)</f>
        <v>27</v>
      </c>
      <c r="E975" s="2" t="str">
        <f>VLOOKUP(A975,Table3[#All],5,FALSE)</f>
        <v>Female</v>
      </c>
      <c r="F975" s="2">
        <f>VLOOKUP(A975,Table3[#All],6,FALSE)</f>
        <v>14</v>
      </c>
      <c r="G975" s="2">
        <f>VLOOKUP(A975,Table3[#All],7,FALSE)</f>
        <v>79047</v>
      </c>
      <c r="H975" s="2">
        <f>VLOOKUP(A975,Table3[#All],8,FALSE)</f>
        <v>6</v>
      </c>
      <c r="I975" s="2">
        <f>VLOOKUP(A975,Table3[#All],9,FALSE)</f>
        <v>35</v>
      </c>
      <c r="J975" s="2">
        <f>VLOOKUP(A975,Table3[#All],10,FALSE)</f>
        <v>4</v>
      </c>
      <c r="K975" s="2">
        <f>VLOOKUP(A975,Table3[#All],11,FALSE)</f>
        <v>89</v>
      </c>
      <c r="L975" s="2" t="str">
        <f>VLOOKUP(A975,Table3[#All],12,FALSE)</f>
        <v>Bangalore</v>
      </c>
      <c r="M975" s="2" t="str">
        <f t="shared" si="15"/>
        <v>Not Eligible</v>
      </c>
    </row>
    <row r="976" spans="1:13" hidden="1" x14ac:dyDescent="0.25">
      <c r="A976" s="6" t="s">
        <v>421</v>
      </c>
      <c r="B976" s="2" t="str">
        <f>VLOOKUP(A976,Table3[#All],2,FALSE)</f>
        <v>Arun</v>
      </c>
      <c r="C976" s="2" t="str">
        <f>VLOOKUP(A976,Table3[#All],3,FALSE)</f>
        <v>IT</v>
      </c>
      <c r="D976" s="2">
        <f>VLOOKUP(A976,Table3[#All],4,FALSE)</f>
        <v>40</v>
      </c>
      <c r="E976" s="2" t="str">
        <f>VLOOKUP(A976,Table3[#All],5,FALSE)</f>
        <v>Female</v>
      </c>
      <c r="F976" s="2">
        <f>VLOOKUP(A976,Table3[#All],6,FALSE)</f>
        <v>6</v>
      </c>
      <c r="G976" s="2">
        <f>VLOOKUP(A976,Table3[#All],7,FALSE)</f>
        <v>79076</v>
      </c>
      <c r="H976" s="2">
        <f>VLOOKUP(A976,Table3[#All],8,FALSE)</f>
        <v>5</v>
      </c>
      <c r="I976" s="2">
        <f>VLOOKUP(A976,Table3[#All],9,FALSE)</f>
        <v>46</v>
      </c>
      <c r="J976" s="2">
        <f>VLOOKUP(A976,Table3[#All],10,FALSE)</f>
        <v>2</v>
      </c>
      <c r="K976" s="2">
        <f>VLOOKUP(A976,Table3[#All],11,FALSE)</f>
        <v>100</v>
      </c>
      <c r="L976" s="2" t="str">
        <f>VLOOKUP(A976,Table3[#All],12,FALSE)</f>
        <v>Hyderabad</v>
      </c>
      <c r="M976" s="2" t="str">
        <f t="shared" si="15"/>
        <v>Eligible</v>
      </c>
    </row>
    <row r="977" spans="1:13" hidden="1" x14ac:dyDescent="0.25">
      <c r="A977" s="6" t="s">
        <v>951</v>
      </c>
      <c r="B977" s="2" t="str">
        <f>VLOOKUP(A977,Table3[#All],2,FALSE)</f>
        <v>Anitha</v>
      </c>
      <c r="C977" s="2" t="str">
        <f>VLOOKUP(A977,Table3[#All],3,FALSE)</f>
        <v>Finance</v>
      </c>
      <c r="D977" s="2">
        <f>VLOOKUP(A977,Table3[#All],4,FALSE)</f>
        <v>40</v>
      </c>
      <c r="E977" s="2" t="str">
        <f>VLOOKUP(A977,Table3[#All],5,FALSE)</f>
        <v>Male</v>
      </c>
      <c r="F977" s="2">
        <f>VLOOKUP(A977,Table3[#All],6,FALSE)</f>
        <v>7</v>
      </c>
      <c r="G977" s="2">
        <f>VLOOKUP(A977,Table3[#All],7,FALSE)</f>
        <v>79077</v>
      </c>
      <c r="H977" s="2">
        <f>VLOOKUP(A977,Table3[#All],8,FALSE)</f>
        <v>9</v>
      </c>
      <c r="I977" s="2">
        <f>VLOOKUP(A977,Table3[#All],9,FALSE)</f>
        <v>50</v>
      </c>
      <c r="J977" s="2">
        <f>VLOOKUP(A977,Table3[#All],10,FALSE)</f>
        <v>4</v>
      </c>
      <c r="K977" s="2">
        <f>VLOOKUP(A977,Table3[#All],11,FALSE)</f>
        <v>94</v>
      </c>
      <c r="L977" s="2" t="str">
        <f>VLOOKUP(A977,Table3[#All],12,FALSE)</f>
        <v>Delhi</v>
      </c>
      <c r="M977" s="2" t="str">
        <f t="shared" si="15"/>
        <v>Not Eligible</v>
      </c>
    </row>
    <row r="978" spans="1:13" hidden="1" x14ac:dyDescent="0.25">
      <c r="A978" s="5" t="s">
        <v>232</v>
      </c>
      <c r="B978" s="2" t="str">
        <f>VLOOKUP(A978,Table3[#All],2,FALSE)</f>
        <v>Kavya</v>
      </c>
      <c r="C978" s="2" t="str">
        <f>VLOOKUP(A978,Table3[#All],3,FALSE)</f>
        <v>Finance</v>
      </c>
      <c r="D978" s="2">
        <f>VLOOKUP(A978,Table3[#All],4,FALSE)</f>
        <v>22</v>
      </c>
      <c r="E978" s="2" t="str">
        <f>VLOOKUP(A978,Table3[#All],5,FALSE)</f>
        <v>Male</v>
      </c>
      <c r="F978" s="2">
        <f>VLOOKUP(A978,Table3[#All],6,FALSE)</f>
        <v>10</v>
      </c>
      <c r="G978" s="2">
        <f>VLOOKUP(A978,Table3[#All],7,FALSE)</f>
        <v>79099</v>
      </c>
      <c r="H978" s="2">
        <f>VLOOKUP(A978,Table3[#All],8,FALSE)</f>
        <v>8</v>
      </c>
      <c r="I978" s="2">
        <f>VLOOKUP(A978,Table3[#All],9,FALSE)</f>
        <v>43</v>
      </c>
      <c r="J978" s="2">
        <f>VLOOKUP(A978,Table3[#All],10,FALSE)</f>
        <v>2</v>
      </c>
      <c r="K978" s="2">
        <f>VLOOKUP(A978,Table3[#All],11,FALSE)</f>
        <v>98</v>
      </c>
      <c r="L978" s="2" t="str">
        <f>VLOOKUP(A978,Table3[#All],12,FALSE)</f>
        <v>Bangalore</v>
      </c>
      <c r="M978" s="2" t="str">
        <f t="shared" si="15"/>
        <v>Eligible</v>
      </c>
    </row>
    <row r="979" spans="1:13" hidden="1" x14ac:dyDescent="0.25">
      <c r="A979" s="6" t="s">
        <v>433</v>
      </c>
      <c r="B979" s="2" t="str">
        <f>VLOOKUP(A979,Table3[#All],2,FALSE)</f>
        <v>Rekha</v>
      </c>
      <c r="C979" s="2" t="str">
        <f>VLOOKUP(A979,Table3[#All],3,FALSE)</f>
        <v>IT</v>
      </c>
      <c r="D979" s="2">
        <f>VLOOKUP(A979,Table3[#All],4,FALSE)</f>
        <v>29</v>
      </c>
      <c r="E979" s="2" t="str">
        <f>VLOOKUP(A979,Table3[#All],5,FALSE)</f>
        <v>Female</v>
      </c>
      <c r="F979" s="2">
        <f>VLOOKUP(A979,Table3[#All],6,FALSE)</f>
        <v>10</v>
      </c>
      <c r="G979" s="2">
        <f>VLOOKUP(A979,Table3[#All],7,FALSE)</f>
        <v>79102</v>
      </c>
      <c r="H979" s="2">
        <f>VLOOKUP(A979,Table3[#All],8,FALSE)</f>
        <v>13</v>
      </c>
      <c r="I979" s="2">
        <f>VLOOKUP(A979,Table3[#All],9,FALSE)</f>
        <v>43</v>
      </c>
      <c r="J979" s="2">
        <f>VLOOKUP(A979,Table3[#All],10,FALSE)</f>
        <v>1</v>
      </c>
      <c r="K979" s="2">
        <f>VLOOKUP(A979,Table3[#All],11,FALSE)</f>
        <v>88</v>
      </c>
      <c r="L979" s="2" t="str">
        <f>VLOOKUP(A979,Table3[#All],12,FALSE)</f>
        <v>Mumbai</v>
      </c>
      <c r="M979" s="2" t="str">
        <f t="shared" si="15"/>
        <v>Not Eligible</v>
      </c>
    </row>
    <row r="980" spans="1:13" hidden="1" x14ac:dyDescent="0.25">
      <c r="A980" s="5" t="s">
        <v>562</v>
      </c>
      <c r="B980" s="2" t="str">
        <f>VLOOKUP(A980,Table3[#All],2,FALSE)</f>
        <v>Priya</v>
      </c>
      <c r="C980" s="2" t="str">
        <f>VLOOKUP(A980,Table3[#All],3,FALSE)</f>
        <v>Sales</v>
      </c>
      <c r="D980" s="2">
        <f>VLOOKUP(A980,Table3[#All],4,FALSE)</f>
        <v>37</v>
      </c>
      <c r="E980" s="2" t="str">
        <f>VLOOKUP(A980,Table3[#All],5,FALSE)</f>
        <v>Male</v>
      </c>
      <c r="F980" s="2">
        <f>VLOOKUP(A980,Table3[#All],6,FALSE)</f>
        <v>8</v>
      </c>
      <c r="G980" s="2">
        <f>VLOOKUP(A980,Table3[#All],7,FALSE)</f>
        <v>79175</v>
      </c>
      <c r="H980" s="2">
        <f>VLOOKUP(A980,Table3[#All],8,FALSE)</f>
        <v>14</v>
      </c>
      <c r="I980" s="2">
        <f>VLOOKUP(A980,Table3[#All],9,FALSE)</f>
        <v>43</v>
      </c>
      <c r="J980" s="2">
        <f>VLOOKUP(A980,Table3[#All],10,FALSE)</f>
        <v>3</v>
      </c>
      <c r="K980" s="2">
        <f>VLOOKUP(A980,Table3[#All],11,FALSE)</f>
        <v>90</v>
      </c>
      <c r="L980" s="2" t="str">
        <f>VLOOKUP(A980,Table3[#All],12,FALSE)</f>
        <v>Chennai</v>
      </c>
      <c r="M980" s="2" t="str">
        <f t="shared" si="15"/>
        <v>Not Eligible</v>
      </c>
    </row>
    <row r="981" spans="1:13" hidden="1" x14ac:dyDescent="0.25">
      <c r="A981" s="6" t="s">
        <v>977</v>
      </c>
      <c r="B981" s="2" t="str">
        <f>VLOOKUP(A981,Table3[#All],2,FALSE)</f>
        <v>Karthik</v>
      </c>
      <c r="C981" s="2" t="str">
        <f>VLOOKUP(A981,Table3[#All],3,FALSE)</f>
        <v>Sales</v>
      </c>
      <c r="D981" s="2">
        <f>VLOOKUP(A981,Table3[#All],4,FALSE)</f>
        <v>35</v>
      </c>
      <c r="E981" s="2" t="str">
        <f>VLOOKUP(A981,Table3[#All],5,FALSE)</f>
        <v>Female</v>
      </c>
      <c r="F981" s="2">
        <f>VLOOKUP(A981,Table3[#All],6,FALSE)</f>
        <v>11</v>
      </c>
      <c r="G981" s="2">
        <f>VLOOKUP(A981,Table3[#All],7,FALSE)</f>
        <v>79196</v>
      </c>
      <c r="H981" s="2">
        <f>VLOOKUP(A981,Table3[#All],8,FALSE)</f>
        <v>7</v>
      </c>
      <c r="I981" s="2">
        <f>VLOOKUP(A981,Table3[#All],9,FALSE)</f>
        <v>46</v>
      </c>
      <c r="J981" s="2">
        <f>VLOOKUP(A981,Table3[#All],10,FALSE)</f>
        <v>3</v>
      </c>
      <c r="K981" s="2">
        <f>VLOOKUP(A981,Table3[#All],11,FALSE)</f>
        <v>97</v>
      </c>
      <c r="L981" s="2" t="str">
        <f>VLOOKUP(A981,Table3[#All],12,FALSE)</f>
        <v>Delhi</v>
      </c>
      <c r="M981" s="2" t="str">
        <f t="shared" si="15"/>
        <v>Eligible</v>
      </c>
    </row>
    <row r="982" spans="1:13" hidden="1" x14ac:dyDescent="0.25">
      <c r="A982" s="6" t="s">
        <v>649</v>
      </c>
      <c r="B982" s="2" t="str">
        <f>VLOOKUP(A982,Table3[#All],2,FALSE)</f>
        <v>Lakshmi</v>
      </c>
      <c r="C982" s="2" t="str">
        <f>VLOOKUP(A982,Table3[#All],3,FALSE)</f>
        <v>Finance</v>
      </c>
      <c r="D982" s="2">
        <f>VLOOKUP(A982,Table3[#All],4,FALSE)</f>
        <v>28</v>
      </c>
      <c r="E982" s="2" t="str">
        <f>VLOOKUP(A982,Table3[#All],5,FALSE)</f>
        <v>Female</v>
      </c>
      <c r="F982" s="2">
        <f>VLOOKUP(A982,Table3[#All],6,FALSE)</f>
        <v>13</v>
      </c>
      <c r="G982" s="2">
        <f>VLOOKUP(A982,Table3[#All],7,FALSE)</f>
        <v>79263</v>
      </c>
      <c r="H982" s="2">
        <f>VLOOKUP(A982,Table3[#All],8,FALSE)</f>
        <v>10</v>
      </c>
      <c r="I982" s="2">
        <f>VLOOKUP(A982,Table3[#All],9,FALSE)</f>
        <v>46</v>
      </c>
      <c r="J982" s="2">
        <f>VLOOKUP(A982,Table3[#All],10,FALSE)</f>
        <v>4</v>
      </c>
      <c r="K982" s="2">
        <f>VLOOKUP(A982,Table3[#All],11,FALSE)</f>
        <v>87</v>
      </c>
      <c r="L982" s="2" t="str">
        <f>VLOOKUP(A982,Table3[#All],12,FALSE)</f>
        <v>Delhi</v>
      </c>
      <c r="M982" s="2" t="str">
        <f t="shared" si="15"/>
        <v>Not Eligible</v>
      </c>
    </row>
    <row r="983" spans="1:13" x14ac:dyDescent="0.25">
      <c r="A983" s="5" t="s">
        <v>320</v>
      </c>
      <c r="B983" s="2" t="str">
        <f>VLOOKUP(A983,Table3[#All],2,FALSE)</f>
        <v>Hari</v>
      </c>
      <c r="C983" s="2" t="str">
        <f>VLOOKUP(A983,Table3[#All],3,FALSE)</f>
        <v>IT</v>
      </c>
      <c r="D983" s="2">
        <f>VLOOKUP(A983,Table3[#All],4,FALSE)</f>
        <v>38</v>
      </c>
      <c r="E983" s="2" t="str">
        <f>VLOOKUP(A983,Table3[#All],5,FALSE)</f>
        <v>Female</v>
      </c>
      <c r="F983" s="2">
        <f>VLOOKUP(A983,Table3[#All],6,FALSE)</f>
        <v>11</v>
      </c>
      <c r="G983" s="2">
        <f>VLOOKUP(A983,Table3[#All],7,FALSE)</f>
        <v>79357</v>
      </c>
      <c r="H983" s="2">
        <f>VLOOKUP(A983,Table3[#All],8,FALSE)</f>
        <v>14</v>
      </c>
      <c r="I983" s="2">
        <f>VLOOKUP(A983,Table3[#All],9,FALSE)</f>
        <v>46</v>
      </c>
      <c r="J983" s="2">
        <f>VLOOKUP(A983,Table3[#All],10,FALSE)</f>
        <v>1</v>
      </c>
      <c r="K983" s="2">
        <f>VLOOKUP(A983,Table3[#All],11,FALSE)</f>
        <v>94</v>
      </c>
      <c r="L983" s="2" t="str">
        <f>VLOOKUP(A983,Table3[#All],12,FALSE)</f>
        <v>Delhi</v>
      </c>
      <c r="M983" s="2" t="str">
        <f t="shared" si="15"/>
        <v>Not Eligible</v>
      </c>
    </row>
    <row r="984" spans="1:13" hidden="1" x14ac:dyDescent="0.25">
      <c r="A984" s="5" t="s">
        <v>928</v>
      </c>
      <c r="B984" s="2" t="str">
        <f>VLOOKUP(A984,Table3[#All],2,FALSE)</f>
        <v>Vijay</v>
      </c>
      <c r="C984" s="2" t="str">
        <f>VLOOKUP(A984,Table3[#All],3,FALSE)</f>
        <v>Sales</v>
      </c>
      <c r="D984" s="2">
        <f>VLOOKUP(A984,Table3[#All],4,FALSE)</f>
        <v>33</v>
      </c>
      <c r="E984" s="2" t="str">
        <f>VLOOKUP(A984,Table3[#All],5,FALSE)</f>
        <v>Female</v>
      </c>
      <c r="F984" s="2">
        <f>VLOOKUP(A984,Table3[#All],6,FALSE)</f>
        <v>11</v>
      </c>
      <c r="G984" s="2">
        <f>VLOOKUP(A984,Table3[#All],7,FALSE)</f>
        <v>79450</v>
      </c>
      <c r="H984" s="2">
        <f>VLOOKUP(A984,Table3[#All],8,FALSE)</f>
        <v>9</v>
      </c>
      <c r="I984" s="2">
        <f>VLOOKUP(A984,Table3[#All],9,FALSE)</f>
        <v>50</v>
      </c>
      <c r="J984" s="2">
        <f>VLOOKUP(A984,Table3[#All],10,FALSE)</f>
        <v>3</v>
      </c>
      <c r="K984" s="2">
        <f>VLOOKUP(A984,Table3[#All],11,FALSE)</f>
        <v>93</v>
      </c>
      <c r="L984" s="2" t="str">
        <f>VLOOKUP(A984,Table3[#All],12,FALSE)</f>
        <v>Chennai</v>
      </c>
      <c r="M984" s="2" t="str">
        <f t="shared" si="15"/>
        <v>Not Eligible</v>
      </c>
    </row>
    <row r="985" spans="1:13" hidden="1" x14ac:dyDescent="0.25">
      <c r="A985" s="6" t="s">
        <v>1027</v>
      </c>
      <c r="B985" s="2" t="str">
        <f>VLOOKUP(A985,Table3[#All],2,FALSE)</f>
        <v>Ramesh</v>
      </c>
      <c r="C985" s="2" t="str">
        <f>VLOOKUP(A985,Table3[#All],3,FALSE)</f>
        <v>HR</v>
      </c>
      <c r="D985" s="2">
        <f>VLOOKUP(A985,Table3[#All],4,FALSE)</f>
        <v>28</v>
      </c>
      <c r="E985" s="2" t="str">
        <f>VLOOKUP(A985,Table3[#All],5,FALSE)</f>
        <v>Female</v>
      </c>
      <c r="F985" s="2">
        <f>VLOOKUP(A985,Table3[#All],6,FALSE)</f>
        <v>1</v>
      </c>
      <c r="G985" s="2">
        <f>VLOOKUP(A985,Table3[#All],7,FALSE)</f>
        <v>35419</v>
      </c>
      <c r="H985" s="2">
        <f>VLOOKUP(A985,Table3[#All],8,FALSE)</f>
        <v>11</v>
      </c>
      <c r="I985" s="2">
        <f>VLOOKUP(A985,Table3[#All],9,FALSE)</f>
        <v>40</v>
      </c>
      <c r="J985" s="2">
        <f>VLOOKUP(A985,Table3[#All],10,FALSE)</f>
        <v>3</v>
      </c>
      <c r="K985" s="2">
        <f>VLOOKUP(A985,Table3[#All],11,FALSE)</f>
        <v>85</v>
      </c>
      <c r="L985" s="2" t="str">
        <f>VLOOKUP(A985,Table3[#All],12,FALSE)</f>
        <v>Bangalore</v>
      </c>
      <c r="M985" s="2" t="str">
        <f t="shared" si="15"/>
        <v>Not Eligible</v>
      </c>
    </row>
    <row r="986" spans="1:13" x14ac:dyDescent="0.25">
      <c r="A986" s="6" t="s">
        <v>925</v>
      </c>
      <c r="B986" s="2" t="str">
        <f>VLOOKUP(A986,Table3[#All],2,FALSE)</f>
        <v>Deepa</v>
      </c>
      <c r="C986" s="2" t="str">
        <f>VLOOKUP(A986,Table3[#All],3,FALSE)</f>
        <v>Finance</v>
      </c>
      <c r="D986" s="2">
        <f>VLOOKUP(A986,Table3[#All],4,FALSE)</f>
        <v>39</v>
      </c>
      <c r="E986" s="2" t="str">
        <f>VLOOKUP(A986,Table3[#All],5,FALSE)</f>
        <v>Female</v>
      </c>
      <c r="F986" s="2">
        <f>VLOOKUP(A986,Table3[#All],6,FALSE)</f>
        <v>8</v>
      </c>
      <c r="G986" s="2">
        <f>VLOOKUP(A986,Table3[#All],7,FALSE)</f>
        <v>79461</v>
      </c>
      <c r="H986" s="2">
        <f>VLOOKUP(A986,Table3[#All],8,FALSE)</f>
        <v>15</v>
      </c>
      <c r="I986" s="2">
        <f>VLOOKUP(A986,Table3[#All],9,FALSE)</f>
        <v>37</v>
      </c>
      <c r="J986" s="2">
        <f>VLOOKUP(A986,Table3[#All],10,FALSE)</f>
        <v>5</v>
      </c>
      <c r="K986" s="2">
        <f>VLOOKUP(A986,Table3[#All],11,FALSE)</f>
        <v>93</v>
      </c>
      <c r="L986" s="2" t="str">
        <f>VLOOKUP(A986,Table3[#All],12,FALSE)</f>
        <v>Mumbai</v>
      </c>
      <c r="M986" s="2" t="str">
        <f t="shared" si="15"/>
        <v>Not Eligible</v>
      </c>
    </row>
    <row r="987" spans="1:13" hidden="1" x14ac:dyDescent="0.25">
      <c r="A987" s="6" t="s">
        <v>1029</v>
      </c>
      <c r="B987" s="2" t="str">
        <f>VLOOKUP(A987,Table3[#All],2,FALSE)</f>
        <v>Anitha</v>
      </c>
      <c r="C987" s="2" t="str">
        <f>VLOOKUP(A987,Table3[#All],3,FALSE)</f>
        <v>Sales</v>
      </c>
      <c r="D987" s="2">
        <f>VLOOKUP(A987,Table3[#All],4,FALSE)</f>
        <v>34</v>
      </c>
      <c r="E987" s="2" t="str">
        <f>VLOOKUP(A987,Table3[#All],5,FALSE)</f>
        <v>Female</v>
      </c>
      <c r="F987" s="2">
        <f>VLOOKUP(A987,Table3[#All],6,FALSE)</f>
        <v>2</v>
      </c>
      <c r="G987" s="2">
        <f>VLOOKUP(A987,Table3[#All],7,FALSE)</f>
        <v>63879</v>
      </c>
      <c r="H987" s="2">
        <f>VLOOKUP(A987,Table3[#All],8,FALSE)</f>
        <v>15</v>
      </c>
      <c r="I987" s="2">
        <f>VLOOKUP(A987,Table3[#All],9,FALSE)</f>
        <v>40</v>
      </c>
      <c r="J987" s="2">
        <f>VLOOKUP(A987,Table3[#All],10,FALSE)</f>
        <v>3</v>
      </c>
      <c r="K987" s="2">
        <f>VLOOKUP(A987,Table3[#All],11,FALSE)</f>
        <v>95</v>
      </c>
      <c r="L987" s="2" t="str">
        <f>VLOOKUP(A987,Table3[#All],12,FALSE)</f>
        <v>Hyderabad</v>
      </c>
      <c r="M987" s="2" t="str">
        <f t="shared" si="15"/>
        <v>Eligible</v>
      </c>
    </row>
    <row r="988" spans="1:13" hidden="1" x14ac:dyDescent="0.25">
      <c r="A988" s="5" t="s">
        <v>1030</v>
      </c>
      <c r="B988" s="2" t="str">
        <f>VLOOKUP(A988,Table3[#All],2,FALSE)</f>
        <v>Priya</v>
      </c>
      <c r="C988" s="2" t="str">
        <f>VLOOKUP(A988,Table3[#All],3,FALSE)</f>
        <v>IT</v>
      </c>
      <c r="D988" s="2">
        <f>VLOOKUP(A988,Table3[#All],4,FALSE)</f>
        <v>26</v>
      </c>
      <c r="E988" s="2" t="str">
        <f>VLOOKUP(A988,Table3[#All],5,FALSE)</f>
        <v>Female</v>
      </c>
      <c r="F988" s="2">
        <f>VLOOKUP(A988,Table3[#All],6,FALSE)</f>
        <v>4</v>
      </c>
      <c r="G988" s="2">
        <f>VLOOKUP(A988,Table3[#All],7,FALSE)</f>
        <v>76713</v>
      </c>
      <c r="H988" s="2">
        <f>VLOOKUP(A988,Table3[#All],8,FALSE)</f>
        <v>8</v>
      </c>
      <c r="I988" s="2">
        <f>VLOOKUP(A988,Table3[#All],9,FALSE)</f>
        <v>46</v>
      </c>
      <c r="J988" s="2">
        <f>VLOOKUP(A988,Table3[#All],10,FALSE)</f>
        <v>1</v>
      </c>
      <c r="K988" s="2">
        <f>VLOOKUP(A988,Table3[#All],11,FALSE)</f>
        <v>90</v>
      </c>
      <c r="L988" s="2" t="str">
        <f>VLOOKUP(A988,Table3[#All],12,FALSE)</f>
        <v>Hyderabad</v>
      </c>
      <c r="M988" s="2" t="str">
        <f t="shared" si="15"/>
        <v>Not Eligible</v>
      </c>
    </row>
    <row r="989" spans="1:13" hidden="1" x14ac:dyDescent="0.25">
      <c r="A989" s="6" t="s">
        <v>1031</v>
      </c>
      <c r="B989" s="2" t="str">
        <f>VLOOKUP(A989,Table3[#All],2,FALSE)</f>
        <v>Priya</v>
      </c>
      <c r="C989" s="2" t="str">
        <f>VLOOKUP(A989,Table3[#All],3,FALSE)</f>
        <v>Finance</v>
      </c>
      <c r="D989" s="2">
        <f>VLOOKUP(A989,Table3[#All],4,FALSE)</f>
        <v>23</v>
      </c>
      <c r="E989" s="2" t="str">
        <f>VLOOKUP(A989,Table3[#All],5,FALSE)</f>
        <v>Female</v>
      </c>
      <c r="F989" s="2">
        <f>VLOOKUP(A989,Table3[#All],6,FALSE)</f>
        <v>4</v>
      </c>
      <c r="G989" s="2">
        <f>VLOOKUP(A989,Table3[#All],7,FALSE)</f>
        <v>68718</v>
      </c>
      <c r="H989" s="2">
        <f>VLOOKUP(A989,Table3[#All],8,FALSE)</f>
        <v>7</v>
      </c>
      <c r="I989" s="2">
        <f>VLOOKUP(A989,Table3[#All],9,FALSE)</f>
        <v>36</v>
      </c>
      <c r="J989" s="2">
        <f>VLOOKUP(A989,Table3[#All],10,FALSE)</f>
        <v>4</v>
      </c>
      <c r="K989" s="2">
        <f>VLOOKUP(A989,Table3[#All],11,FALSE)</f>
        <v>86</v>
      </c>
      <c r="L989" s="2" t="str">
        <f>VLOOKUP(A989,Table3[#All],12,FALSE)</f>
        <v>Bangalore</v>
      </c>
      <c r="M989" s="2" t="str">
        <f t="shared" si="15"/>
        <v>Not Eligible</v>
      </c>
    </row>
    <row r="990" spans="1:13" hidden="1" x14ac:dyDescent="0.25">
      <c r="A990" s="5" t="s">
        <v>312</v>
      </c>
      <c r="B990" s="2" t="str">
        <f>VLOOKUP(A990,Table3[#All],2,FALSE)</f>
        <v>Meena</v>
      </c>
      <c r="C990" s="2" t="str">
        <f>VLOOKUP(A990,Table3[#All],3,FALSE)</f>
        <v>Sales</v>
      </c>
      <c r="D990" s="2">
        <f>VLOOKUP(A990,Table3[#All],4,FALSE)</f>
        <v>32</v>
      </c>
      <c r="E990" s="2" t="str">
        <f>VLOOKUP(A990,Table3[#All],5,FALSE)</f>
        <v>Male</v>
      </c>
      <c r="F990" s="2">
        <f>VLOOKUP(A990,Table3[#All],6,FALSE)</f>
        <v>6</v>
      </c>
      <c r="G990" s="2">
        <f>VLOOKUP(A990,Table3[#All],7,FALSE)</f>
        <v>79551</v>
      </c>
      <c r="H990" s="2">
        <f>VLOOKUP(A990,Table3[#All],8,FALSE)</f>
        <v>7</v>
      </c>
      <c r="I990" s="2">
        <f>VLOOKUP(A990,Table3[#All],9,FALSE)</f>
        <v>38</v>
      </c>
      <c r="J990" s="2">
        <f>VLOOKUP(A990,Table3[#All],10,FALSE)</f>
        <v>5</v>
      </c>
      <c r="K990" s="2">
        <f>VLOOKUP(A990,Table3[#All],11,FALSE)</f>
        <v>87</v>
      </c>
      <c r="L990" s="2" t="str">
        <f>VLOOKUP(A990,Table3[#All],12,FALSE)</f>
        <v>Hyderabad</v>
      </c>
      <c r="M990" s="2" t="str">
        <f t="shared" si="15"/>
        <v>Not Eligible</v>
      </c>
    </row>
    <row r="991" spans="1:13" hidden="1" x14ac:dyDescent="0.25">
      <c r="A991" s="6" t="s">
        <v>1033</v>
      </c>
      <c r="B991" s="2" t="str">
        <f>VLOOKUP(A991,Table3[#All],2,FALSE)</f>
        <v>Ravi</v>
      </c>
      <c r="C991" s="2" t="str">
        <f>VLOOKUP(A991,Table3[#All],3,FALSE)</f>
        <v>HR</v>
      </c>
      <c r="D991" s="2">
        <f>VLOOKUP(A991,Table3[#All],4,FALSE)</f>
        <v>37</v>
      </c>
      <c r="E991" s="2" t="str">
        <f>VLOOKUP(A991,Table3[#All],5,FALSE)</f>
        <v>Female</v>
      </c>
      <c r="F991" s="2">
        <f>VLOOKUP(A991,Table3[#All],6,FALSE)</f>
        <v>4</v>
      </c>
      <c r="G991" s="2">
        <f>VLOOKUP(A991,Table3[#All],7,FALSE)</f>
        <v>67468</v>
      </c>
      <c r="H991" s="2">
        <f>VLOOKUP(A991,Table3[#All],8,FALSE)</f>
        <v>15</v>
      </c>
      <c r="I991" s="2">
        <f>VLOOKUP(A991,Table3[#All],9,FALSE)</f>
        <v>36</v>
      </c>
      <c r="J991" s="2">
        <f>VLOOKUP(A991,Table3[#All],10,FALSE)</f>
        <v>3</v>
      </c>
      <c r="K991" s="2">
        <f>VLOOKUP(A991,Table3[#All],11,FALSE)</f>
        <v>95</v>
      </c>
      <c r="L991" s="2" t="str">
        <f>VLOOKUP(A991,Table3[#All],12,FALSE)</f>
        <v>Mumbai</v>
      </c>
      <c r="M991" s="2" t="str">
        <f t="shared" si="15"/>
        <v>Eligible</v>
      </c>
    </row>
    <row r="992" spans="1:13" x14ac:dyDescent="0.25">
      <c r="A992" s="5" t="s">
        <v>482</v>
      </c>
      <c r="B992" s="2" t="str">
        <f>VLOOKUP(A992,Table3[#All],2,FALSE)</f>
        <v>Karthik</v>
      </c>
      <c r="C992" s="2" t="str">
        <f>VLOOKUP(A992,Table3[#All],3,FALSE)</f>
        <v>IT</v>
      </c>
      <c r="D992" s="2">
        <f>VLOOKUP(A992,Table3[#All],4,FALSE)</f>
        <v>25</v>
      </c>
      <c r="E992" s="2" t="str">
        <f>VLOOKUP(A992,Table3[#All],5,FALSE)</f>
        <v>Male</v>
      </c>
      <c r="F992" s="2">
        <f>VLOOKUP(A992,Table3[#All],6,FALSE)</f>
        <v>7</v>
      </c>
      <c r="G992" s="2">
        <f>VLOOKUP(A992,Table3[#All],7,FALSE)</f>
        <v>79600</v>
      </c>
      <c r="H992" s="2">
        <f>VLOOKUP(A992,Table3[#All],8,FALSE)</f>
        <v>12</v>
      </c>
      <c r="I992" s="2">
        <f>VLOOKUP(A992,Table3[#All],9,FALSE)</f>
        <v>42</v>
      </c>
      <c r="J992" s="2">
        <f>VLOOKUP(A992,Table3[#All],10,FALSE)</f>
        <v>5</v>
      </c>
      <c r="K992" s="2">
        <f>VLOOKUP(A992,Table3[#All],11,FALSE)</f>
        <v>91</v>
      </c>
      <c r="L992" s="2" t="str">
        <f>VLOOKUP(A992,Table3[#All],12,FALSE)</f>
        <v>Chennai</v>
      </c>
      <c r="M992" s="2" t="str">
        <f t="shared" si="15"/>
        <v>Not Eligible</v>
      </c>
    </row>
    <row r="993" spans="1:13" hidden="1" x14ac:dyDescent="0.25">
      <c r="A993" s="6" t="s">
        <v>1035</v>
      </c>
      <c r="B993" s="2" t="str">
        <f>VLOOKUP(A993,Table3[#All],2,FALSE)</f>
        <v>Vijay</v>
      </c>
      <c r="C993" s="2" t="str">
        <f>VLOOKUP(A993,Table3[#All],3,FALSE)</f>
        <v>HR</v>
      </c>
      <c r="D993" s="2">
        <f>VLOOKUP(A993,Table3[#All],4,FALSE)</f>
        <v>40</v>
      </c>
      <c r="E993" s="2" t="str">
        <f>VLOOKUP(A993,Table3[#All],5,FALSE)</f>
        <v>Female</v>
      </c>
      <c r="F993" s="2">
        <f>VLOOKUP(A993,Table3[#All],6,FALSE)</f>
        <v>4</v>
      </c>
      <c r="G993" s="2">
        <f>VLOOKUP(A993,Table3[#All],7,FALSE)</f>
        <v>32525</v>
      </c>
      <c r="H993" s="2">
        <f>VLOOKUP(A993,Table3[#All],8,FALSE)</f>
        <v>11</v>
      </c>
      <c r="I993" s="2">
        <f>VLOOKUP(A993,Table3[#All],9,FALSE)</f>
        <v>46</v>
      </c>
      <c r="J993" s="2">
        <f>VLOOKUP(A993,Table3[#All],10,FALSE)</f>
        <v>4</v>
      </c>
      <c r="K993" s="2">
        <f>VLOOKUP(A993,Table3[#All],11,FALSE)</f>
        <v>93</v>
      </c>
      <c r="L993" s="2" t="str">
        <f>VLOOKUP(A993,Table3[#All],12,FALSE)</f>
        <v>Chennai</v>
      </c>
      <c r="M993" s="2" t="str">
        <f t="shared" si="15"/>
        <v>Not Eligible</v>
      </c>
    </row>
    <row r="994" spans="1:13" hidden="1" x14ac:dyDescent="0.25">
      <c r="A994" s="6" t="s">
        <v>101</v>
      </c>
      <c r="B994" s="2" t="str">
        <f>VLOOKUP(A994,Table3[#All],2,FALSE)</f>
        <v>Sanjay</v>
      </c>
      <c r="C994" s="2" t="str">
        <f>VLOOKUP(A994,Table3[#All],3,FALSE)</f>
        <v>HR</v>
      </c>
      <c r="D994" s="2">
        <f>VLOOKUP(A994,Table3[#All],4,FALSE)</f>
        <v>25</v>
      </c>
      <c r="E994" s="2" t="str">
        <f>VLOOKUP(A994,Table3[#All],5,FALSE)</f>
        <v>Female</v>
      </c>
      <c r="F994" s="2">
        <f>VLOOKUP(A994,Table3[#All],6,FALSE)</f>
        <v>11</v>
      </c>
      <c r="G994" s="2">
        <f>VLOOKUP(A994,Table3[#All],7,FALSE)</f>
        <v>79604</v>
      </c>
      <c r="H994" s="2">
        <f>VLOOKUP(A994,Table3[#All],8,FALSE)</f>
        <v>7</v>
      </c>
      <c r="I994" s="2">
        <f>VLOOKUP(A994,Table3[#All],9,FALSE)</f>
        <v>37</v>
      </c>
      <c r="J994" s="2">
        <f>VLOOKUP(A994,Table3[#All],10,FALSE)</f>
        <v>4</v>
      </c>
      <c r="K994" s="2">
        <f>VLOOKUP(A994,Table3[#All],11,FALSE)</f>
        <v>100</v>
      </c>
      <c r="L994" s="2" t="str">
        <f>VLOOKUP(A994,Table3[#All],12,FALSE)</f>
        <v>Pune</v>
      </c>
      <c r="M994" s="2" t="str">
        <f t="shared" si="15"/>
        <v>Eligible</v>
      </c>
    </row>
    <row r="995" spans="1:13" hidden="1" x14ac:dyDescent="0.25">
      <c r="A995" s="6" t="s">
        <v>1037</v>
      </c>
      <c r="B995" s="2" t="str">
        <f>VLOOKUP(A995,Table3[#All],2,FALSE)</f>
        <v>Anitha</v>
      </c>
      <c r="C995" s="2" t="str">
        <f>VLOOKUP(A995,Table3[#All],3,FALSE)</f>
        <v>HR</v>
      </c>
      <c r="D995" s="2">
        <f>VLOOKUP(A995,Table3[#All],4,FALSE)</f>
        <v>26</v>
      </c>
      <c r="E995" s="2" t="str">
        <f>VLOOKUP(A995,Table3[#All],5,FALSE)</f>
        <v>Male</v>
      </c>
      <c r="F995" s="2">
        <f>VLOOKUP(A995,Table3[#All],6,FALSE)</f>
        <v>1</v>
      </c>
      <c r="G995" s="2">
        <f>VLOOKUP(A995,Table3[#All],7,FALSE)</f>
        <v>43849</v>
      </c>
      <c r="H995" s="2">
        <f>VLOOKUP(A995,Table3[#All],8,FALSE)</f>
        <v>15</v>
      </c>
      <c r="I995" s="2">
        <f>VLOOKUP(A995,Table3[#All],9,FALSE)</f>
        <v>50</v>
      </c>
      <c r="J995" s="2">
        <f>VLOOKUP(A995,Table3[#All],10,FALSE)</f>
        <v>4</v>
      </c>
      <c r="K995" s="2">
        <f>VLOOKUP(A995,Table3[#All],11,FALSE)</f>
        <v>94</v>
      </c>
      <c r="L995" s="2" t="str">
        <f>VLOOKUP(A995,Table3[#All],12,FALSE)</f>
        <v>Chennai</v>
      </c>
      <c r="M995" s="2" t="str">
        <f t="shared" si="15"/>
        <v>Not Eligible</v>
      </c>
    </row>
    <row r="996" spans="1:13" hidden="1" x14ac:dyDescent="0.25">
      <c r="A996" s="6" t="s">
        <v>723</v>
      </c>
      <c r="B996" s="2" t="str">
        <f>VLOOKUP(A996,Table3[#All],2,FALSE)</f>
        <v>Ravi</v>
      </c>
      <c r="C996" s="2" t="str">
        <f>VLOOKUP(A996,Table3[#All],3,FALSE)</f>
        <v>Finance</v>
      </c>
      <c r="D996" s="2">
        <f>VLOOKUP(A996,Table3[#All],4,FALSE)</f>
        <v>36</v>
      </c>
      <c r="E996" s="2" t="str">
        <f>VLOOKUP(A996,Table3[#All],5,FALSE)</f>
        <v>Male</v>
      </c>
      <c r="F996" s="2">
        <f>VLOOKUP(A996,Table3[#All],6,FALSE)</f>
        <v>7</v>
      </c>
      <c r="G996" s="2">
        <f>VLOOKUP(A996,Table3[#All],7,FALSE)</f>
        <v>79687</v>
      </c>
      <c r="H996" s="2">
        <f>VLOOKUP(A996,Table3[#All],8,FALSE)</f>
        <v>6</v>
      </c>
      <c r="I996" s="2">
        <f>VLOOKUP(A996,Table3[#All],9,FALSE)</f>
        <v>49</v>
      </c>
      <c r="J996" s="2">
        <f>VLOOKUP(A996,Table3[#All],10,FALSE)</f>
        <v>5</v>
      </c>
      <c r="K996" s="2">
        <f>VLOOKUP(A996,Table3[#All],11,FALSE)</f>
        <v>86</v>
      </c>
      <c r="L996" s="2" t="str">
        <f>VLOOKUP(A996,Table3[#All],12,FALSE)</f>
        <v>Mumbai</v>
      </c>
      <c r="M996" s="2" t="str">
        <f t="shared" si="15"/>
        <v>Not Eligible</v>
      </c>
    </row>
    <row r="997" spans="1:13" hidden="1" x14ac:dyDescent="0.25">
      <c r="A997" s="6" t="s">
        <v>87</v>
      </c>
      <c r="B997" s="2" t="str">
        <f>VLOOKUP(A997,Table3[#All],2,FALSE)</f>
        <v>Hari</v>
      </c>
      <c r="C997" s="2" t="str">
        <f>VLOOKUP(A997,Table3[#All],3,FALSE)</f>
        <v>HR</v>
      </c>
      <c r="D997" s="2">
        <f>VLOOKUP(A997,Table3[#All],4,FALSE)</f>
        <v>26</v>
      </c>
      <c r="E997" s="2" t="str">
        <f>VLOOKUP(A997,Table3[#All],5,FALSE)</f>
        <v>Female</v>
      </c>
      <c r="F997" s="2">
        <f>VLOOKUP(A997,Table3[#All],6,FALSE)</f>
        <v>13</v>
      </c>
      <c r="G997" s="2">
        <f>VLOOKUP(A997,Table3[#All],7,FALSE)</f>
        <v>79834</v>
      </c>
      <c r="H997" s="2">
        <f>VLOOKUP(A997,Table3[#All],8,FALSE)</f>
        <v>4</v>
      </c>
      <c r="I997" s="2">
        <f>VLOOKUP(A997,Table3[#All],9,FALSE)</f>
        <v>37</v>
      </c>
      <c r="J997" s="2">
        <f>VLOOKUP(A997,Table3[#All],10,FALSE)</f>
        <v>1</v>
      </c>
      <c r="K997" s="2">
        <f>VLOOKUP(A997,Table3[#All],11,FALSE)</f>
        <v>87</v>
      </c>
      <c r="L997" s="2" t="str">
        <f>VLOOKUP(A997,Table3[#All],12,FALSE)</f>
        <v>Hyderabad</v>
      </c>
      <c r="M997" s="2" t="str">
        <f t="shared" si="15"/>
        <v>Not Eligible</v>
      </c>
    </row>
    <row r="998" spans="1:13" x14ac:dyDescent="0.25">
      <c r="A998" s="5" t="s">
        <v>922</v>
      </c>
      <c r="B998" s="2" t="str">
        <f>VLOOKUP(A998,Table3[#All],2,FALSE)</f>
        <v>Ramesh</v>
      </c>
      <c r="C998" s="2" t="str">
        <f>VLOOKUP(A998,Table3[#All],3,FALSE)</f>
        <v>IT</v>
      </c>
      <c r="D998" s="2">
        <f>VLOOKUP(A998,Table3[#All],4,FALSE)</f>
        <v>33</v>
      </c>
      <c r="E998" s="2" t="str">
        <f>VLOOKUP(A998,Table3[#All],5,FALSE)</f>
        <v>Male</v>
      </c>
      <c r="F998" s="2">
        <f>VLOOKUP(A998,Table3[#All],6,FALSE)</f>
        <v>13</v>
      </c>
      <c r="G998" s="2">
        <f>VLOOKUP(A998,Table3[#All],7,FALSE)</f>
        <v>79884</v>
      </c>
      <c r="H998" s="2">
        <f>VLOOKUP(A998,Table3[#All],8,FALSE)</f>
        <v>12</v>
      </c>
      <c r="I998" s="2">
        <f>VLOOKUP(A998,Table3[#All],9,FALSE)</f>
        <v>46</v>
      </c>
      <c r="J998" s="2">
        <f>VLOOKUP(A998,Table3[#All],10,FALSE)</f>
        <v>2</v>
      </c>
      <c r="K998" s="2">
        <f>VLOOKUP(A998,Table3[#All],11,FALSE)</f>
        <v>91</v>
      </c>
      <c r="L998" s="2" t="str">
        <f>VLOOKUP(A998,Table3[#All],12,FALSE)</f>
        <v>Delhi</v>
      </c>
      <c r="M998" s="2" t="str">
        <f t="shared" si="15"/>
        <v>Not Eligible</v>
      </c>
    </row>
    <row r="999" spans="1:13" hidden="1" x14ac:dyDescent="0.25">
      <c r="A999" s="5" t="s">
        <v>426</v>
      </c>
      <c r="B999" s="2" t="str">
        <f>VLOOKUP(A999,Table3[#All],2,FALSE)</f>
        <v>Ajay</v>
      </c>
      <c r="C999" s="2" t="str">
        <f>VLOOKUP(A999,Table3[#All],3,FALSE)</f>
        <v>Finance</v>
      </c>
      <c r="D999" s="2">
        <f>VLOOKUP(A999,Table3[#All],4,FALSE)</f>
        <v>35</v>
      </c>
      <c r="E999" s="2" t="str">
        <f>VLOOKUP(A999,Table3[#All],5,FALSE)</f>
        <v>Female</v>
      </c>
      <c r="F999" s="2">
        <f>VLOOKUP(A999,Table3[#All],6,FALSE)</f>
        <v>14</v>
      </c>
      <c r="G999" s="2">
        <f>VLOOKUP(A999,Table3[#All],7,FALSE)</f>
        <v>79906</v>
      </c>
      <c r="H999" s="2">
        <f>VLOOKUP(A999,Table3[#All],8,FALSE)</f>
        <v>9</v>
      </c>
      <c r="I999" s="2">
        <f>VLOOKUP(A999,Table3[#All],9,FALSE)</f>
        <v>49</v>
      </c>
      <c r="J999" s="2">
        <f>VLOOKUP(A999,Table3[#All],10,FALSE)</f>
        <v>2</v>
      </c>
      <c r="K999" s="2">
        <f>VLOOKUP(A999,Table3[#All],11,FALSE)</f>
        <v>85</v>
      </c>
      <c r="L999" s="2" t="str">
        <f>VLOOKUP(A999,Table3[#All],12,FALSE)</f>
        <v>Chennai</v>
      </c>
      <c r="M999" s="2" t="str">
        <f t="shared" si="15"/>
        <v>Not Eligible</v>
      </c>
    </row>
    <row r="1000" spans="1:13" hidden="1" x14ac:dyDescent="0.25">
      <c r="A1000" s="5" t="s">
        <v>1042</v>
      </c>
      <c r="B1000" s="2" t="str">
        <f>VLOOKUP(A1000,Table3[#All],2,FALSE)</f>
        <v>Rekha</v>
      </c>
      <c r="C1000" s="2" t="str">
        <f>VLOOKUP(A1000,Table3[#All],3,FALSE)</f>
        <v>Finance</v>
      </c>
      <c r="D1000" s="2">
        <f>VLOOKUP(A1000,Table3[#All],4,FALSE)</f>
        <v>22</v>
      </c>
      <c r="E1000" s="2" t="str">
        <f>VLOOKUP(A1000,Table3[#All],5,FALSE)</f>
        <v>Male</v>
      </c>
      <c r="F1000" s="2">
        <f>VLOOKUP(A1000,Table3[#All],6,FALSE)</f>
        <v>4</v>
      </c>
      <c r="G1000" s="2">
        <f>VLOOKUP(A1000,Table3[#All],7,FALSE)</f>
        <v>36799</v>
      </c>
      <c r="H1000" s="2">
        <f>VLOOKUP(A1000,Table3[#All],8,FALSE)</f>
        <v>13</v>
      </c>
      <c r="I1000" s="2">
        <f>VLOOKUP(A1000,Table3[#All],9,FALSE)</f>
        <v>46</v>
      </c>
      <c r="J1000" s="2">
        <f>VLOOKUP(A1000,Table3[#All],10,FALSE)</f>
        <v>2</v>
      </c>
      <c r="K1000" s="2">
        <f>VLOOKUP(A1000,Table3[#All],11,FALSE)</f>
        <v>88</v>
      </c>
      <c r="L1000" s="2" t="str">
        <f>VLOOKUP(A1000,Table3[#All],12,FALSE)</f>
        <v>Delhi</v>
      </c>
      <c r="M1000" s="2" t="str">
        <f t="shared" si="15"/>
        <v>Not Eligible</v>
      </c>
    </row>
    <row r="1001" spans="1:13" hidden="1" x14ac:dyDescent="0.25">
      <c r="A1001" s="6" t="s">
        <v>1043</v>
      </c>
      <c r="B1001" s="2" t="str">
        <f>VLOOKUP(A1001,Table3[#All],2,FALSE)</f>
        <v>Kavya</v>
      </c>
      <c r="C1001" s="2" t="str">
        <f>VLOOKUP(A1001,Table3[#All],3,FALSE)</f>
        <v>IT</v>
      </c>
      <c r="D1001" s="2">
        <f>VLOOKUP(A1001,Table3[#All],4,FALSE)</f>
        <v>25</v>
      </c>
      <c r="E1001" s="2" t="str">
        <f>VLOOKUP(A1001,Table3[#All],5,FALSE)</f>
        <v>Male</v>
      </c>
      <c r="F1001" s="2">
        <f>VLOOKUP(A1001,Table3[#All],6,FALSE)</f>
        <v>1</v>
      </c>
      <c r="G1001" s="2">
        <f>VLOOKUP(A1001,Table3[#All],7,FALSE)</f>
        <v>71460</v>
      </c>
      <c r="H1001" s="2">
        <f>VLOOKUP(A1001,Table3[#All],8,FALSE)</f>
        <v>7</v>
      </c>
      <c r="I1001" s="2">
        <f>VLOOKUP(A1001,Table3[#All],9,FALSE)</f>
        <v>49</v>
      </c>
      <c r="J1001" s="2">
        <f>VLOOKUP(A1001,Table3[#All],10,FALSE)</f>
        <v>1</v>
      </c>
      <c r="K1001" s="2">
        <f>VLOOKUP(A1001,Table3[#All],11,FALSE)</f>
        <v>99</v>
      </c>
      <c r="L1001" s="2" t="str">
        <f>VLOOKUP(A1001,Table3[#All],12,FALSE)</f>
        <v>Delhi</v>
      </c>
      <c r="M1001" s="2" t="str">
        <f t="shared" si="15"/>
        <v>Eligible</v>
      </c>
    </row>
  </sheetData>
  <conditionalFormatting sqref="D1:D1048576">
    <cfRule type="colorScale" priority="3">
      <colorScale>
        <cfvo type="min"/>
        <cfvo type="percentile" val="50"/>
        <cfvo type="max"/>
        <color rgb="FFF8696B"/>
        <color rgb="FFFFEB84"/>
        <color rgb="FF63BE7B"/>
      </colorScale>
    </cfRule>
  </conditionalFormatting>
  <conditionalFormatting sqref="F1:F1048576">
    <cfRule type="dataBar" priority="4">
      <dataBar>
        <cfvo type="min"/>
        <cfvo type="max"/>
        <color rgb="FF63C384"/>
      </dataBar>
      <extLst>
        <ext xmlns:x14="http://schemas.microsoft.com/office/spreadsheetml/2009/9/main" uri="{B025F937-C7B1-47D3-B67F-A62EFF666E3E}">
          <x14:id>{CBCB6EEB-5141-4D3A-BDB8-1C29626B7754}</x14:id>
        </ext>
      </extLst>
    </cfRule>
  </conditionalFormatting>
  <conditionalFormatting sqref="G1:G1048576">
    <cfRule type="iconSet" priority="5">
      <iconSet iconSet="4Rating">
        <cfvo type="percent" val="0"/>
        <cfvo type="percent" val="25"/>
        <cfvo type="percent" val="50"/>
        <cfvo type="percent" val="75"/>
      </iconSet>
    </cfRule>
  </conditionalFormatting>
  <conditionalFormatting sqref="H1:H1048576">
    <cfRule type="dataBar" priority="8">
      <dataBar>
        <cfvo type="min"/>
        <cfvo type="max"/>
        <color rgb="FF638EC6"/>
      </dataBar>
      <extLst>
        <ext xmlns:x14="http://schemas.microsoft.com/office/spreadsheetml/2009/9/main" uri="{B025F937-C7B1-47D3-B67F-A62EFF666E3E}">
          <x14:id>{3D089E2F-8E35-4248-A58F-E5440BC3A3F2}</x14:id>
        </ext>
      </extLst>
    </cfRule>
  </conditionalFormatting>
  <conditionalFormatting sqref="I1:I1048576">
    <cfRule type="cellIs" dxfId="31" priority="6" operator="greaterThan">
      <formula>42.5</formula>
    </cfRule>
    <cfRule type="top10" dxfId="30" priority="7" rank="10"/>
  </conditionalFormatting>
  <conditionalFormatting sqref="J1:J1048576">
    <cfRule type="colorScale" priority="1">
      <colorScale>
        <cfvo type="min"/>
        <cfvo type="max"/>
        <color rgb="FFF8696B"/>
        <color rgb="FFFCFCFF"/>
      </colorScale>
    </cfRule>
  </conditionalFormatting>
  <conditionalFormatting sqref="K1:K1048576">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BCB6EEB-5141-4D3A-BDB8-1C29626B7754}">
            <x14:dataBar minLength="0" maxLength="100" gradient="0">
              <x14:cfvo type="autoMin"/>
              <x14:cfvo type="autoMax"/>
              <x14:negativeFillColor rgb="FFFF0000"/>
              <x14:axisColor rgb="FF000000"/>
            </x14:dataBar>
          </x14:cfRule>
          <xm:sqref>F1:F1048576</xm:sqref>
        </x14:conditionalFormatting>
        <x14:conditionalFormatting xmlns:xm="http://schemas.microsoft.com/office/excel/2006/main">
          <x14:cfRule type="dataBar" id="{3D089E2F-8E35-4248-A58F-E5440BC3A3F2}">
            <x14:dataBar minLength="0" maxLength="100" border="1" negativeBarBorderColorSameAsPositive="0">
              <x14:cfvo type="autoMin"/>
              <x14:cfvo type="autoMax"/>
              <x14:borderColor rgb="FF638EC6"/>
              <x14:negativeFillColor rgb="FFFF0000"/>
              <x14:negativeBorderColor rgb="FFFF0000"/>
              <x14:axisColor rgb="FF000000"/>
            </x14:dataBar>
          </x14:cfRule>
          <xm:sqref>H1:H1048576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ABA85-989F-4C6B-9A18-FB7AC949D013}">
  <dimension ref="A3:C37"/>
  <sheetViews>
    <sheetView workbookViewId="0">
      <selection activeCell="A37" sqref="A37:C37"/>
    </sheetView>
  </sheetViews>
  <sheetFormatPr defaultRowHeight="15" x14ac:dyDescent="0.25"/>
  <cols>
    <col min="1" max="1" width="11.42578125" bestFit="1" customWidth="1"/>
    <col min="2" max="2" width="14" bestFit="1" customWidth="1"/>
    <col min="3" max="3" width="12.85546875" bestFit="1" customWidth="1"/>
  </cols>
  <sheetData>
    <row r="3" spans="1:3" x14ac:dyDescent="0.25">
      <c r="A3" s="7" t="s">
        <v>1</v>
      </c>
      <c r="B3" s="7" t="s">
        <v>2</v>
      </c>
      <c r="C3" t="s">
        <v>1045</v>
      </c>
    </row>
    <row r="4" spans="1:3" x14ac:dyDescent="0.25">
      <c r="A4" t="s">
        <v>70</v>
      </c>
      <c r="B4" t="s">
        <v>25</v>
      </c>
      <c r="C4" s="10">
        <v>725257</v>
      </c>
    </row>
    <row r="5" spans="1:3" x14ac:dyDescent="0.25">
      <c r="B5" t="s">
        <v>29</v>
      </c>
      <c r="C5" s="10">
        <v>323731</v>
      </c>
    </row>
    <row r="6" spans="1:3" x14ac:dyDescent="0.25">
      <c r="A6" t="s">
        <v>1046</v>
      </c>
      <c r="C6" s="10">
        <v>1048988</v>
      </c>
    </row>
    <row r="7" spans="1:3" x14ac:dyDescent="0.25">
      <c r="A7" t="s">
        <v>40</v>
      </c>
      <c r="B7" t="s">
        <v>25</v>
      </c>
      <c r="C7" s="10">
        <v>1082834</v>
      </c>
    </row>
    <row r="8" spans="1:3" x14ac:dyDescent="0.25">
      <c r="B8" t="s">
        <v>29</v>
      </c>
      <c r="C8" s="10">
        <v>311699</v>
      </c>
    </row>
    <row r="9" spans="1:3" x14ac:dyDescent="0.25">
      <c r="A9" t="s">
        <v>1047</v>
      </c>
      <c r="C9" s="10">
        <v>1394533</v>
      </c>
    </row>
    <row r="10" spans="1:3" x14ac:dyDescent="0.25">
      <c r="A10" t="s">
        <v>75</v>
      </c>
      <c r="B10" t="s">
        <v>25</v>
      </c>
      <c r="C10" s="10">
        <v>791036</v>
      </c>
    </row>
    <row r="11" spans="1:3" x14ac:dyDescent="0.25">
      <c r="B11" t="s">
        <v>29</v>
      </c>
      <c r="C11" s="10">
        <v>960057</v>
      </c>
    </row>
    <row r="12" spans="1:3" x14ac:dyDescent="0.25">
      <c r="A12" t="s">
        <v>1048</v>
      </c>
      <c r="C12" s="10">
        <v>1751093</v>
      </c>
    </row>
    <row r="13" spans="1:3" x14ac:dyDescent="0.25">
      <c r="A13" t="s">
        <v>18</v>
      </c>
      <c r="B13" t="s">
        <v>25</v>
      </c>
      <c r="C13" s="10">
        <v>548280</v>
      </c>
    </row>
    <row r="14" spans="1:3" x14ac:dyDescent="0.25">
      <c r="B14" t="s">
        <v>29</v>
      </c>
      <c r="C14" s="10">
        <v>670208</v>
      </c>
    </row>
    <row r="15" spans="1:3" x14ac:dyDescent="0.25">
      <c r="A15" t="s">
        <v>1049</v>
      </c>
      <c r="C15" s="10">
        <v>1218488</v>
      </c>
    </row>
    <row r="16" spans="1:3" x14ac:dyDescent="0.25">
      <c r="A16" t="s">
        <v>83</v>
      </c>
      <c r="B16" t="s">
        <v>25</v>
      </c>
      <c r="C16" s="10">
        <v>670511</v>
      </c>
    </row>
    <row r="17" spans="1:3" x14ac:dyDescent="0.25">
      <c r="B17" t="s">
        <v>29</v>
      </c>
      <c r="C17" s="10">
        <v>613147</v>
      </c>
    </row>
    <row r="18" spans="1:3" x14ac:dyDescent="0.25">
      <c r="A18" t="s">
        <v>1050</v>
      </c>
      <c r="C18" s="10">
        <v>1283658</v>
      </c>
    </row>
    <row r="19" spans="1:3" x14ac:dyDescent="0.25">
      <c r="A19" t="s">
        <v>81</v>
      </c>
      <c r="B19" t="s">
        <v>25</v>
      </c>
      <c r="C19" s="10">
        <v>659202</v>
      </c>
    </row>
    <row r="20" spans="1:3" x14ac:dyDescent="0.25">
      <c r="B20" t="s">
        <v>29</v>
      </c>
      <c r="C20" s="10">
        <v>574015</v>
      </c>
    </row>
    <row r="21" spans="1:3" x14ac:dyDescent="0.25">
      <c r="A21" t="s">
        <v>1051</v>
      </c>
      <c r="C21" s="10">
        <v>1233217</v>
      </c>
    </row>
    <row r="22" spans="1:3" x14ac:dyDescent="0.25">
      <c r="A22" t="s">
        <v>53</v>
      </c>
      <c r="B22" t="s">
        <v>25</v>
      </c>
      <c r="C22" s="10">
        <v>563730</v>
      </c>
    </row>
    <row r="23" spans="1:3" x14ac:dyDescent="0.25">
      <c r="B23" t="s">
        <v>29</v>
      </c>
      <c r="C23" s="10">
        <v>705432</v>
      </c>
    </row>
    <row r="24" spans="1:3" x14ac:dyDescent="0.25">
      <c r="A24" t="s">
        <v>1052</v>
      </c>
      <c r="C24" s="10">
        <v>1269162</v>
      </c>
    </row>
    <row r="25" spans="1:3" x14ac:dyDescent="0.25">
      <c r="A25" t="s">
        <v>45</v>
      </c>
      <c r="B25" t="s">
        <v>25</v>
      </c>
      <c r="C25" s="10">
        <v>510458</v>
      </c>
    </row>
    <row r="26" spans="1:3" x14ac:dyDescent="0.25">
      <c r="B26" t="s">
        <v>29</v>
      </c>
      <c r="C26" s="10">
        <v>1107752</v>
      </c>
    </row>
    <row r="27" spans="1:3" x14ac:dyDescent="0.25">
      <c r="A27" t="s">
        <v>1053</v>
      </c>
      <c r="C27" s="10">
        <v>1618210</v>
      </c>
    </row>
    <row r="28" spans="1:3" x14ac:dyDescent="0.25">
      <c r="A28" t="s">
        <v>63</v>
      </c>
      <c r="B28" t="s">
        <v>25</v>
      </c>
      <c r="C28" s="10">
        <v>720207</v>
      </c>
    </row>
    <row r="29" spans="1:3" x14ac:dyDescent="0.25">
      <c r="B29" t="s">
        <v>29</v>
      </c>
      <c r="C29" s="10">
        <v>625500</v>
      </c>
    </row>
    <row r="30" spans="1:3" x14ac:dyDescent="0.25">
      <c r="A30" t="s">
        <v>1054</v>
      </c>
      <c r="C30" s="10">
        <v>1345707</v>
      </c>
    </row>
    <row r="31" spans="1:3" x14ac:dyDescent="0.25">
      <c r="A31" t="s">
        <v>13</v>
      </c>
      <c r="B31" t="s">
        <v>25</v>
      </c>
      <c r="C31" s="10">
        <v>1035877</v>
      </c>
    </row>
    <row r="32" spans="1:3" x14ac:dyDescent="0.25">
      <c r="B32" t="s">
        <v>29</v>
      </c>
      <c r="C32" s="10">
        <v>838784</v>
      </c>
    </row>
    <row r="33" spans="1:3" x14ac:dyDescent="0.25">
      <c r="A33" t="s">
        <v>1055</v>
      </c>
      <c r="C33" s="10">
        <v>1874661</v>
      </c>
    </row>
    <row r="34" spans="1:3" x14ac:dyDescent="0.25">
      <c r="A34" t="s">
        <v>89</v>
      </c>
      <c r="B34" t="s">
        <v>25</v>
      </c>
      <c r="C34" s="10">
        <v>572885</v>
      </c>
    </row>
    <row r="35" spans="1:3" x14ac:dyDescent="0.25">
      <c r="B35" t="s">
        <v>29</v>
      </c>
      <c r="C35" s="10">
        <v>579425</v>
      </c>
    </row>
    <row r="36" spans="1:3" x14ac:dyDescent="0.25">
      <c r="A36" t="s">
        <v>1056</v>
      </c>
      <c r="C36" s="10">
        <v>1152310</v>
      </c>
    </row>
    <row r="37" spans="1:3" x14ac:dyDescent="0.25">
      <c r="A37" t="s">
        <v>1057</v>
      </c>
      <c r="C37" s="10">
        <v>15190027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7DAC-2C8E-47E3-AA58-7B81567A3BD2}">
  <dimension ref="A3:C9"/>
  <sheetViews>
    <sheetView topLeftCell="H1" zoomScale="115" zoomScaleNormal="115" workbookViewId="0">
      <selection activeCell="B12" sqref="B12"/>
    </sheetView>
  </sheetViews>
  <sheetFormatPr defaultRowHeight="15" x14ac:dyDescent="0.25"/>
  <cols>
    <col min="1" max="1" width="11.28515625" bestFit="1" customWidth="1"/>
    <col min="2" max="2" width="17.7109375" bestFit="1" customWidth="1"/>
    <col min="3" max="3" width="26.140625" bestFit="1" customWidth="1"/>
  </cols>
  <sheetData>
    <row r="3" spans="1:3" x14ac:dyDescent="0.25">
      <c r="A3" s="7" t="s">
        <v>1</v>
      </c>
      <c r="B3" t="s">
        <v>1058</v>
      </c>
      <c r="C3" t="s">
        <v>1059</v>
      </c>
    </row>
    <row r="4" spans="1:3" x14ac:dyDescent="0.25">
      <c r="A4" t="s">
        <v>70</v>
      </c>
      <c r="B4" s="10">
        <v>437</v>
      </c>
      <c r="C4" s="10">
        <v>167</v>
      </c>
    </row>
    <row r="5" spans="1:3" x14ac:dyDescent="0.25">
      <c r="A5" t="s">
        <v>40</v>
      </c>
      <c r="B5" s="10">
        <v>279</v>
      </c>
      <c r="C5" s="10">
        <v>123</v>
      </c>
    </row>
    <row r="6" spans="1:3" x14ac:dyDescent="0.25">
      <c r="A6" t="s">
        <v>75</v>
      </c>
      <c r="B6" s="10">
        <v>526</v>
      </c>
      <c r="C6" s="10">
        <v>203</v>
      </c>
    </row>
    <row r="7" spans="1:3" x14ac:dyDescent="0.25">
      <c r="A7" t="s">
        <v>18</v>
      </c>
      <c r="B7" s="10">
        <v>321</v>
      </c>
      <c r="C7" s="10">
        <v>139</v>
      </c>
    </row>
    <row r="8" spans="1:3" x14ac:dyDescent="0.25">
      <c r="A8" t="s">
        <v>83</v>
      </c>
      <c r="B8" s="10">
        <v>373</v>
      </c>
      <c r="C8" s="10">
        <v>145</v>
      </c>
    </row>
    <row r="9" spans="1:3" x14ac:dyDescent="0.25">
      <c r="A9" t="s">
        <v>1057</v>
      </c>
      <c r="B9" s="10">
        <v>1936</v>
      </c>
      <c r="C9" s="10">
        <v>777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B46A2-E0BF-45AD-895A-193436C93A1A}">
  <dimension ref="A3:B16"/>
  <sheetViews>
    <sheetView tabSelected="1" topLeftCell="E1" workbookViewId="0">
      <selection activeCell="D19" sqref="D19"/>
    </sheetView>
  </sheetViews>
  <sheetFormatPr defaultRowHeight="15" x14ac:dyDescent="0.25"/>
  <cols>
    <col min="1" max="1" width="11.28515625" bestFit="1" customWidth="1"/>
    <col min="2" max="2" width="21.7109375" bestFit="1" customWidth="1"/>
  </cols>
  <sheetData>
    <row r="3" spans="1:2" x14ac:dyDescent="0.25">
      <c r="A3" s="7" t="s">
        <v>1</v>
      </c>
      <c r="B3" t="s">
        <v>1060</v>
      </c>
    </row>
    <row r="4" spans="1:2" x14ac:dyDescent="0.25">
      <c r="A4" t="s">
        <v>18</v>
      </c>
      <c r="B4" s="10">
        <v>1928</v>
      </c>
    </row>
    <row r="5" spans="1:2" x14ac:dyDescent="0.25">
      <c r="A5" t="s">
        <v>83</v>
      </c>
      <c r="B5" s="10">
        <v>2115</v>
      </c>
    </row>
    <row r="6" spans="1:2" x14ac:dyDescent="0.25">
      <c r="A6" t="s">
        <v>81</v>
      </c>
      <c r="B6" s="10">
        <v>1848</v>
      </c>
    </row>
    <row r="7" spans="1:2" x14ac:dyDescent="0.25">
      <c r="A7" t="s">
        <v>53</v>
      </c>
      <c r="B7" s="10">
        <v>2491</v>
      </c>
    </row>
    <row r="8" spans="1:2" x14ac:dyDescent="0.25">
      <c r="A8" t="s">
        <v>63</v>
      </c>
      <c r="B8" s="10">
        <v>2341</v>
      </c>
    </row>
    <row r="9" spans="1:2" x14ac:dyDescent="0.25">
      <c r="A9" t="s">
        <v>89</v>
      </c>
      <c r="B9" s="10">
        <v>2273</v>
      </c>
    </row>
    <row r="10" spans="1:2" x14ac:dyDescent="0.25">
      <c r="A10" t="s">
        <v>36</v>
      </c>
      <c r="B10" s="10">
        <v>1867</v>
      </c>
    </row>
    <row r="11" spans="1:2" x14ac:dyDescent="0.25">
      <c r="A11" t="s">
        <v>31</v>
      </c>
      <c r="B11" s="10">
        <v>1964</v>
      </c>
    </row>
    <row r="12" spans="1:2" x14ac:dyDescent="0.25">
      <c r="A12" t="s">
        <v>28</v>
      </c>
      <c r="B12" s="10">
        <v>1750</v>
      </c>
    </row>
    <row r="13" spans="1:2" x14ac:dyDescent="0.25">
      <c r="A13" t="s">
        <v>34</v>
      </c>
      <c r="B13" s="10">
        <v>2126</v>
      </c>
    </row>
    <row r="14" spans="1:2" x14ac:dyDescent="0.25">
      <c r="A14" t="s">
        <v>94</v>
      </c>
      <c r="B14" s="10">
        <v>1597</v>
      </c>
    </row>
    <row r="15" spans="1:2" x14ac:dyDescent="0.25">
      <c r="A15" t="s">
        <v>65</v>
      </c>
      <c r="B15" s="10">
        <v>1964</v>
      </c>
    </row>
    <row r="16" spans="1:2" x14ac:dyDescent="0.25">
      <c r="A16" t="s">
        <v>1057</v>
      </c>
      <c r="B16" s="10">
        <v>24264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E397-E3DE-44B5-B527-4FE051AB5234}">
  <dimension ref="A3:C14"/>
  <sheetViews>
    <sheetView topLeftCell="D1" workbookViewId="0">
      <selection activeCell="E9" sqref="E9"/>
    </sheetView>
  </sheetViews>
  <sheetFormatPr defaultRowHeight="15" x14ac:dyDescent="0.25"/>
  <cols>
    <col min="1" max="1" width="15" bestFit="1" customWidth="1"/>
    <col min="2" max="2" width="26.140625" bestFit="1" customWidth="1"/>
    <col min="3" max="3" width="18.140625" bestFit="1" customWidth="1"/>
  </cols>
  <sheetData>
    <row r="3" spans="1:3" x14ac:dyDescent="0.25">
      <c r="A3" s="7" t="s">
        <v>0</v>
      </c>
      <c r="B3" t="s">
        <v>1061</v>
      </c>
      <c r="C3" t="s">
        <v>1062</v>
      </c>
    </row>
    <row r="4" spans="1:3" x14ac:dyDescent="0.25">
      <c r="A4" t="s">
        <v>12</v>
      </c>
      <c r="B4" s="10">
        <v>10</v>
      </c>
      <c r="C4" s="10">
        <v>90</v>
      </c>
    </row>
    <row r="5" spans="1:3" x14ac:dyDescent="0.25">
      <c r="A5" t="s">
        <v>17</v>
      </c>
      <c r="B5" s="10">
        <v>15</v>
      </c>
      <c r="C5" s="10">
        <v>91</v>
      </c>
    </row>
    <row r="6" spans="1:3" x14ac:dyDescent="0.25">
      <c r="A6" t="s">
        <v>20</v>
      </c>
      <c r="B6" s="10">
        <v>8</v>
      </c>
      <c r="C6" s="10">
        <v>96</v>
      </c>
    </row>
    <row r="7" spans="1:3" x14ac:dyDescent="0.25">
      <c r="A7" t="s">
        <v>24</v>
      </c>
      <c r="B7" s="10">
        <v>5</v>
      </c>
      <c r="C7" s="10">
        <v>85</v>
      </c>
    </row>
    <row r="8" spans="1:3" x14ac:dyDescent="0.25">
      <c r="A8" t="s">
        <v>27</v>
      </c>
      <c r="B8" s="10">
        <v>8</v>
      </c>
      <c r="C8" s="10">
        <v>87</v>
      </c>
    </row>
    <row r="9" spans="1:3" x14ac:dyDescent="0.25">
      <c r="A9" t="s">
        <v>30</v>
      </c>
      <c r="B9" s="10">
        <v>9</v>
      </c>
      <c r="C9" s="10">
        <v>89</v>
      </c>
    </row>
    <row r="10" spans="1:3" x14ac:dyDescent="0.25">
      <c r="A10" t="s">
        <v>33</v>
      </c>
      <c r="B10" s="10">
        <v>13</v>
      </c>
      <c r="C10" s="10">
        <v>96</v>
      </c>
    </row>
    <row r="11" spans="1:3" x14ac:dyDescent="0.25">
      <c r="A11" t="s">
        <v>35</v>
      </c>
      <c r="B11" s="10">
        <v>9</v>
      </c>
      <c r="C11" s="10">
        <v>93</v>
      </c>
    </row>
    <row r="12" spans="1:3" x14ac:dyDescent="0.25">
      <c r="A12" t="s">
        <v>38</v>
      </c>
      <c r="B12" s="10">
        <v>8</v>
      </c>
      <c r="C12" s="10">
        <v>99</v>
      </c>
    </row>
    <row r="13" spans="1:3" x14ac:dyDescent="0.25">
      <c r="A13" t="s">
        <v>39</v>
      </c>
      <c r="B13" s="10">
        <v>10</v>
      </c>
      <c r="C13" s="10">
        <v>92</v>
      </c>
    </row>
    <row r="14" spans="1:3" x14ac:dyDescent="0.25">
      <c r="A14" t="s">
        <v>1057</v>
      </c>
      <c r="B14" s="10">
        <v>95</v>
      </c>
      <c r="C14" s="10">
        <v>918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DB1CA-9B3C-4C95-AB1A-E8BD371BD599}">
  <dimension ref="A3:C14"/>
  <sheetViews>
    <sheetView topLeftCell="D1" workbookViewId="0">
      <selection activeCell="T11" sqref="T11"/>
    </sheetView>
  </sheetViews>
  <sheetFormatPr defaultRowHeight="15" x14ac:dyDescent="0.25"/>
  <cols>
    <col min="1" max="1" width="11.28515625" bestFit="1" customWidth="1"/>
    <col min="2" max="2" width="12.85546875" bestFit="1" customWidth="1"/>
    <col min="3" max="3" width="21.7109375" bestFit="1" customWidth="1"/>
  </cols>
  <sheetData>
    <row r="3" spans="1:3" x14ac:dyDescent="0.25">
      <c r="A3" s="7" t="s">
        <v>1</v>
      </c>
      <c r="B3" t="s">
        <v>1045</v>
      </c>
      <c r="C3" t="s">
        <v>1060</v>
      </c>
    </row>
    <row r="4" spans="1:3" x14ac:dyDescent="0.25">
      <c r="A4" t="s">
        <v>75</v>
      </c>
      <c r="B4" s="10">
        <v>3044115</v>
      </c>
      <c r="C4" s="10">
        <v>2692</v>
      </c>
    </row>
    <row r="5" spans="1:3" x14ac:dyDescent="0.25">
      <c r="A5" t="s">
        <v>18</v>
      </c>
      <c r="B5" s="10">
        <v>2547459</v>
      </c>
      <c r="C5" s="10">
        <v>1928</v>
      </c>
    </row>
    <row r="6" spans="1:3" x14ac:dyDescent="0.25">
      <c r="A6" t="s">
        <v>45</v>
      </c>
      <c r="B6" s="10">
        <v>2870062</v>
      </c>
      <c r="C6" s="10">
        <v>2236</v>
      </c>
    </row>
    <row r="7" spans="1:3" x14ac:dyDescent="0.25">
      <c r="A7" t="s">
        <v>63</v>
      </c>
      <c r="B7" s="10">
        <v>2775204</v>
      </c>
      <c r="C7" s="10">
        <v>2341</v>
      </c>
    </row>
    <row r="8" spans="1:3" x14ac:dyDescent="0.25">
      <c r="A8" t="s">
        <v>21</v>
      </c>
      <c r="B8" s="10">
        <v>2609090</v>
      </c>
      <c r="C8" s="10">
        <v>2146</v>
      </c>
    </row>
    <row r="9" spans="1:3" x14ac:dyDescent="0.25">
      <c r="A9" t="s">
        <v>77</v>
      </c>
      <c r="B9" s="10">
        <v>2965908</v>
      </c>
      <c r="C9" s="10">
        <v>2481</v>
      </c>
    </row>
    <row r="10" spans="1:3" x14ac:dyDescent="0.25">
      <c r="A10" t="s">
        <v>31</v>
      </c>
      <c r="B10" s="10">
        <v>2372044</v>
      </c>
      <c r="C10" s="10">
        <v>1964</v>
      </c>
    </row>
    <row r="11" spans="1:3" x14ac:dyDescent="0.25">
      <c r="A11" t="s">
        <v>28</v>
      </c>
      <c r="B11" s="10">
        <v>2072185</v>
      </c>
      <c r="C11" s="10">
        <v>1750</v>
      </c>
    </row>
    <row r="12" spans="1:3" x14ac:dyDescent="0.25">
      <c r="A12" t="s">
        <v>94</v>
      </c>
      <c r="B12" s="10">
        <v>1944386</v>
      </c>
      <c r="C12" s="10">
        <v>1597</v>
      </c>
    </row>
    <row r="13" spans="1:3" x14ac:dyDescent="0.25">
      <c r="A13" t="s">
        <v>65</v>
      </c>
      <c r="B13" s="10">
        <v>2348780</v>
      </c>
      <c r="C13" s="10">
        <v>1964</v>
      </c>
    </row>
    <row r="14" spans="1:3" x14ac:dyDescent="0.25">
      <c r="A14" t="s">
        <v>1057</v>
      </c>
      <c r="B14" s="10">
        <v>25549233</v>
      </c>
      <c r="C14" s="10">
        <v>21099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E0B9-E3F0-4992-A4B9-DF665DFE04E8}">
  <dimension ref="A3:D24"/>
  <sheetViews>
    <sheetView workbookViewId="0">
      <selection activeCell="D3" sqref="D3"/>
    </sheetView>
  </sheetViews>
  <sheetFormatPr defaultRowHeight="15" x14ac:dyDescent="0.25"/>
  <cols>
    <col min="1" max="1" width="11.28515625" bestFit="1" customWidth="1"/>
    <col min="2" max="2" width="18.140625" bestFit="1" customWidth="1"/>
    <col min="3" max="3" width="21.7109375" bestFit="1" customWidth="1"/>
    <col min="4" max="4" width="12.85546875" bestFit="1" customWidth="1"/>
    <col min="5" max="5" width="13" bestFit="1" customWidth="1"/>
  </cols>
  <sheetData>
    <row r="3" spans="1:4" x14ac:dyDescent="0.25">
      <c r="A3" s="7" t="s">
        <v>1</v>
      </c>
      <c r="B3" t="s">
        <v>1062</v>
      </c>
      <c r="C3" t="s">
        <v>1060</v>
      </c>
      <c r="D3" t="s">
        <v>1045</v>
      </c>
    </row>
    <row r="4" spans="1:4" x14ac:dyDescent="0.25">
      <c r="A4" s="8" t="s">
        <v>70</v>
      </c>
      <c r="B4" s="10">
        <v>4575</v>
      </c>
      <c r="C4" s="10">
        <v>2161</v>
      </c>
      <c r="D4" s="10">
        <v>2587480</v>
      </c>
    </row>
    <row r="5" spans="1:4" x14ac:dyDescent="0.25">
      <c r="A5" t="s">
        <v>40</v>
      </c>
      <c r="B5" s="10">
        <v>3561</v>
      </c>
      <c r="C5" s="10">
        <v>1671</v>
      </c>
      <c r="D5" s="10">
        <v>2223636</v>
      </c>
    </row>
    <row r="6" spans="1:4" x14ac:dyDescent="0.25">
      <c r="A6" t="s">
        <v>75</v>
      </c>
      <c r="B6" s="10">
        <v>5824</v>
      </c>
      <c r="C6" s="10">
        <v>2692</v>
      </c>
      <c r="D6" s="10">
        <v>3044115</v>
      </c>
    </row>
    <row r="7" spans="1:4" x14ac:dyDescent="0.25">
      <c r="A7" t="s">
        <v>18</v>
      </c>
      <c r="B7" s="10">
        <v>4124</v>
      </c>
      <c r="C7" s="10">
        <v>1928</v>
      </c>
      <c r="D7" s="10">
        <v>2547459</v>
      </c>
    </row>
    <row r="8" spans="1:4" x14ac:dyDescent="0.25">
      <c r="A8" t="s">
        <v>83</v>
      </c>
      <c r="B8" s="10">
        <v>4415</v>
      </c>
      <c r="C8" s="10">
        <v>2115</v>
      </c>
      <c r="D8" s="10">
        <v>2395595</v>
      </c>
    </row>
    <row r="9" spans="1:4" x14ac:dyDescent="0.25">
      <c r="A9" t="s">
        <v>81</v>
      </c>
      <c r="B9" s="10">
        <v>4017</v>
      </c>
      <c r="C9" s="10">
        <v>1848</v>
      </c>
      <c r="D9" s="10">
        <v>2287319</v>
      </c>
    </row>
    <row r="10" spans="1:4" x14ac:dyDescent="0.25">
      <c r="A10" t="s">
        <v>53</v>
      </c>
      <c r="B10" s="10">
        <v>5343</v>
      </c>
      <c r="C10" s="10">
        <v>2491</v>
      </c>
      <c r="D10" s="10">
        <v>2912003</v>
      </c>
    </row>
    <row r="11" spans="1:4" x14ac:dyDescent="0.25">
      <c r="A11" t="s">
        <v>45</v>
      </c>
      <c r="B11" s="10">
        <v>4805</v>
      </c>
      <c r="C11" s="10">
        <v>2236</v>
      </c>
      <c r="D11" s="10">
        <v>2870062</v>
      </c>
    </row>
    <row r="12" spans="1:4" x14ac:dyDescent="0.25">
      <c r="A12" t="s">
        <v>63</v>
      </c>
      <c r="B12" s="10">
        <v>5119</v>
      </c>
      <c r="C12" s="10">
        <v>2341</v>
      </c>
      <c r="D12" s="10">
        <v>2775204</v>
      </c>
    </row>
    <row r="13" spans="1:4" x14ac:dyDescent="0.25">
      <c r="A13" t="s">
        <v>13</v>
      </c>
      <c r="B13" s="10">
        <v>6081</v>
      </c>
      <c r="C13" s="10">
        <v>2740</v>
      </c>
      <c r="D13" s="10">
        <v>3449617</v>
      </c>
    </row>
    <row r="14" spans="1:4" x14ac:dyDescent="0.25">
      <c r="A14" t="s">
        <v>89</v>
      </c>
      <c r="B14" s="10">
        <v>4938</v>
      </c>
      <c r="C14" s="10">
        <v>2273</v>
      </c>
      <c r="D14" s="10">
        <v>2664127</v>
      </c>
    </row>
    <row r="15" spans="1:4" x14ac:dyDescent="0.25">
      <c r="A15" t="s">
        <v>21</v>
      </c>
      <c r="B15" s="10">
        <v>4561</v>
      </c>
      <c r="C15" s="10">
        <v>2146</v>
      </c>
      <c r="D15" s="10">
        <v>2609090</v>
      </c>
    </row>
    <row r="16" spans="1:4" x14ac:dyDescent="0.25">
      <c r="A16" t="s">
        <v>77</v>
      </c>
      <c r="B16" s="10">
        <v>5330</v>
      </c>
      <c r="C16" s="10">
        <v>2481</v>
      </c>
      <c r="D16" s="10">
        <v>2965908</v>
      </c>
    </row>
    <row r="17" spans="1:4" x14ac:dyDescent="0.25">
      <c r="A17" t="s">
        <v>43</v>
      </c>
      <c r="B17" s="10">
        <v>4961</v>
      </c>
      <c r="C17" s="10">
        <v>2281</v>
      </c>
      <c r="D17" s="10">
        <v>2803902</v>
      </c>
    </row>
    <row r="18" spans="1:4" x14ac:dyDescent="0.25">
      <c r="A18" t="s">
        <v>36</v>
      </c>
      <c r="B18" s="10">
        <v>4064</v>
      </c>
      <c r="C18" s="10">
        <v>1867</v>
      </c>
      <c r="D18" s="10">
        <v>2279050</v>
      </c>
    </row>
    <row r="19" spans="1:4" x14ac:dyDescent="0.25">
      <c r="A19" t="s">
        <v>31</v>
      </c>
      <c r="B19" s="10">
        <v>4149</v>
      </c>
      <c r="C19" s="10">
        <v>1964</v>
      </c>
      <c r="D19" s="10">
        <v>2372044</v>
      </c>
    </row>
    <row r="20" spans="1:4" x14ac:dyDescent="0.25">
      <c r="A20" t="s">
        <v>28</v>
      </c>
      <c r="B20" s="10">
        <v>3797</v>
      </c>
      <c r="C20" s="10">
        <v>1750</v>
      </c>
      <c r="D20" s="10">
        <v>2072185</v>
      </c>
    </row>
    <row r="21" spans="1:4" x14ac:dyDescent="0.25">
      <c r="A21" t="s">
        <v>34</v>
      </c>
      <c r="B21" s="10">
        <v>4856</v>
      </c>
      <c r="C21" s="10">
        <v>2126</v>
      </c>
      <c r="D21" s="10">
        <v>2912419</v>
      </c>
    </row>
    <row r="22" spans="1:4" x14ac:dyDescent="0.25">
      <c r="A22" t="s">
        <v>94</v>
      </c>
      <c r="B22" s="10">
        <v>3533</v>
      </c>
      <c r="C22" s="10">
        <v>1597</v>
      </c>
      <c r="D22" s="10">
        <v>1944386</v>
      </c>
    </row>
    <row r="23" spans="1:4" x14ac:dyDescent="0.25">
      <c r="A23" t="s">
        <v>65</v>
      </c>
      <c r="B23" s="10">
        <v>4278</v>
      </c>
      <c r="C23" s="10">
        <v>1964</v>
      </c>
      <c r="D23" s="10">
        <v>2348780</v>
      </c>
    </row>
    <row r="24" spans="1:4" x14ac:dyDescent="0.25">
      <c r="A24" t="s">
        <v>1057</v>
      </c>
      <c r="B24" s="10">
        <v>92331</v>
      </c>
      <c r="C24" s="10">
        <v>42672</v>
      </c>
      <c r="D24" s="10">
        <v>52064381</v>
      </c>
    </row>
  </sheetData>
  <conditionalFormatting sqref="A3">
    <cfRule type="dataBar" priority="1">
      <dataBar>
        <cfvo type="min"/>
        <cfvo type="max"/>
        <color rgb="FF638EC6"/>
      </dataBar>
      <extLst>
        <ext xmlns:x14="http://schemas.microsoft.com/office/spreadsheetml/2009/9/main" uri="{B025F937-C7B1-47D3-B67F-A62EFF666E3E}">
          <x14:id>{E188BBEC-F592-4D03-BF04-3ABCB9F34DD6}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188BBEC-F592-4D03-BF04-3ABCB9F34DD6}">
            <x14:dataBar minLength="0" maxLength="100" border="1" negativeBarBorderColorSameAsPositive="0">
              <x14:cfvo type="autoMin"/>
              <x14:cfvo type="autoMax"/>
              <x14:borderColor rgb="FF638EC6"/>
              <x14:negativeFillColor rgb="FFFF0000"/>
              <x14:negativeBorderColor rgb="FFFF0000"/>
              <x14:axisColor rgb="FF000000"/>
            </x14:dataBar>
          </x14:cfRule>
          <xm:sqref>A3</xm:sqref>
        </x14:conditionalFormatting>
      </x14:conditionalFormattings>
    </ex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CCCA-6303-4804-804C-23B985D24C53}">
  <dimension ref="A1"/>
  <sheetViews>
    <sheetView showGridLines="0" zoomScale="63" zoomScaleNormal="115" workbookViewId="0">
      <selection activeCell="Z17" sqref="Z17"/>
    </sheetView>
  </sheetViews>
  <sheetFormatPr defaultRowHeight="15" x14ac:dyDescent="0.25"/>
  <cols>
    <col min="1" max="16384" width="9.140625" style="9"/>
  </cols>
  <sheetData>
    <row r="1" s="9" customFormat="1" ht="30.7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Employee Data</vt:lpstr>
      <vt:lpstr>adjustments</vt:lpstr>
      <vt:lpstr>Sheet2</vt:lpstr>
      <vt:lpstr>example 1</vt:lpstr>
      <vt:lpstr>example 2</vt:lpstr>
      <vt:lpstr>example 3</vt:lpstr>
      <vt:lpstr>example 4</vt:lpstr>
      <vt:lpstr>example 5</vt:lpstr>
      <vt:lpstr>example 6</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selva sakthi</cp:lastModifiedBy>
  <cp:revision/>
  <dcterms:created xsi:type="dcterms:W3CDTF">2026-04-28T09:59:12Z</dcterms:created>
  <dcterms:modified xsi:type="dcterms:W3CDTF">2026-07-08T13:08:40Z</dcterms:modified>
  <cp:category/>
  <cp:contentStatus/>
</cp:coreProperties>
</file>